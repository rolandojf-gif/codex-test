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426" codeName="{DD97A8EA-9A9A-E61F-A557-7D5A7D7259CE}"/>
  <workbookPr saveExternalLinkValues="0" codeName="ThisWorkbook"/>
  <mc:AlternateContent xmlns:mc="http://schemas.openxmlformats.org/markup-compatibility/2006">
    <mc:Choice Requires="x15">
      <x15ac:absPath xmlns:x15ac="http://schemas.microsoft.com/office/spreadsheetml/2010/11/ac" url="https://hitachigroupeur-my.sharepoint.com/personal/rolando_fernandez_hitachiastemo_com/Documents/Escritorio/CyC VDA 6.3 audit Mouad/"/>
    </mc:Choice>
  </mc:AlternateContent>
  <xr:revisionPtr revIDLastSave="288" documentId="13_ncr:1_{4918F4CF-DB2A-4AEC-AF56-7016C358E2A2}" xr6:coauthVersionLast="47" xr6:coauthVersionMax="47" xr10:uidLastSave="{AFE35EB3-47F7-44D4-AFB4-B516A0E949A8}"/>
  <bookViews>
    <workbookView xWindow="-120" yWindow="-120" windowWidth="29040" windowHeight="15720" tabRatio="902" firstSheet="2" activeTab="2" xr2:uid="{00000000-000D-0000-FFFF-FFFF00000000}"/>
  </bookViews>
  <sheets>
    <sheet name="Disclaimer" sheetId="48" state="hidden" r:id="rId1"/>
    <sheet name="Input Form" sheetId="8" state="hidden" r:id="rId2"/>
    <sheet name="Questions" sheetId="24" r:id="rId3"/>
    <sheet name="PrGr1" sheetId="64" state="hidden" r:id="rId4"/>
    <sheet name="PrGr2" sheetId="66" state="hidden" r:id="rId5"/>
    <sheet name="PrGr3" sheetId="67" state="hidden" r:id="rId6"/>
    <sheet name="PrGr4" sheetId="68" state="hidden" r:id="rId7"/>
    <sheet name="Evaluation" sheetId="73" r:id="rId8"/>
    <sheet name="Report2" sheetId="72" r:id="rId9"/>
    <sheet name="OIL" sheetId="70" state="hidden" r:id="rId10"/>
    <sheet name="DATA" sheetId="71" r:id="rId11"/>
    <sheet name="Report" sheetId="18" state="hidden" r:id="rId12"/>
    <sheet name="Actionplan" sheetId="20" state="hidden" r:id="rId13"/>
    <sheet name="History" sheetId="49" state="hidden" r:id="rId14"/>
    <sheet name="Language-Sprachen" sheetId="55" state="hidden" r:id="rId15"/>
    <sheet name="CSV" sheetId="69" state="hidden" r:id="rId16"/>
  </sheets>
  <functionGroups builtInGroupCount="19"/>
  <externalReferences>
    <externalReference r:id="rId17"/>
    <externalReference r:id="rId18"/>
    <externalReference r:id="rId19"/>
    <externalReference r:id="rId20"/>
    <externalReference r:id="rId21"/>
    <externalReference r:id="rId22"/>
  </externalReferences>
  <definedNames>
    <definedName name="_e1" localSheetId="7">Evaluation!$AS$36</definedName>
    <definedName name="_e1" localSheetId="3">PrGr1!$AS$36</definedName>
    <definedName name="_e1" localSheetId="4">PrGr2!$AS$36</definedName>
    <definedName name="_e1" localSheetId="5">PrGr3!$AS$36</definedName>
    <definedName name="_e1" localSheetId="6">PrGr4!$AS$36</definedName>
    <definedName name="_e1">#REF!</definedName>
    <definedName name="_e10">#REF!</definedName>
    <definedName name="_e2" localSheetId="7">Evaluation!$AS$38</definedName>
    <definedName name="_e2" localSheetId="3">PrGr1!$AS$38</definedName>
    <definedName name="_e2" localSheetId="4">PrGr2!$AS$38</definedName>
    <definedName name="_e2" localSheetId="5">PrGr3!$AS$38</definedName>
    <definedName name="_e2" localSheetId="6">PrGr4!$AS$38</definedName>
    <definedName name="_e2">#REF!</definedName>
    <definedName name="_e3" localSheetId="7">Evaluation!$AS$40</definedName>
    <definedName name="_e3" localSheetId="3">PrGr1!$AS$40</definedName>
    <definedName name="_e3" localSheetId="4">PrGr2!$AS$40</definedName>
    <definedName name="_e3" localSheetId="5">PrGr3!$AS$40</definedName>
    <definedName name="_e3" localSheetId="6">PrGr4!$AS$40</definedName>
    <definedName name="_e3">#REF!</definedName>
    <definedName name="_e4">#REF!</definedName>
    <definedName name="_e5">#REF!</definedName>
    <definedName name="_e6">#REF!</definedName>
    <definedName name="_e7">#REF!</definedName>
    <definedName name="_e8">#REF!</definedName>
    <definedName name="_e9">#REF!</definedName>
    <definedName name="_Ep1" localSheetId="7">Evaluation!$AI$206</definedName>
    <definedName name="_Ep1" localSheetId="3">PrGr1!$AI$194</definedName>
    <definedName name="_Ep1" localSheetId="4">PrGr2!$AI$194</definedName>
    <definedName name="_Ep1" localSheetId="5">PrGr3!$AI$194</definedName>
    <definedName name="_Ep1" localSheetId="6">PrGr4!$AI$194</definedName>
    <definedName name="_Ep1">#REF!</definedName>
    <definedName name="_Ep2" localSheetId="7">Evaluation!$AI$207</definedName>
    <definedName name="_Ep2" localSheetId="3">PrGr1!$AI$195</definedName>
    <definedName name="_Ep2" localSheetId="4">PrGr2!$AI$195</definedName>
    <definedName name="_Ep2" localSheetId="5">PrGr3!$AI$195</definedName>
    <definedName name="_Ep2" localSheetId="6">PrGr4!$AI$195</definedName>
    <definedName name="_Ep2">#REF!</definedName>
    <definedName name="_Ep3" localSheetId="7">Evaluation!$AI$208</definedName>
    <definedName name="_Ep3" localSheetId="3">PrGr1!$AI$196</definedName>
    <definedName name="_Ep3" localSheetId="4">PrGr2!$AI$196</definedName>
    <definedName name="_Ep3" localSheetId="5">PrGr3!$AI$196</definedName>
    <definedName name="_Ep3" localSheetId="6">PrGr4!$AI$196</definedName>
    <definedName name="_Ep3">#REF!</definedName>
    <definedName name="_Ep4" localSheetId="7">Evaluation!$AI$209</definedName>
    <definedName name="_Ep4" localSheetId="3">PrGr1!$AI$197</definedName>
    <definedName name="_Ep4" localSheetId="4">PrGr2!$AI$197</definedName>
    <definedName name="_Ep4" localSheetId="5">PrGr3!$AI$197</definedName>
    <definedName name="_Ep4" localSheetId="6">PrGr4!$AI$197</definedName>
    <definedName name="_Ep4">#REF!</definedName>
    <definedName name="_Ep5">#REF!</definedName>
    <definedName name="_Ep6">#REF!</definedName>
    <definedName name="_epg1" localSheetId="7">Evaluation!$J$203</definedName>
    <definedName name="_epg1" localSheetId="3">PrGr1!$J$191</definedName>
    <definedName name="_epg1" localSheetId="4">PrGr2!$J$191</definedName>
    <definedName name="_epg1" localSheetId="5">PrGr3!$J$191</definedName>
    <definedName name="_epg1" localSheetId="6">PrGr4!$J$191</definedName>
    <definedName name="_epg1">#REF!</definedName>
    <definedName name="_epg2" localSheetId="7">Evaluation!$N$203</definedName>
    <definedName name="_epg2" localSheetId="3">PrGr1!$N$191</definedName>
    <definedName name="_epg2" localSheetId="4">PrGr2!$N$191</definedName>
    <definedName name="_epg2" localSheetId="5">PrGr3!$N$191</definedName>
    <definedName name="_epg2" localSheetId="6">PrGr4!$N$191</definedName>
    <definedName name="_epg2">#REF!</definedName>
    <definedName name="_epg3" localSheetId="7">Evaluation!$R$203</definedName>
    <definedName name="_epg3" localSheetId="3">PrGr1!$R$191</definedName>
    <definedName name="_epg3" localSheetId="4">PrGr2!$R$191</definedName>
    <definedName name="_epg3" localSheetId="5">PrGr3!$R$191</definedName>
    <definedName name="_epg3" localSheetId="6">PrGr4!$R$191</definedName>
    <definedName name="_epg3">#REF!</definedName>
    <definedName name="_epg4" localSheetId="7">Evaluation!$V$203</definedName>
    <definedName name="_epg4" localSheetId="3">PrGr1!$V$191</definedName>
    <definedName name="_epg4" localSheetId="4">PrGr2!$V$191</definedName>
    <definedName name="_epg4" localSheetId="5">PrGr3!$V$191</definedName>
    <definedName name="_epg4" localSheetId="6">PrGr4!$V$191</definedName>
    <definedName name="_epg4">#REF!</definedName>
    <definedName name="_epg5" localSheetId="7">Evaluation!$Y$203</definedName>
    <definedName name="_epg5" localSheetId="3">PrGr1!$Y$191</definedName>
    <definedName name="_epg5" localSheetId="4">PrGr2!$Y$191</definedName>
    <definedName name="_epg5" localSheetId="5">PrGr3!$Y$191</definedName>
    <definedName name="_epg5" localSheetId="6">PrGr4!$Y$191</definedName>
    <definedName name="_epg5">#REF!</definedName>
    <definedName name="_epg6" localSheetId="7">Evaluation!$AR$203</definedName>
    <definedName name="_epg6" localSheetId="3">PrGr1!$AR$191</definedName>
    <definedName name="_epg6" localSheetId="4">PrGr2!$AR$191</definedName>
    <definedName name="_epg6" localSheetId="5">PrGr3!$AR$191</definedName>
    <definedName name="_epg6" localSheetId="6">PrGr4!$AR$191</definedName>
    <definedName name="_epg6">#REF!</definedName>
    <definedName name="_es1" localSheetId="7">Evaluation!$G$62</definedName>
    <definedName name="_es1" localSheetId="3">PrGr1!$G$48</definedName>
    <definedName name="_es1" localSheetId="4">PrGr2!$G$48</definedName>
    <definedName name="_es1" localSheetId="5">PrGr3!$G$48</definedName>
    <definedName name="_es1" localSheetId="6">PrGr4!$G$48</definedName>
    <definedName name="_es1">#REF!</definedName>
    <definedName name="_es2" localSheetId="7">Evaluation!$M$62</definedName>
    <definedName name="_es2" localSheetId="3">PrGr1!$M$48</definedName>
    <definedName name="_es2" localSheetId="4">PrGr2!$M$48</definedName>
    <definedName name="_es2" localSheetId="5">PrGr3!$M$48</definedName>
    <definedName name="_es2" localSheetId="6">PrGr4!$M$48</definedName>
    <definedName name="_es2">#REF!</definedName>
    <definedName name="_es3" localSheetId="7">Evaluation!$Q$62</definedName>
    <definedName name="_es3" localSheetId="3">PrGr1!$Q$48</definedName>
    <definedName name="_es3" localSheetId="4">PrGr2!$Q$48</definedName>
    <definedName name="_es3" localSheetId="5">PrGr3!$Q$48</definedName>
    <definedName name="_es3" localSheetId="6">PrGr4!$Q$48</definedName>
    <definedName name="_es3">#REF!</definedName>
    <definedName name="_es4" localSheetId="7">Evaluation!$AG$62</definedName>
    <definedName name="_es4" localSheetId="3">PrGr1!$AG$48</definedName>
    <definedName name="_es4" localSheetId="4">PrGr2!$AG$48</definedName>
    <definedName name="_es4" localSheetId="5">PrGr3!$AG$48</definedName>
    <definedName name="_es4" localSheetId="6">PrGr4!$AG$48</definedName>
    <definedName name="_es4">#REF!</definedName>
    <definedName name="_xlnm._FilterDatabase" localSheetId="12" hidden="1">Actionplan!$A$10:$F$146</definedName>
    <definedName name="_xlnm._FilterDatabase" localSheetId="15" hidden="1">CSV!$A$1:$C$1116</definedName>
    <definedName name="_xlnm._FilterDatabase" localSheetId="14" hidden="1">'Language-Sprachen'!$A$3:$D$300</definedName>
    <definedName name="_xlnm._FilterDatabase" localSheetId="2" hidden="1">Questions!$D$12:$D$366</definedName>
    <definedName name="_Li1">#REF!</definedName>
    <definedName name="_Li2">[1]Voreinstellungen!#REF!</definedName>
    <definedName name="_nb">Questions!$D$380</definedName>
    <definedName name="_Re1">#REF!</definedName>
    <definedName name="_Re2">#REF!</definedName>
    <definedName name="AbtBez">[1]Voreinstellungen!#REF!</definedName>
    <definedName name="AnzSchritte">'Input Form'!$D$36</definedName>
    <definedName name="_xlnm.Print_Area" localSheetId="12">Actionplan!$A$1:$S$319</definedName>
    <definedName name="_xlnm.Print_Area" localSheetId="7">Evaluation!$B$1:$BI$83</definedName>
    <definedName name="_xlnm.Print_Area" localSheetId="13">History!$B$56:$N$81</definedName>
    <definedName name="_xlnm.Print_Area" localSheetId="1">'Input Form'!$A$1:$I$84</definedName>
    <definedName name="_xlnm.Print_Area" localSheetId="3">PrGr1!$B$1:$BI$71</definedName>
    <definedName name="_xlnm.Print_Area" localSheetId="4">PrGr2!$B$1:$BI$71</definedName>
    <definedName name="_xlnm.Print_Area" localSheetId="5">PrGr3!$B$1:$BI$71</definedName>
    <definedName name="_xlnm.Print_Area" localSheetId="6">PrGr4!$B$1:$BI$71</definedName>
    <definedName name="_xlnm.Print_Area" localSheetId="11">Report!$B$1:$AF$43</definedName>
    <definedName name="AuditDatum">[2]Eingabe!$B$4</definedName>
    <definedName name="Auftrag_Nr.">[2]Eingabe!$B$3</definedName>
    <definedName name="Ausdruck">#REF!</definedName>
    <definedName name="DUNS_Nr" localSheetId="10">#REF!</definedName>
    <definedName name="DUNS_Nr" localSheetId="9">#REF!</definedName>
    <definedName name="DUNS_Nr">'Input Form'!$C$18</definedName>
    <definedName name="ED_2">#REF!</definedName>
    <definedName name="ED_3">#REF!</definedName>
    <definedName name="ED_4">#REF!</definedName>
    <definedName name="ED_5">#REF!</definedName>
    <definedName name="ED_6">#REF!</definedName>
    <definedName name="ede" localSheetId="7">Evaluation!$AS$14</definedName>
    <definedName name="ede" localSheetId="3">PrGr1!$AS$14</definedName>
    <definedName name="ede" localSheetId="4">PrGr2!$AS$14</definedName>
    <definedName name="ede" localSheetId="5">PrGr3!$AS$14</definedName>
    <definedName name="ede" localSheetId="6">PrGr4!$AS$14</definedName>
    <definedName name="ede">#REF!</definedName>
    <definedName name="ek" localSheetId="7">Evaluation!$AS$66</definedName>
    <definedName name="ek" localSheetId="3">PrGr1!$AS$52</definedName>
    <definedName name="ek" localSheetId="4">PrGr2!$AS$52</definedName>
    <definedName name="ek" localSheetId="5">PrGr3!$AS$52</definedName>
    <definedName name="ek" localSheetId="6">PrGr4!$AS$52</definedName>
    <definedName name="ek">#REF!</definedName>
    <definedName name="elm" localSheetId="10">'[3]Assessment matrix'!$AM$27</definedName>
    <definedName name="elm" localSheetId="7">Evaluation!$AS$29</definedName>
    <definedName name="elm" localSheetId="9">'[3]Assessment matrix'!$AM$27</definedName>
    <definedName name="elm" localSheetId="3">PrGr1!$AS$29</definedName>
    <definedName name="elm" localSheetId="4">PrGr2!$AS$29</definedName>
    <definedName name="elm" localSheetId="5">PrGr3!$AS$29</definedName>
    <definedName name="elm" localSheetId="6">PrGr4!$AS$29</definedName>
    <definedName name="elm" localSheetId="8">[4]Evaluation!$AS$29</definedName>
    <definedName name="elm">#REF!</definedName>
    <definedName name="Ep_2">#REF!</definedName>
    <definedName name="Ep_3">#REF!</definedName>
    <definedName name="Ep_4">#REF!</definedName>
    <definedName name="Ep_5">#REF!</definedName>
    <definedName name="Ep_6">#REF!</definedName>
    <definedName name="epdp" localSheetId="10">'[3]Assessment matrix'!$P$16</definedName>
    <definedName name="epdp" localSheetId="7">Evaluation!$L$16</definedName>
    <definedName name="epdp" localSheetId="9">'[3]Assessment matrix'!$P$16</definedName>
    <definedName name="epdp" localSheetId="3">PrGr1!$L$16</definedName>
    <definedName name="epdp" localSheetId="4">PrGr2!$L$16</definedName>
    <definedName name="epdp" localSheetId="5">PrGr3!$L$16</definedName>
    <definedName name="epdp" localSheetId="6">PrGr4!$L$16</definedName>
    <definedName name="epdp">#REF!</definedName>
    <definedName name="epdr" localSheetId="10">'[3]Assessment matrix'!$P$23</definedName>
    <definedName name="epdr" localSheetId="7">Evaluation!$O$24</definedName>
    <definedName name="epdr" localSheetId="9">'[3]Assessment matrix'!$P$23</definedName>
    <definedName name="epdr" localSheetId="3">PrGr1!$O$24</definedName>
    <definedName name="epdr" localSheetId="4">PrGr2!$O$24</definedName>
    <definedName name="epdr" localSheetId="5">PrGr3!$O$24</definedName>
    <definedName name="epdr" localSheetId="6">PrGr4!$O$24</definedName>
    <definedName name="epdr">#REF!</definedName>
    <definedName name="epe" localSheetId="7">Evaluation!$AS$22</definedName>
    <definedName name="epe" localSheetId="3">PrGr1!$AS$22</definedName>
    <definedName name="epe" localSheetId="4">PrGr2!$AS$22</definedName>
    <definedName name="epe" localSheetId="5">PrGr3!$AS$22</definedName>
    <definedName name="epe" localSheetId="6">PrGr4!$AS$22</definedName>
    <definedName name="epe">#REF!</definedName>
    <definedName name="epg" localSheetId="10">'[3]Assessment matrix'!$AM$57</definedName>
    <definedName name="epg" localSheetId="7">Evaluation!$AS$59</definedName>
    <definedName name="epg" localSheetId="9">'[3]Assessment matrix'!$AM$57</definedName>
    <definedName name="epg" localSheetId="3">PrGr1!$AS$45</definedName>
    <definedName name="epg" localSheetId="4">PrGr2!$AS$45</definedName>
    <definedName name="epg" localSheetId="5">PrGr3!$AS$45</definedName>
    <definedName name="epg" localSheetId="6">PrGr4!$AS$45</definedName>
    <definedName name="epg" localSheetId="8">[4]Evaluation!$AS$59</definedName>
    <definedName name="epg">#REF!</definedName>
    <definedName name="epm" localSheetId="10">'[3]Assessment matrix'!$AM$10</definedName>
    <definedName name="epm" localSheetId="7">Evaluation!$AS$8</definedName>
    <definedName name="epm" localSheetId="9">'[3]Assessment matrix'!$AM$10</definedName>
    <definedName name="epm" localSheetId="3">PrGr1!$AS$8</definedName>
    <definedName name="epm" localSheetId="4">PrGr2!$AS$8</definedName>
    <definedName name="epm" localSheetId="5">PrGr3!$AS$8</definedName>
    <definedName name="epm" localSheetId="6">PrGr4!$AS$8</definedName>
    <definedName name="epm" localSheetId="8">[4]Evaluation!$AS$8</definedName>
    <definedName name="epm">#REF!</definedName>
    <definedName name="epp" localSheetId="10">'[3]Assessment matrix'!$AM$16</definedName>
    <definedName name="epp" localSheetId="7">Evaluation!$AS$14</definedName>
    <definedName name="epp" localSheetId="9">'[3]Assessment matrix'!$AM$16</definedName>
    <definedName name="epp" localSheetId="3">PrGr1!$AS$14</definedName>
    <definedName name="epp" localSheetId="4">PrGr2!$AS$14</definedName>
    <definedName name="epp" localSheetId="5">PrGr3!$AS$14</definedName>
    <definedName name="epp" localSheetId="6">PrGr4!$AS$14</definedName>
    <definedName name="epp">#REF!</definedName>
    <definedName name="epr" localSheetId="10">'[3]Assessment matrix'!$AM$23</definedName>
    <definedName name="epr" localSheetId="7">Evaluation!$AS$22</definedName>
    <definedName name="epr" localSheetId="9">'[3]Assessment matrix'!$AM$23</definedName>
    <definedName name="epr" localSheetId="3">PrGr1!$AS$22</definedName>
    <definedName name="epr" localSheetId="4">PrGr2!$AS$22</definedName>
    <definedName name="epr" localSheetId="5">PrGr3!$AS$22</definedName>
    <definedName name="epr" localSheetId="6">PrGr4!$AS$22</definedName>
    <definedName name="epr">#REF!</definedName>
    <definedName name="epzp" localSheetId="10">'[3]Assessment matrix'!$AF$16</definedName>
    <definedName name="epzp" localSheetId="7">Evaluation!$W$16</definedName>
    <definedName name="epzp" localSheetId="9">'[3]Assessment matrix'!$AF$16</definedName>
    <definedName name="epzp" localSheetId="3">PrGr1!$W$16</definedName>
    <definedName name="epzp" localSheetId="4">PrGr2!$W$16</definedName>
    <definedName name="epzp" localSheetId="5">PrGr3!$W$16</definedName>
    <definedName name="epzp" localSheetId="6">PrGr4!$W$16</definedName>
    <definedName name="epzp">#REF!</definedName>
    <definedName name="epzr" localSheetId="10">'[3]Assessment matrix'!$AF$23</definedName>
    <definedName name="epzr" localSheetId="7">Evaluation!$AB$24</definedName>
    <definedName name="epzr" localSheetId="9">'[3]Assessment matrix'!$AF$23</definedName>
    <definedName name="epzr" localSheetId="3">PrGr1!$AB$24</definedName>
    <definedName name="epzr" localSheetId="4">PrGr2!$AB$24</definedName>
    <definedName name="epzr" localSheetId="5">PrGr3!$AB$24</definedName>
    <definedName name="epzr" localSheetId="6">PrGr4!$AB$24</definedName>
    <definedName name="epzr">#REF!</definedName>
    <definedName name="ergebnis1" localSheetId="7">Evaluation!$AS$36</definedName>
    <definedName name="ergebnis1" localSheetId="3">PrGr1!$AS$36</definedName>
    <definedName name="ergebnis1" localSheetId="4">PrGr2!$AS$36</definedName>
    <definedName name="ergebnis1" localSheetId="5">PrGr3!$AS$36</definedName>
    <definedName name="ergebnis1" localSheetId="6">PrGr4!$AS$36</definedName>
    <definedName name="ergebnis1">#REF!</definedName>
    <definedName name="ez" localSheetId="7">Evaluation!$AS$29</definedName>
    <definedName name="ez" localSheetId="3">PrGr1!$AS$29</definedName>
    <definedName name="ez" localSheetId="4">PrGr2!$AS$29</definedName>
    <definedName name="ez" localSheetId="5">PrGr3!$AS$29</definedName>
    <definedName name="ez" localSheetId="6">PrGr4!$AS$29</definedName>
    <definedName name="ez">#REF!</definedName>
    <definedName name="FQF">[1]Voreinstellungen!#REF!</definedName>
    <definedName name="Funk8">[1]Eingabe!#REF!</definedName>
    <definedName name="li0">#REF!</definedName>
    <definedName name="Lief_Ort" localSheetId="10">#REF!</definedName>
    <definedName name="Lief_Ort" localSheetId="7">'[5]Input Form'!$C$21</definedName>
    <definedName name="Lief_Ort" localSheetId="9">#REF!</definedName>
    <definedName name="Lief_Ort" localSheetId="8">'[4]Input Form'!$C$21</definedName>
    <definedName name="Lief_Ort">'Input Form'!$C$21</definedName>
    <definedName name="Lief_PLZ" localSheetId="10">#REF!</definedName>
    <definedName name="Lief_PLZ" localSheetId="7">'[5]Input Form'!$C$23</definedName>
    <definedName name="Lief_PLZ" localSheetId="9">#REF!</definedName>
    <definedName name="Lief_PLZ" localSheetId="8">'[4]Input Form'!$C$23</definedName>
    <definedName name="Lief_PLZ">'Input Form'!$C$23</definedName>
    <definedName name="Lief_Str" localSheetId="10">#REF!</definedName>
    <definedName name="Lief_Str" localSheetId="7">'[5]Input Form'!$C$20</definedName>
    <definedName name="Lief_Str" localSheetId="9">#REF!</definedName>
    <definedName name="Lief_Str" localSheetId="8">'[4]Input Form'!$C$20</definedName>
    <definedName name="Lief_Str">'Input Form'!$C$20</definedName>
    <definedName name="Lief_Unterschr" localSheetId="10">#REF!</definedName>
    <definedName name="Lief_Unterschr" localSheetId="7">'[5]Input Form'!$C$26</definedName>
    <definedName name="Lief_Unterschr" localSheetId="9">#REF!</definedName>
    <definedName name="Lief_Unterschr" localSheetId="8">'[4]Input Form'!$C$26</definedName>
    <definedName name="Lief_Unterschr">'Input Form'!$C$26</definedName>
    <definedName name="Lieferant" localSheetId="10">#REF!</definedName>
    <definedName name="Lieferant" localSheetId="7">'[5]Input Form'!$C$19</definedName>
    <definedName name="Lieferant" localSheetId="9">#REF!</definedName>
    <definedName name="Lieferant">'Input Form'!$C$19</definedName>
    <definedName name="LieferantNr" localSheetId="10">#REF!</definedName>
    <definedName name="LieferantNr" localSheetId="9">#REF!</definedName>
    <definedName name="LieferantNr">'Input Form'!$C$17</definedName>
    <definedName name="ListeFQF">#REF!</definedName>
    <definedName name="ProdGr_ProzSchrA">[1]Eingabe!#REF!</definedName>
    <definedName name="ProdGrA">[1]Eingabe!#REF!</definedName>
    <definedName name="ProdGrNrA">[1]Eingabe!#REF!</definedName>
    <definedName name="Produkt">[2]Eingabe!$B$2</definedName>
    <definedName name="PrSchr1" localSheetId="10">#REF!</definedName>
    <definedName name="PrSchr1" localSheetId="7">'[5]Input Form'!$C$38</definedName>
    <definedName name="PrSchr1" localSheetId="9">#REF!</definedName>
    <definedName name="PrSchr1">'Input Form'!$C$38</definedName>
    <definedName name="PrSchr10" localSheetId="10">#REF!</definedName>
    <definedName name="PrSchr10" localSheetId="7">'[5]Input Form'!$C$47</definedName>
    <definedName name="PrSchr10" localSheetId="9">#REF!</definedName>
    <definedName name="PrSchr10">'Input Form'!$C$47</definedName>
    <definedName name="PrSchr2" localSheetId="10">#REF!</definedName>
    <definedName name="PrSchr2" localSheetId="7">'[5]Input Form'!$C$39</definedName>
    <definedName name="PrSchr2" localSheetId="9">#REF!</definedName>
    <definedName name="PrSchr2">'Input Form'!$C$39</definedName>
    <definedName name="PrSchr3" localSheetId="10">#REF!</definedName>
    <definedName name="PrSchr3" localSheetId="7">'[5]Input Form'!$C$40</definedName>
    <definedName name="PrSchr3" localSheetId="9">#REF!</definedName>
    <definedName name="PrSchr3">'Input Form'!$C$40</definedName>
    <definedName name="PrSchr4" localSheetId="10">#REF!</definedName>
    <definedName name="PrSchr4" localSheetId="7">'[5]Input Form'!$C$41</definedName>
    <definedName name="PrSchr4" localSheetId="9">#REF!</definedName>
    <definedName name="PrSchr4">'Input Form'!$C$41</definedName>
    <definedName name="PrSchr5" localSheetId="10">#REF!</definedName>
    <definedName name="PrSchr5" localSheetId="7">'[5]Input Form'!$C$42</definedName>
    <definedName name="PrSchr5" localSheetId="9">#REF!</definedName>
    <definedName name="PrSchr5">'Input Form'!$C$42</definedName>
    <definedName name="PrSchr6" localSheetId="10">#REF!</definedName>
    <definedName name="PrSchr6" localSheetId="7">'[5]Input Form'!$C$43</definedName>
    <definedName name="PrSchr6" localSheetId="9">#REF!</definedName>
    <definedName name="PrSchr6">'Input Form'!$C$43</definedName>
    <definedName name="PrSchr7" localSheetId="10">#REF!</definedName>
    <definedName name="PrSchr7" localSheetId="7">'[5]Input Form'!$C$44</definedName>
    <definedName name="PrSchr7" localSheetId="9">#REF!</definedName>
    <definedName name="PrSchr7">'Input Form'!$C$44</definedName>
    <definedName name="PrSchr8" localSheetId="10">#REF!</definedName>
    <definedName name="PrSchr8" localSheetId="7">'[5]Input Form'!$C$45</definedName>
    <definedName name="PrSchr8" localSheetId="9">#REF!</definedName>
    <definedName name="PrSchr8">'Input Form'!$C$45</definedName>
    <definedName name="PrSchr9" localSheetId="10">#REF!</definedName>
    <definedName name="PrSchr9" localSheetId="7">'[5]Input Form'!$C$46</definedName>
    <definedName name="PrSchr9" localSheetId="9">#REF!</definedName>
    <definedName name="PrSchr9">'Input Form'!$C$46</definedName>
    <definedName name="PrSchrNr1" localSheetId="10">#REF!</definedName>
    <definedName name="PrSchrNr1" localSheetId="9">#REF!</definedName>
    <definedName name="PrSchrNr1">'Input Form'!$D$38</definedName>
    <definedName name="PrSchrNr10" localSheetId="10">#REF!</definedName>
    <definedName name="PrSchrNr10" localSheetId="9">#REF!</definedName>
    <definedName name="PrSchrNr10">'Input Form'!$D$47</definedName>
    <definedName name="PrSchrNr2" localSheetId="10">#REF!</definedName>
    <definedName name="PrSchrNr2" localSheetId="9">#REF!</definedName>
    <definedName name="PrSchrNr2">'Input Form'!$D$39</definedName>
    <definedName name="PrSchrNr3" localSheetId="10">#REF!</definedName>
    <definedName name="PrSchrNr3" localSheetId="9">#REF!</definedName>
    <definedName name="PrSchrNr3">'Input Form'!$D$40</definedName>
    <definedName name="PrSchrNr4" localSheetId="10">#REF!</definedName>
    <definedName name="PrSchrNr4" localSheetId="9">#REF!</definedName>
    <definedName name="PrSchrNr4">'Input Form'!$D$41</definedName>
    <definedName name="PrSchrNr5" localSheetId="10">#REF!</definedName>
    <definedName name="PrSchrNr5" localSheetId="9">#REF!</definedName>
    <definedName name="PrSchrNr5">'Input Form'!$D$42</definedName>
    <definedName name="PrSchrNr6" localSheetId="10">#REF!</definedName>
    <definedName name="PrSchrNr6" localSheetId="9">#REF!</definedName>
    <definedName name="PrSchrNr6">'Input Form'!$D$43</definedName>
    <definedName name="PrSchrNr7" localSheetId="10">#REF!</definedName>
    <definedName name="PrSchrNr7" localSheetId="9">#REF!</definedName>
    <definedName name="PrSchrNr7">'Input Form'!$D$44</definedName>
    <definedName name="PrSchrNr8" localSheetId="10">#REF!</definedName>
    <definedName name="PrSchrNr8" localSheetId="9">#REF!</definedName>
    <definedName name="PrSchrNr8">'Input Form'!$D$45</definedName>
    <definedName name="PrSchrNr9" localSheetId="10">#REF!</definedName>
    <definedName name="PrSchrNr9" localSheetId="9">#REF!</definedName>
    <definedName name="PrSchrNr9">'Input Form'!$D$46</definedName>
    <definedName name="Seite" localSheetId="10">#REF!</definedName>
    <definedName name="Seite" localSheetId="9">#REF!</definedName>
    <definedName name="Seite">Actionplan!$Q$7</definedName>
    <definedName name="Sprachen" localSheetId="7">'[5]Language-Sprachen'!$I$4:$I$5</definedName>
    <definedName name="Sprachen">'Language-Sprachen'!$I$4:$I$5</definedName>
    <definedName name="SumA2">#REF!</definedName>
    <definedName name="SumB2">#REF!</definedName>
    <definedName name="SumC2">#REF!</definedName>
    <definedName name="Teil5">[1]Eingabe!#REF!</definedName>
    <definedName name="U_Bez_Re">[2]Voreinstellungen!$C$5</definedName>
    <definedName name="U_Name_Li">[2]Voreinstellungen!$B$4</definedName>
    <definedName name="U_Name_Re">[2]Voreinstellungen!$B$5</definedName>
    <definedName name="Wert1">#REF!</definedName>
    <definedName name="Wert2">[6]Fragen!$D$13</definedName>
    <definedName name="WerteList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7" i="24" l="1"/>
  <c r="B20" i="24"/>
  <c r="B21" i="24"/>
  <c r="B61" i="24"/>
  <c r="E66" i="24" l="1"/>
  <c r="E140" i="24" l="1"/>
  <c r="E227" i="24"/>
  <c r="E350" i="24"/>
  <c r="E72" i="24"/>
  <c r="E251" i="24"/>
  <c r="L149" i="73" l="1"/>
  <c r="K149" i="73"/>
  <c r="J149" i="73"/>
  <c r="L143" i="73"/>
  <c r="K143" i="73"/>
  <c r="J143" i="73"/>
  <c r="L137" i="73"/>
  <c r="K137" i="73"/>
  <c r="J137" i="73"/>
  <c r="L135" i="73"/>
  <c r="K135" i="73"/>
  <c r="J135" i="73"/>
  <c r="L131" i="73"/>
  <c r="K131" i="73"/>
  <c r="J131" i="73"/>
  <c r="L128" i="73"/>
  <c r="K128" i="73"/>
  <c r="J128" i="73"/>
  <c r="L127" i="73"/>
  <c r="K127" i="73"/>
  <c r="J127" i="73"/>
  <c r="L123" i="73"/>
  <c r="K123" i="73"/>
  <c r="J123" i="73"/>
  <c r="Y66" i="73" l="1"/>
  <c r="X66" i="73"/>
  <c r="W66" i="73"/>
  <c r="V66" i="73"/>
  <c r="U66" i="73"/>
  <c r="BF1" i="73" l="1"/>
  <c r="C19" i="8"/>
  <c r="C7" i="24" s="1"/>
  <c r="C9" i="8"/>
  <c r="C10" i="8"/>
  <c r="C38" i="8" l="1"/>
  <c r="C72" i="24" s="1"/>
  <c r="C40" i="8"/>
  <c r="C74" i="24" s="1"/>
  <c r="C39" i="8"/>
  <c r="C73" i="24" s="1"/>
  <c r="A19" i="18"/>
  <c r="A16" i="18"/>
  <c r="A15" i="18"/>
  <c r="C118" i="24" l="1"/>
  <c r="C117" i="24"/>
  <c r="C116" i="24"/>
  <c r="C107" i="24"/>
  <c r="C106" i="24"/>
  <c r="C105" i="24"/>
  <c r="C96" i="24"/>
  <c r="C95" i="24"/>
  <c r="C94" i="24"/>
  <c r="R29" i="73"/>
  <c r="Q29" i="73"/>
  <c r="P29" i="73"/>
  <c r="O29" i="73"/>
  <c r="N29" i="73"/>
  <c r="M29" i="73"/>
  <c r="L29" i="73"/>
  <c r="T79" i="73"/>
  <c r="T78" i="73"/>
  <c r="T77" i="73"/>
  <c r="T76" i="73"/>
  <c r="W79" i="73"/>
  <c r="W78" i="73"/>
  <c r="W77" i="73"/>
  <c r="W76" i="73"/>
  <c r="X22" i="73"/>
  <c r="W22" i="73"/>
  <c r="V22" i="73"/>
  <c r="U22" i="73"/>
  <c r="T22" i="73"/>
  <c r="S22" i="73"/>
  <c r="R22" i="73"/>
  <c r="Q22" i="73"/>
  <c r="K22" i="73"/>
  <c r="H22" i="73"/>
  <c r="G22" i="73"/>
  <c r="F22" i="73"/>
  <c r="E22" i="73"/>
  <c r="D22" i="73"/>
  <c r="S14" i="73"/>
  <c r="R14" i="73"/>
  <c r="Q14" i="73"/>
  <c r="P14" i="73"/>
  <c r="O14" i="73"/>
  <c r="H14" i="73"/>
  <c r="G14" i="73"/>
  <c r="F14" i="73"/>
  <c r="E14" i="73"/>
  <c r="D14" i="73"/>
  <c r="F8" i="73"/>
  <c r="J8" i="73"/>
  <c r="I8" i="73"/>
  <c r="H8" i="73"/>
  <c r="G8" i="73"/>
  <c r="E8" i="73"/>
  <c r="D8" i="73"/>
  <c r="A205" i="73" l="1"/>
  <c r="AB186" i="73"/>
  <c r="AA186" i="73"/>
  <c r="Z186" i="73"/>
  <c r="Y186" i="73"/>
  <c r="X186" i="73"/>
  <c r="W186" i="73"/>
  <c r="V186" i="73"/>
  <c r="E128" i="73"/>
  <c r="E154" i="73"/>
  <c r="E153" i="73"/>
  <c r="BE58" i="73"/>
  <c r="BD58" i="73"/>
  <c r="BC58" i="73"/>
  <c r="BB58" i="73"/>
  <c r="BA58" i="73"/>
  <c r="AZ58" i="73"/>
  <c r="AY58" i="73"/>
  <c r="AX58" i="73"/>
  <c r="AH58" i="73"/>
  <c r="AG58" i="73"/>
  <c r="AF58" i="73"/>
  <c r="AE58" i="73"/>
  <c r="AC58" i="73"/>
  <c r="AB58" i="73"/>
  <c r="AA58" i="73"/>
  <c r="Z58" i="73"/>
  <c r="X58" i="73"/>
  <c r="W58" i="73"/>
  <c r="V58" i="73"/>
  <c r="U58" i="73"/>
  <c r="T58" i="73"/>
  <c r="R58" i="73"/>
  <c r="Q58" i="73"/>
  <c r="P58" i="73"/>
  <c r="N58" i="73"/>
  <c r="M58" i="73"/>
  <c r="L58" i="73"/>
  <c r="K58" i="73"/>
  <c r="J58" i="73"/>
  <c r="H58" i="73"/>
  <c r="G58" i="73"/>
  <c r="F58" i="73"/>
  <c r="E58" i="73"/>
  <c r="D58" i="73"/>
  <c r="E114" i="73"/>
  <c r="E113" i="73"/>
  <c r="K108" i="73"/>
  <c r="K104" i="73"/>
  <c r="J104" i="73"/>
  <c r="K96" i="73"/>
  <c r="J96" i="73"/>
  <c r="Q20" i="73"/>
  <c r="D20" i="73"/>
  <c r="E92" i="73"/>
  <c r="E91" i="73"/>
  <c r="AG40" i="73" l="1"/>
  <c r="BE40" i="73" s="1"/>
  <c r="AB40" i="73"/>
  <c r="W40" i="73"/>
  <c r="R40" i="73"/>
  <c r="M40" i="73"/>
  <c r="BA40" i="73" s="1"/>
  <c r="H40" i="73"/>
  <c r="D40" i="73"/>
  <c r="AH40" i="73"/>
  <c r="X40" i="73"/>
  <c r="T40" i="73"/>
  <c r="N40" i="73"/>
  <c r="BB40" i="73" s="1"/>
  <c r="E40" i="73"/>
  <c r="AF40" i="73"/>
  <c r="BD40" i="73" s="1"/>
  <c r="AA40" i="73"/>
  <c r="V40" i="73"/>
  <c r="Q40" i="73"/>
  <c r="L40" i="73"/>
  <c r="G40" i="73"/>
  <c r="AZ40" i="73" s="1"/>
  <c r="AE40" i="73"/>
  <c r="BC40" i="73" s="1"/>
  <c r="Z40" i="73"/>
  <c r="U40" i="73"/>
  <c r="P40" i="73"/>
  <c r="K40" i="73"/>
  <c r="F40" i="73"/>
  <c r="AY40" i="73" s="1"/>
  <c r="AC40" i="73"/>
  <c r="J40" i="73"/>
  <c r="AE38" i="73"/>
  <c r="BC38" i="73" s="1"/>
  <c r="Z38" i="73"/>
  <c r="U38" i="73"/>
  <c r="AF38" i="73"/>
  <c r="BD38" i="73" s="1"/>
  <c r="V38" i="73"/>
  <c r="AH38" i="73"/>
  <c r="AC38" i="73"/>
  <c r="X38" i="73"/>
  <c r="T38" i="73"/>
  <c r="AG38" i="73"/>
  <c r="BE38" i="73" s="1"/>
  <c r="AB38" i="73"/>
  <c r="W38" i="73"/>
  <c r="AA38" i="73"/>
  <c r="AG36" i="73"/>
  <c r="BE36" i="73" s="1"/>
  <c r="AB36" i="73"/>
  <c r="W36" i="73"/>
  <c r="R36" i="73"/>
  <c r="M36" i="73"/>
  <c r="BA36" i="73" s="1"/>
  <c r="H36" i="73"/>
  <c r="D36" i="73"/>
  <c r="AF36" i="73"/>
  <c r="BD36" i="73" s="1"/>
  <c r="AA36" i="73"/>
  <c r="V36" i="73"/>
  <c r="Q36" i="73"/>
  <c r="L36" i="73"/>
  <c r="G36" i="73"/>
  <c r="AZ36" i="73" s="1"/>
  <c r="AE36" i="73"/>
  <c r="BC36" i="73" s="1"/>
  <c r="Z36" i="73"/>
  <c r="U36" i="73"/>
  <c r="P36" i="73"/>
  <c r="K36" i="73"/>
  <c r="F36" i="73"/>
  <c r="AY36" i="73" s="1"/>
  <c r="AH36" i="73"/>
  <c r="AC36" i="73"/>
  <c r="X36" i="73"/>
  <c r="T36" i="73"/>
  <c r="N36" i="73"/>
  <c r="J36" i="73"/>
  <c r="E36" i="73"/>
  <c r="R38" i="73"/>
  <c r="M38" i="73"/>
  <c r="BA38" i="73" s="1"/>
  <c r="Q38" i="73"/>
  <c r="L38" i="73"/>
  <c r="P38" i="73"/>
  <c r="K38" i="73"/>
  <c r="N38" i="73"/>
  <c r="BB38" i="73" s="1"/>
  <c r="J38" i="73"/>
  <c r="F38" i="73"/>
  <c r="AY38" i="73" s="1"/>
  <c r="E38" i="73"/>
  <c r="AX38" i="73" s="1"/>
  <c r="H38" i="73"/>
  <c r="D38" i="73"/>
  <c r="G38" i="73"/>
  <c r="AZ38" i="73" s="1"/>
  <c r="E137" i="73"/>
  <c r="E127" i="73"/>
  <c r="E135" i="73"/>
  <c r="BL14" i="73"/>
  <c r="E96" i="73"/>
  <c r="BM8" i="73"/>
  <c r="BP8" i="73" s="1"/>
  <c r="BR14" i="73"/>
  <c r="E131" i="73"/>
  <c r="BM65" i="73"/>
  <c r="U60" i="73"/>
  <c r="BM28" i="73"/>
  <c r="AE60" i="73"/>
  <c r="BM58" i="73"/>
  <c r="BM35" i="73"/>
  <c r="BY21" i="73"/>
  <c r="BS21" i="73"/>
  <c r="BM21" i="73"/>
  <c r="BS13" i="73"/>
  <c r="BM13" i="73"/>
  <c r="AY60" i="73"/>
  <c r="K60" i="73"/>
  <c r="O60" i="73"/>
  <c r="Z60" i="73"/>
  <c r="BY13" i="73"/>
  <c r="BP7" i="73"/>
  <c r="E60" i="73"/>
  <c r="E79" i="73"/>
  <c r="BN65" i="73"/>
  <c r="AA60" i="73"/>
  <c r="F60" i="73"/>
  <c r="AZ60" i="73"/>
  <c r="V60" i="73"/>
  <c r="L60" i="73"/>
  <c r="BN13" i="73"/>
  <c r="P60" i="73"/>
  <c r="BZ21" i="73"/>
  <c r="BN21" i="73"/>
  <c r="AF60" i="73"/>
  <c r="BZ13" i="73"/>
  <c r="BT13" i="73"/>
  <c r="BN35" i="73"/>
  <c r="BN28" i="73"/>
  <c r="BT21" i="73"/>
  <c r="BN58" i="73"/>
  <c r="BA60" i="73"/>
  <c r="BO65" i="73"/>
  <c r="AG60" i="73"/>
  <c r="M60" i="73"/>
  <c r="BO58" i="73"/>
  <c r="CA21" i="73"/>
  <c r="CA13" i="73"/>
  <c r="AB60" i="73"/>
  <c r="Q60" i="73"/>
  <c r="BO28" i="73"/>
  <c r="BO35" i="73"/>
  <c r="BU21" i="73"/>
  <c r="BO21" i="73"/>
  <c r="G60" i="73"/>
  <c r="BO13" i="73"/>
  <c r="W60" i="73"/>
  <c r="BU13" i="73"/>
  <c r="BE75" i="73"/>
  <c r="BL35" i="73"/>
  <c r="BR21" i="73"/>
  <c r="BX13" i="73"/>
  <c r="BX21" i="73"/>
  <c r="BL21" i="73"/>
  <c r="BR13" i="73"/>
  <c r="BL65" i="73"/>
  <c r="BL58" i="73"/>
  <c r="AX60" i="73"/>
  <c r="BL28" i="73"/>
  <c r="BL13" i="73"/>
  <c r="J108" i="73"/>
  <c r="E108" i="73" s="1"/>
  <c r="BS14" i="73"/>
  <c r="BM66" i="73"/>
  <c r="BL66" i="73"/>
  <c r="BM14" i="73"/>
  <c r="E104" i="73"/>
  <c r="BS22" i="73"/>
  <c r="BM29" i="73"/>
  <c r="BL29" i="73"/>
  <c r="E143" i="73"/>
  <c r="BL8" i="73"/>
  <c r="BR22" i="73"/>
  <c r="K101" i="73"/>
  <c r="J101" i="73"/>
  <c r="AZ61" i="73"/>
  <c r="AF61" i="73"/>
  <c r="AA61" i="73"/>
  <c r="V61" i="73"/>
  <c r="P61" i="73"/>
  <c r="L61" i="73"/>
  <c r="F61" i="73"/>
  <c r="E123" i="73"/>
  <c r="E149" i="73"/>
  <c r="H116" i="73" l="1"/>
  <c r="L150" i="73"/>
  <c r="U186" i="73" s="1"/>
  <c r="K150" i="73"/>
  <c r="T186" i="73" s="1"/>
  <c r="J150" i="73"/>
  <c r="S186" i="73" s="1"/>
  <c r="A66" i="73"/>
  <c r="I156" i="73" s="1"/>
  <c r="A29" i="73"/>
  <c r="I116" i="73" s="1"/>
  <c r="H156" i="73"/>
  <c r="T189" i="73"/>
  <c r="H150" i="73"/>
  <c r="E101" i="73"/>
  <c r="E157" i="73" s="1"/>
  <c r="BE59" i="73"/>
  <c r="BO8" i="73"/>
  <c r="AS8" i="73" s="1"/>
  <c r="B12" i="24" s="1"/>
  <c r="BC59" i="73"/>
  <c r="AY59" i="73"/>
  <c r="AD14" i="73"/>
  <c r="T192" i="73"/>
  <c r="U59" i="73"/>
  <c r="T190" i="73"/>
  <c r="U189" i="73"/>
  <c r="H100" i="73"/>
  <c r="Z14" i="73"/>
  <c r="AK22" i="73"/>
  <c r="T193" i="73"/>
  <c r="A40" i="73"/>
  <c r="F59" i="73"/>
  <c r="Q59" i="73"/>
  <c r="L59" i="73"/>
  <c r="A36" i="73"/>
  <c r="AA59" i="73"/>
  <c r="BA59" i="73"/>
  <c r="K59" i="73"/>
  <c r="R59" i="73"/>
  <c r="U188" i="73"/>
  <c r="S187" i="73"/>
  <c r="AH59" i="73"/>
  <c r="AZ59" i="73"/>
  <c r="BM46" i="73"/>
  <c r="BO46" i="73" s="1"/>
  <c r="W59" i="73"/>
  <c r="U191" i="73"/>
  <c r="U190" i="73"/>
  <c r="BD59" i="73"/>
  <c r="BM48" i="73"/>
  <c r="A48" i="73"/>
  <c r="BL48" i="73"/>
  <c r="BM50" i="73"/>
  <c r="T188" i="73"/>
  <c r="BV22" i="73"/>
  <c r="AB24" i="73" s="1"/>
  <c r="BU22" i="73"/>
  <c r="H59" i="73"/>
  <c r="S190" i="73"/>
  <c r="U61" i="73"/>
  <c r="T59" i="73"/>
  <c r="BN59" i="73"/>
  <c r="BL46" i="73"/>
  <c r="G59" i="73"/>
  <c r="BM42" i="73"/>
  <c r="Z59" i="73"/>
  <c r="BL40" i="73"/>
  <c r="A38" i="73"/>
  <c r="AG59" i="73"/>
  <c r="AF22" i="73"/>
  <c r="BM40" i="73"/>
  <c r="AX40" i="73"/>
  <c r="U193" i="73" s="1"/>
  <c r="AF59" i="73"/>
  <c r="BU14" i="73"/>
  <c r="BV14" i="73"/>
  <c r="W16" i="73" s="1"/>
  <c r="A54" i="73"/>
  <c r="I22" i="73"/>
  <c r="AD22" i="73"/>
  <c r="J22" i="73"/>
  <c r="AJ22" i="73" s="1"/>
  <c r="AG22" i="73"/>
  <c r="AH22" i="73"/>
  <c r="Z193" i="73"/>
  <c r="V193" i="73"/>
  <c r="AB192" i="73"/>
  <c r="X192" i="73"/>
  <c r="Z191" i="73"/>
  <c r="V191" i="73"/>
  <c r="AB190" i="73"/>
  <c r="X190" i="73"/>
  <c r="Z189" i="73"/>
  <c r="V189" i="73"/>
  <c r="AB188" i="73"/>
  <c r="X188" i="73"/>
  <c r="Z187" i="73"/>
  <c r="V187" i="73"/>
  <c r="Y193" i="73"/>
  <c r="AA192" i="73"/>
  <c r="W192" i="73"/>
  <c r="Y191" i="73"/>
  <c r="AA190" i="73"/>
  <c r="W190" i="73"/>
  <c r="Y189" i="73"/>
  <c r="AA188" i="73"/>
  <c r="W188" i="73"/>
  <c r="Y187" i="73"/>
  <c r="AA193" i="73"/>
  <c r="W191" i="73"/>
  <c r="Y190" i="73"/>
  <c r="AA189" i="73"/>
  <c r="W187" i="73"/>
  <c r="X193" i="73"/>
  <c r="Z192" i="73"/>
  <c r="AB191" i="73"/>
  <c r="V190" i="73"/>
  <c r="X189" i="73"/>
  <c r="Z188" i="73"/>
  <c r="AB187" i="73"/>
  <c r="Y192" i="73"/>
  <c r="W189" i="73"/>
  <c r="AA187" i="73"/>
  <c r="W193" i="73"/>
  <c r="AB193" i="73"/>
  <c r="V192" i="73"/>
  <c r="Z190" i="73"/>
  <c r="X187" i="73"/>
  <c r="AA191" i="73"/>
  <c r="Y188" i="73"/>
  <c r="V188" i="73"/>
  <c r="A8" i="73"/>
  <c r="X191" i="73"/>
  <c r="AB189" i="73"/>
  <c r="H94" i="73"/>
  <c r="A14" i="73"/>
  <c r="I100" i="73" s="1"/>
  <c r="N59" i="73"/>
  <c r="BB36" i="73"/>
  <c r="BB59" i="73" s="1"/>
  <c r="A44" i="73"/>
  <c r="BL44" i="73"/>
  <c r="BM44" i="73"/>
  <c r="BL38" i="73"/>
  <c r="S192" i="73"/>
  <c r="A50" i="73"/>
  <c r="AB59" i="73"/>
  <c r="E59" i="73"/>
  <c r="AX36" i="73"/>
  <c r="X59" i="73"/>
  <c r="T191" i="73"/>
  <c r="A42" i="73"/>
  <c r="BO29" i="73"/>
  <c r="BP29" i="73"/>
  <c r="AS29" i="73" s="1"/>
  <c r="A52" i="73"/>
  <c r="U187" i="73"/>
  <c r="BM38" i="73"/>
  <c r="Z61" i="73"/>
  <c r="AE22" i="73"/>
  <c r="BL36" i="73"/>
  <c r="BO14" i="73"/>
  <c r="BP14" i="73"/>
  <c r="L16" i="73" s="1"/>
  <c r="AC14" i="73"/>
  <c r="BM54" i="73"/>
  <c r="S189" i="73"/>
  <c r="O61" i="73"/>
  <c r="P59" i="73"/>
  <c r="BM52" i="73"/>
  <c r="D59" i="73"/>
  <c r="E61" i="73"/>
  <c r="A46" i="73"/>
  <c r="BL50" i="73"/>
  <c r="V59" i="73"/>
  <c r="S188" i="73"/>
  <c r="K61" i="73"/>
  <c r="J59" i="73"/>
  <c r="AC59" i="73"/>
  <c r="BL42" i="73"/>
  <c r="BL52" i="73"/>
  <c r="U192" i="73"/>
  <c r="T187" i="73"/>
  <c r="S191" i="73"/>
  <c r="AE59" i="73"/>
  <c r="BM36" i="73"/>
  <c r="BP66" i="73"/>
  <c r="AS66" i="73" s="1"/>
  <c r="B360" i="24" s="1"/>
  <c r="BO66" i="73"/>
  <c r="M59" i="73"/>
  <c r="AE61" i="73"/>
  <c r="BL54" i="73"/>
  <c r="AA14" i="73"/>
  <c r="AB14" i="73"/>
  <c r="AH60" i="73"/>
  <c r="AC60" i="73"/>
  <c r="X60" i="73"/>
  <c r="R60" i="73"/>
  <c r="N60" i="73"/>
  <c r="H60" i="73"/>
  <c r="BP58" i="73"/>
  <c r="BB60" i="73"/>
  <c r="BP35" i="73"/>
  <c r="BV21" i="73"/>
  <c r="BP65" i="73"/>
  <c r="BP28" i="73"/>
  <c r="CB13" i="73"/>
  <c r="BP21" i="73"/>
  <c r="BV13" i="73"/>
  <c r="BP13" i="73"/>
  <c r="CB21" i="73"/>
  <c r="F158" i="73" l="1"/>
  <c r="F157" i="73"/>
  <c r="H109" i="73"/>
  <c r="L171" i="73" s="1"/>
  <c r="G157" i="73"/>
  <c r="G158" i="73" s="1"/>
  <c r="BL59" i="73"/>
  <c r="BY14" i="73"/>
  <c r="CA14" i="73" s="1"/>
  <c r="A56" i="73"/>
  <c r="I150" i="73" s="1"/>
  <c r="BP46" i="73"/>
  <c r="I94" i="73"/>
  <c r="BO44" i="73"/>
  <c r="BP44" i="73"/>
  <c r="BO40" i="73"/>
  <c r="BP40" i="73"/>
  <c r="M61" i="73"/>
  <c r="N61" i="73"/>
  <c r="Q61" i="73"/>
  <c r="R61" i="73"/>
  <c r="AG61" i="73"/>
  <c r="AH61" i="73"/>
  <c r="AG62" i="73" s="1"/>
  <c r="B315" i="24" s="1"/>
  <c r="AI22" i="73"/>
  <c r="BY22" i="73" s="1"/>
  <c r="A22" i="73"/>
  <c r="I109" i="73" s="1"/>
  <c r="BL22" i="73"/>
  <c r="BM22" i="73"/>
  <c r="BO50" i="73"/>
  <c r="BP50" i="73"/>
  <c r="BO48" i="73"/>
  <c r="BP48" i="73"/>
  <c r="BX14" i="73"/>
  <c r="G61" i="73"/>
  <c r="H61" i="73"/>
  <c r="BO52" i="73"/>
  <c r="BP52" i="73"/>
  <c r="AB61" i="73"/>
  <c r="AC61" i="73"/>
  <c r="AX59" i="73"/>
  <c r="AX61" i="73" s="1"/>
  <c r="AY61" i="73"/>
  <c r="S193" i="73"/>
  <c r="BM59" i="73"/>
  <c r="BO36" i="73"/>
  <c r="BP36" i="73"/>
  <c r="BP59" i="73"/>
  <c r="BO59" i="73"/>
  <c r="BP54" i="73"/>
  <c r="BO54" i="73"/>
  <c r="BP38" i="73"/>
  <c r="BO38" i="73"/>
  <c r="BP42" i="73"/>
  <c r="BO42" i="73"/>
  <c r="W61" i="73"/>
  <c r="X61" i="73"/>
  <c r="AS40" i="73" l="1"/>
  <c r="AB171" i="73" s="1"/>
  <c r="E158" i="73"/>
  <c r="D74" i="73" s="1"/>
  <c r="W62" i="73"/>
  <c r="AB62" i="73"/>
  <c r="G62" i="73"/>
  <c r="B70" i="24" s="1"/>
  <c r="M62" i="73"/>
  <c r="AS38" i="73"/>
  <c r="AB170" i="73" s="1"/>
  <c r="AS36" i="73"/>
  <c r="Q62" i="73"/>
  <c r="CB14" i="73"/>
  <c r="AS14" i="73" s="1"/>
  <c r="AB162" i="73"/>
  <c r="L178" i="73"/>
  <c r="CB22" i="73"/>
  <c r="CA22" i="73"/>
  <c r="AY78" i="73" s="1"/>
  <c r="BP22" i="73"/>
  <c r="BO22" i="73"/>
  <c r="L163" i="73"/>
  <c r="BX22" i="73"/>
  <c r="BB61" i="73"/>
  <c r="BA61" i="73"/>
  <c r="D75" i="73"/>
  <c r="L173" i="73"/>
  <c r="AB159" i="73" l="1"/>
  <c r="B180" i="24"/>
  <c r="AB169" i="73"/>
  <c r="AB179" i="73" s="1"/>
  <c r="AD179" i="73" s="1"/>
  <c r="D77" i="73" s="1"/>
  <c r="B69" i="24"/>
  <c r="AB158" i="73"/>
  <c r="B126" i="24"/>
  <c r="AB161" i="73"/>
  <c r="B270" i="24"/>
  <c r="AB160" i="73"/>
  <c r="B214" i="24"/>
  <c r="L162" i="73"/>
  <c r="O24" i="73"/>
  <c r="AS22" i="73" s="1"/>
  <c r="AB157" i="73"/>
  <c r="BD62" i="73"/>
  <c r="AB163" i="73" s="1"/>
  <c r="AY75" i="73"/>
  <c r="AT56" i="73"/>
  <c r="AS59" i="73"/>
  <c r="A201" i="73" l="1"/>
  <c r="K170" i="73"/>
  <c r="L172" i="73" s="1"/>
  <c r="Y206" i="73"/>
  <c r="BB76" i="73"/>
  <c r="A3" i="24" s="1"/>
  <c r="Y209" i="73"/>
  <c r="K176" i="73"/>
  <c r="L176" i="73" s="1"/>
  <c r="L165" i="73"/>
  <c r="AE164" i="73"/>
  <c r="AB164" i="73"/>
  <c r="AD164" i="73" s="1"/>
  <c r="L170" i="73" l="1"/>
  <c r="L174" i="73" s="1"/>
  <c r="AB206" i="73" s="1"/>
  <c r="K161" i="73"/>
  <c r="L166" i="73" s="1"/>
  <c r="L177" i="73"/>
  <c r="L179" i="73"/>
  <c r="L164" i="73"/>
  <c r="D76" i="73"/>
  <c r="L161" i="73" l="1"/>
  <c r="L167" i="73" s="1"/>
  <c r="D78" i="73"/>
  <c r="D73" i="73"/>
  <c r="L180" i="73"/>
  <c r="AB209" i="73" s="1"/>
  <c r="A13" i="72"/>
  <c r="D79" i="73" l="1"/>
  <c r="BE76" i="73" s="1"/>
  <c r="A4" i="24" s="1"/>
  <c r="D43" i="70"/>
  <c r="D44" i="70"/>
  <c r="D45" i="70"/>
  <c r="D46" i="70"/>
  <c r="D47" i="70"/>
  <c r="D48" i="70"/>
  <c r="D42" i="70"/>
  <c r="D41" i="70"/>
  <c r="D40" i="70"/>
  <c r="D39" i="70"/>
  <c r="D38" i="70"/>
  <c r="D37" i="70"/>
  <c r="D36" i="70"/>
  <c r="D35" i="70"/>
  <c r="D34" i="70"/>
  <c r="D33" i="70"/>
  <c r="D32" i="70"/>
  <c r="D31" i="70"/>
  <c r="D30" i="70"/>
  <c r="D29" i="70"/>
  <c r="D28" i="70"/>
  <c r="D27" i="70"/>
  <c r="D26" i="70"/>
  <c r="D25" i="70"/>
  <c r="D24" i="70"/>
  <c r="D23" i="70"/>
  <c r="D22" i="70"/>
  <c r="D21" i="70"/>
  <c r="D20" i="70"/>
  <c r="D313" i="70"/>
  <c r="D312" i="70"/>
  <c r="D311" i="70"/>
  <c r="D310" i="70"/>
  <c r="D309" i="70"/>
  <c r="D300" i="70"/>
  <c r="D301" i="70"/>
  <c r="D302" i="70"/>
  <c r="D303" i="70"/>
  <c r="D304" i="70"/>
  <c r="D305" i="70"/>
  <c r="D306" i="70"/>
  <c r="D307" i="70"/>
  <c r="D308" i="70"/>
  <c r="D299" i="70"/>
  <c r="D290" i="70"/>
  <c r="D291" i="70"/>
  <c r="D292" i="70"/>
  <c r="D293" i="70"/>
  <c r="D294" i="70"/>
  <c r="D295" i="70"/>
  <c r="D296" i="70"/>
  <c r="D297" i="70"/>
  <c r="D298" i="70"/>
  <c r="D289" i="70"/>
  <c r="D280" i="70"/>
  <c r="D281" i="70"/>
  <c r="D282" i="70"/>
  <c r="D283" i="70"/>
  <c r="D284" i="70"/>
  <c r="D285" i="70"/>
  <c r="D286" i="70"/>
  <c r="D287" i="70"/>
  <c r="D288" i="70"/>
  <c r="D279" i="70"/>
  <c r="D270" i="70"/>
  <c r="D271" i="70"/>
  <c r="D272" i="70"/>
  <c r="D273" i="70"/>
  <c r="D274" i="70"/>
  <c r="D275" i="70"/>
  <c r="D276" i="70"/>
  <c r="D277" i="70"/>
  <c r="D278" i="70"/>
  <c r="D269" i="70"/>
  <c r="D260" i="70"/>
  <c r="D261" i="70"/>
  <c r="D262" i="70"/>
  <c r="D263" i="70"/>
  <c r="D264" i="70"/>
  <c r="D265" i="70"/>
  <c r="D266" i="70"/>
  <c r="D267" i="70"/>
  <c r="D268" i="70"/>
  <c r="D259" i="70"/>
  <c r="D250" i="70"/>
  <c r="D251" i="70"/>
  <c r="D252" i="70"/>
  <c r="D253" i="70"/>
  <c r="D254" i="70"/>
  <c r="D255" i="70"/>
  <c r="D256" i="70"/>
  <c r="D257" i="70"/>
  <c r="D258" i="70"/>
  <c r="D249" i="70"/>
  <c r="D240" i="70"/>
  <c r="D241" i="70"/>
  <c r="D242" i="70"/>
  <c r="D243" i="70"/>
  <c r="D244" i="70"/>
  <c r="D245" i="70"/>
  <c r="D246" i="70"/>
  <c r="D247" i="70"/>
  <c r="D248" i="70"/>
  <c r="D239" i="70"/>
  <c r="D230" i="70"/>
  <c r="D231" i="70"/>
  <c r="D232" i="70"/>
  <c r="D233" i="70"/>
  <c r="D234" i="70"/>
  <c r="D235" i="70"/>
  <c r="D236" i="70"/>
  <c r="D237" i="70"/>
  <c r="D238" i="70"/>
  <c r="D229" i="70"/>
  <c r="D220" i="70"/>
  <c r="D221" i="70"/>
  <c r="D222" i="70"/>
  <c r="D223" i="70"/>
  <c r="D224" i="70"/>
  <c r="D225" i="70"/>
  <c r="D226" i="70"/>
  <c r="D227" i="70"/>
  <c r="D228" i="70"/>
  <c r="D219" i="70"/>
  <c r="D210" i="70"/>
  <c r="D211" i="70"/>
  <c r="D212" i="70"/>
  <c r="D213" i="70"/>
  <c r="D214" i="70"/>
  <c r="D215" i="70"/>
  <c r="D216" i="70"/>
  <c r="D217" i="70"/>
  <c r="D218" i="70"/>
  <c r="D209" i="70"/>
  <c r="D200" i="70"/>
  <c r="D201" i="70"/>
  <c r="D202" i="70"/>
  <c r="D203" i="70"/>
  <c r="D204" i="70"/>
  <c r="D205" i="70"/>
  <c r="D206" i="70"/>
  <c r="D207" i="70"/>
  <c r="D208" i="70"/>
  <c r="D199" i="70"/>
  <c r="D190" i="70"/>
  <c r="D191" i="70"/>
  <c r="D192" i="70"/>
  <c r="D193" i="70"/>
  <c r="D194" i="70"/>
  <c r="D195" i="70"/>
  <c r="D196" i="70"/>
  <c r="D197" i="70"/>
  <c r="D198" i="70"/>
  <c r="D189" i="70"/>
  <c r="D180" i="70"/>
  <c r="D181" i="70"/>
  <c r="D182" i="70"/>
  <c r="D183" i="70"/>
  <c r="D184" i="70"/>
  <c r="D185" i="70"/>
  <c r="D186" i="70"/>
  <c r="D187" i="70"/>
  <c r="D188" i="70"/>
  <c r="D179" i="70"/>
  <c r="D170" i="70"/>
  <c r="D171" i="70"/>
  <c r="D172" i="70"/>
  <c r="D173" i="70"/>
  <c r="D174" i="70"/>
  <c r="D175" i="70"/>
  <c r="D176" i="70"/>
  <c r="D177" i="70"/>
  <c r="D178" i="70"/>
  <c r="D169" i="70"/>
  <c r="D160" i="70"/>
  <c r="D161" i="70"/>
  <c r="D162" i="70"/>
  <c r="D163" i="70"/>
  <c r="D164" i="70"/>
  <c r="D165" i="70"/>
  <c r="D166" i="70"/>
  <c r="D167" i="70"/>
  <c r="D168" i="70"/>
  <c r="D159" i="70"/>
  <c r="D150" i="70"/>
  <c r="D151" i="70"/>
  <c r="D152" i="70"/>
  <c r="D153" i="70"/>
  <c r="D154" i="70"/>
  <c r="D155" i="70"/>
  <c r="D156" i="70"/>
  <c r="D157" i="70"/>
  <c r="D158" i="70"/>
  <c r="D149" i="70"/>
  <c r="D140" i="70"/>
  <c r="D141" i="70"/>
  <c r="D142" i="70"/>
  <c r="D143" i="70"/>
  <c r="D144" i="70"/>
  <c r="D145" i="70"/>
  <c r="D146" i="70"/>
  <c r="D147" i="70"/>
  <c r="D148" i="70"/>
  <c r="D139" i="70"/>
  <c r="D130" i="70"/>
  <c r="D131" i="70"/>
  <c r="D132" i="70"/>
  <c r="D133" i="70"/>
  <c r="D134" i="70"/>
  <c r="D135" i="70"/>
  <c r="D136" i="70"/>
  <c r="D137" i="70"/>
  <c r="D138" i="70"/>
  <c r="D129" i="70"/>
  <c r="D120" i="70"/>
  <c r="D121" i="70"/>
  <c r="D122" i="70"/>
  <c r="D123" i="70"/>
  <c r="D124" i="70"/>
  <c r="D125" i="70"/>
  <c r="D126" i="70"/>
  <c r="D127" i="70"/>
  <c r="D128" i="70"/>
  <c r="D119" i="70"/>
  <c r="D110" i="70"/>
  <c r="D111" i="70"/>
  <c r="D112" i="70"/>
  <c r="D113" i="70"/>
  <c r="D114" i="70"/>
  <c r="D115" i="70"/>
  <c r="D116" i="70"/>
  <c r="D117" i="70"/>
  <c r="D118" i="70"/>
  <c r="D109" i="70"/>
  <c r="D100" i="70"/>
  <c r="D101" i="70"/>
  <c r="D102" i="70"/>
  <c r="D103" i="70"/>
  <c r="D104" i="70"/>
  <c r="D105" i="70"/>
  <c r="D106" i="70"/>
  <c r="D107" i="70"/>
  <c r="D108" i="70"/>
  <c r="D99" i="70"/>
  <c r="D90" i="70"/>
  <c r="D91" i="70"/>
  <c r="D92" i="70"/>
  <c r="D93" i="70"/>
  <c r="D94" i="70"/>
  <c r="D95" i="70"/>
  <c r="D96" i="70"/>
  <c r="D97" i="70"/>
  <c r="D98" i="70"/>
  <c r="D89" i="70"/>
  <c r="D80" i="70"/>
  <c r="D81" i="70"/>
  <c r="D82" i="70"/>
  <c r="D83" i="70"/>
  <c r="D84" i="70"/>
  <c r="D85" i="70"/>
  <c r="D86" i="70"/>
  <c r="D87" i="70"/>
  <c r="D88" i="70"/>
  <c r="D79" i="70"/>
  <c r="D70" i="70"/>
  <c r="D71" i="70"/>
  <c r="D72" i="70"/>
  <c r="D73" i="70"/>
  <c r="D74" i="70"/>
  <c r="D75" i="70"/>
  <c r="D76" i="70"/>
  <c r="D77" i="70"/>
  <c r="D78" i="70"/>
  <c r="D69" i="70"/>
  <c r="D60" i="70"/>
  <c r="D61" i="70"/>
  <c r="D62" i="70"/>
  <c r="D63" i="70"/>
  <c r="D64" i="70"/>
  <c r="D65" i="70"/>
  <c r="D66" i="70"/>
  <c r="D67" i="70"/>
  <c r="D68" i="70"/>
  <c r="D59" i="70"/>
  <c r="D50" i="70"/>
  <c r="D51" i="70"/>
  <c r="D52" i="70"/>
  <c r="D53" i="70"/>
  <c r="D54" i="70"/>
  <c r="D55" i="70"/>
  <c r="D56" i="70"/>
  <c r="D57" i="70"/>
  <c r="D58" i="70"/>
  <c r="D49" i="70"/>
  <c r="D19" i="70"/>
  <c r="D18" i="70"/>
  <c r="D1" i="70" l="1"/>
  <c r="D8" i="70"/>
  <c r="D12" i="70" l="1"/>
  <c r="D13" i="70"/>
  <c r="D14" i="70"/>
  <c r="D15" i="70"/>
  <c r="D16" i="70"/>
  <c r="D17" i="70"/>
  <c r="D11" i="70"/>
  <c r="I313" i="20" l="1"/>
  <c r="H313" i="20"/>
  <c r="B313" i="20"/>
  <c r="B306" i="20"/>
  <c r="H306" i="20"/>
  <c r="I306" i="20"/>
  <c r="B307" i="20"/>
  <c r="H307" i="20"/>
  <c r="I307" i="20"/>
  <c r="B308" i="20"/>
  <c r="H308" i="20"/>
  <c r="I308" i="20"/>
  <c r="B309" i="20"/>
  <c r="H309" i="20"/>
  <c r="I309" i="20"/>
  <c r="B310" i="20"/>
  <c r="H310" i="20"/>
  <c r="I310" i="20"/>
  <c r="B311" i="20"/>
  <c r="H311" i="20"/>
  <c r="I311" i="20"/>
  <c r="B312" i="20"/>
  <c r="H312" i="20"/>
  <c r="I312" i="20"/>
  <c r="I303" i="20"/>
  <c r="H303" i="20"/>
  <c r="B303" i="20"/>
  <c r="B297" i="20"/>
  <c r="H297" i="20"/>
  <c r="I297" i="20"/>
  <c r="B298" i="20"/>
  <c r="H298" i="20"/>
  <c r="I298" i="20"/>
  <c r="B299" i="20"/>
  <c r="H299" i="20"/>
  <c r="I299" i="20"/>
  <c r="B300" i="20"/>
  <c r="H300" i="20"/>
  <c r="I300" i="20"/>
  <c r="B301" i="20"/>
  <c r="H301" i="20"/>
  <c r="I301" i="20"/>
  <c r="B302" i="20"/>
  <c r="H302" i="20"/>
  <c r="I302" i="20"/>
  <c r="I293" i="20"/>
  <c r="H293" i="20"/>
  <c r="B293" i="20"/>
  <c r="B287" i="20"/>
  <c r="H287" i="20"/>
  <c r="I287" i="20"/>
  <c r="B288" i="20"/>
  <c r="H288" i="20"/>
  <c r="I288" i="20"/>
  <c r="B289" i="20"/>
  <c r="H289" i="20"/>
  <c r="I289" i="20"/>
  <c r="B290" i="20"/>
  <c r="H290" i="20"/>
  <c r="I290" i="20"/>
  <c r="B291" i="20"/>
  <c r="H291" i="20"/>
  <c r="I291" i="20"/>
  <c r="B292" i="20"/>
  <c r="H292" i="20"/>
  <c r="I292" i="20"/>
  <c r="I283" i="20"/>
  <c r="H283" i="20"/>
  <c r="B283" i="20"/>
  <c r="B277" i="20"/>
  <c r="H277" i="20"/>
  <c r="I277" i="20"/>
  <c r="B278" i="20"/>
  <c r="H278" i="20"/>
  <c r="I278" i="20"/>
  <c r="B279" i="20"/>
  <c r="H279" i="20"/>
  <c r="I279" i="20"/>
  <c r="B280" i="20"/>
  <c r="H280" i="20"/>
  <c r="I280" i="20"/>
  <c r="B281" i="20"/>
  <c r="H281" i="20"/>
  <c r="I281" i="20"/>
  <c r="B282" i="20"/>
  <c r="H282" i="20"/>
  <c r="I282" i="20"/>
  <c r="I273" i="20"/>
  <c r="H273" i="20"/>
  <c r="B273" i="20"/>
  <c r="B266" i="20"/>
  <c r="H266" i="20"/>
  <c r="I266" i="20"/>
  <c r="B267" i="20"/>
  <c r="H267" i="20"/>
  <c r="I267" i="20"/>
  <c r="B268" i="20"/>
  <c r="H268" i="20"/>
  <c r="I268" i="20"/>
  <c r="B269" i="20"/>
  <c r="H269" i="20"/>
  <c r="I269" i="20"/>
  <c r="B270" i="20"/>
  <c r="H270" i="20"/>
  <c r="I270" i="20"/>
  <c r="B271" i="20"/>
  <c r="H271" i="20"/>
  <c r="I271" i="20"/>
  <c r="B272" i="20"/>
  <c r="H272" i="20"/>
  <c r="I272" i="20"/>
  <c r="I263" i="20"/>
  <c r="H263" i="20"/>
  <c r="B263" i="20"/>
  <c r="B257" i="20"/>
  <c r="H257" i="20"/>
  <c r="I257" i="20"/>
  <c r="B258" i="20"/>
  <c r="H258" i="20"/>
  <c r="I258" i="20"/>
  <c r="B259" i="20"/>
  <c r="H259" i="20"/>
  <c r="I259" i="20"/>
  <c r="B260" i="20"/>
  <c r="H260" i="20"/>
  <c r="I260" i="20"/>
  <c r="B261" i="20"/>
  <c r="H261" i="20"/>
  <c r="I261" i="20"/>
  <c r="B262" i="20"/>
  <c r="H262" i="20"/>
  <c r="I262" i="20"/>
  <c r="I253" i="20"/>
  <c r="H253" i="20"/>
  <c r="B253" i="20"/>
  <c r="B247" i="20"/>
  <c r="H247" i="20"/>
  <c r="I247" i="20"/>
  <c r="B248" i="20"/>
  <c r="H248" i="20"/>
  <c r="I248" i="20"/>
  <c r="B249" i="20"/>
  <c r="H249" i="20"/>
  <c r="I249" i="20"/>
  <c r="B250" i="20"/>
  <c r="H250" i="20"/>
  <c r="I250" i="20"/>
  <c r="B251" i="20"/>
  <c r="H251" i="20"/>
  <c r="I251" i="20"/>
  <c r="B252" i="20"/>
  <c r="H252" i="20"/>
  <c r="I252" i="20"/>
  <c r="I243" i="20"/>
  <c r="H243" i="20"/>
  <c r="B243" i="20"/>
  <c r="B237" i="20"/>
  <c r="H237" i="20"/>
  <c r="I237" i="20"/>
  <c r="B238" i="20"/>
  <c r="H238" i="20"/>
  <c r="I238" i="20"/>
  <c r="B239" i="20"/>
  <c r="H239" i="20"/>
  <c r="I239" i="20"/>
  <c r="B240" i="20"/>
  <c r="H240" i="20"/>
  <c r="I240" i="20"/>
  <c r="B241" i="20"/>
  <c r="H241" i="20"/>
  <c r="I241" i="20"/>
  <c r="B242" i="20"/>
  <c r="H242" i="20"/>
  <c r="I242" i="20"/>
  <c r="I233" i="20"/>
  <c r="H233" i="20"/>
  <c r="B233" i="20"/>
  <c r="B232" i="20"/>
  <c r="H232" i="20"/>
  <c r="I232" i="20"/>
  <c r="B226" i="20"/>
  <c r="H226" i="20"/>
  <c r="I226" i="20"/>
  <c r="B227" i="20"/>
  <c r="H227" i="20"/>
  <c r="I227" i="20"/>
  <c r="B228" i="20"/>
  <c r="H228" i="20"/>
  <c r="I228" i="20"/>
  <c r="B229" i="20"/>
  <c r="H229" i="20"/>
  <c r="I229" i="20"/>
  <c r="B230" i="20"/>
  <c r="H230" i="20"/>
  <c r="I230" i="20"/>
  <c r="B231" i="20"/>
  <c r="H231" i="20"/>
  <c r="I231" i="20"/>
  <c r="I223" i="20"/>
  <c r="H223" i="20"/>
  <c r="B223" i="20"/>
  <c r="B217" i="20"/>
  <c r="H217" i="20"/>
  <c r="I217" i="20"/>
  <c r="B218" i="20"/>
  <c r="H218" i="20"/>
  <c r="I218" i="20"/>
  <c r="B219" i="20"/>
  <c r="H219" i="20"/>
  <c r="I219" i="20"/>
  <c r="B220" i="20"/>
  <c r="H220" i="20"/>
  <c r="I220" i="20"/>
  <c r="B221" i="20"/>
  <c r="H221" i="20"/>
  <c r="I221" i="20"/>
  <c r="B222" i="20"/>
  <c r="H222" i="20"/>
  <c r="I222" i="20"/>
  <c r="I213" i="20"/>
  <c r="H213" i="20"/>
  <c r="B213" i="20"/>
  <c r="B207" i="20"/>
  <c r="H207" i="20"/>
  <c r="I207" i="20"/>
  <c r="B208" i="20"/>
  <c r="H208" i="20"/>
  <c r="I208" i="20"/>
  <c r="B209" i="20"/>
  <c r="H209" i="20"/>
  <c r="I209" i="20"/>
  <c r="B210" i="20"/>
  <c r="H210" i="20"/>
  <c r="I210" i="20"/>
  <c r="B211" i="20"/>
  <c r="H211" i="20"/>
  <c r="I211" i="20"/>
  <c r="B212" i="20"/>
  <c r="H212" i="20"/>
  <c r="I212" i="20"/>
  <c r="I203" i="20"/>
  <c r="H203" i="20"/>
  <c r="B203" i="20"/>
  <c r="B197" i="20"/>
  <c r="H197" i="20"/>
  <c r="I197" i="20"/>
  <c r="B198" i="20"/>
  <c r="H198" i="20"/>
  <c r="I198" i="20"/>
  <c r="B199" i="20"/>
  <c r="H199" i="20"/>
  <c r="I199" i="20"/>
  <c r="B200" i="20"/>
  <c r="H200" i="20"/>
  <c r="I200" i="20"/>
  <c r="B201" i="20"/>
  <c r="H201" i="20"/>
  <c r="I201" i="20"/>
  <c r="B202" i="20"/>
  <c r="H202" i="20"/>
  <c r="I202" i="20"/>
  <c r="I193" i="20"/>
  <c r="H193" i="20"/>
  <c r="B193" i="20"/>
  <c r="B187" i="20"/>
  <c r="H187" i="20"/>
  <c r="I187" i="20"/>
  <c r="B188" i="20"/>
  <c r="H188" i="20"/>
  <c r="I188" i="20"/>
  <c r="B189" i="20"/>
  <c r="H189" i="20"/>
  <c r="I189" i="20"/>
  <c r="B190" i="20"/>
  <c r="H190" i="20"/>
  <c r="I190" i="20"/>
  <c r="B191" i="20"/>
  <c r="H191" i="20"/>
  <c r="I191" i="20"/>
  <c r="B192" i="20"/>
  <c r="H192" i="20"/>
  <c r="I192" i="20"/>
  <c r="I183" i="20"/>
  <c r="H183" i="20"/>
  <c r="B183" i="20"/>
  <c r="B176" i="20"/>
  <c r="H176" i="20"/>
  <c r="I176" i="20"/>
  <c r="B177" i="20"/>
  <c r="H177" i="20"/>
  <c r="I177" i="20"/>
  <c r="B178" i="20"/>
  <c r="H178" i="20"/>
  <c r="I178" i="20"/>
  <c r="B179" i="20"/>
  <c r="H179" i="20"/>
  <c r="I179" i="20"/>
  <c r="B180" i="20"/>
  <c r="H180" i="20"/>
  <c r="I180" i="20"/>
  <c r="B181" i="20"/>
  <c r="H181" i="20"/>
  <c r="I181" i="20"/>
  <c r="B182" i="20"/>
  <c r="H182" i="20"/>
  <c r="I182" i="20"/>
  <c r="I173" i="20"/>
  <c r="H173" i="20"/>
  <c r="B173" i="20"/>
  <c r="B167" i="20"/>
  <c r="H167" i="20"/>
  <c r="I167" i="20"/>
  <c r="B168" i="20"/>
  <c r="H168" i="20"/>
  <c r="I168" i="20"/>
  <c r="B169" i="20"/>
  <c r="H169" i="20"/>
  <c r="I169" i="20"/>
  <c r="B170" i="20"/>
  <c r="H170" i="20"/>
  <c r="I170" i="20"/>
  <c r="B171" i="20"/>
  <c r="H171" i="20"/>
  <c r="I171" i="20"/>
  <c r="B172" i="20"/>
  <c r="H172" i="20"/>
  <c r="I172" i="20"/>
  <c r="I163" i="20"/>
  <c r="H163" i="20"/>
  <c r="B163" i="20"/>
  <c r="B157" i="20"/>
  <c r="H157" i="20"/>
  <c r="I157" i="20"/>
  <c r="B158" i="20"/>
  <c r="H158" i="20"/>
  <c r="I158" i="20"/>
  <c r="B159" i="20"/>
  <c r="H159" i="20"/>
  <c r="I159" i="20"/>
  <c r="B160" i="20"/>
  <c r="H160" i="20"/>
  <c r="I160" i="20"/>
  <c r="B161" i="20"/>
  <c r="H161" i="20"/>
  <c r="I161" i="20"/>
  <c r="B162" i="20"/>
  <c r="H162" i="20"/>
  <c r="I162" i="20"/>
  <c r="I153" i="20"/>
  <c r="H153" i="20"/>
  <c r="B153" i="20"/>
  <c r="B146" i="20"/>
  <c r="H146" i="20"/>
  <c r="I146" i="20"/>
  <c r="B147" i="20"/>
  <c r="H147" i="20"/>
  <c r="I147" i="20"/>
  <c r="B148" i="20"/>
  <c r="H148" i="20"/>
  <c r="I148" i="20"/>
  <c r="B149" i="20"/>
  <c r="H149" i="20"/>
  <c r="I149" i="20"/>
  <c r="B150" i="20"/>
  <c r="H150" i="20"/>
  <c r="I150" i="20"/>
  <c r="B151" i="20"/>
  <c r="H151" i="20"/>
  <c r="I151" i="20"/>
  <c r="B152" i="20"/>
  <c r="H152" i="20"/>
  <c r="I152" i="20"/>
  <c r="I143" i="20"/>
  <c r="H143" i="20"/>
  <c r="B143" i="20"/>
  <c r="B137" i="20"/>
  <c r="H137" i="20"/>
  <c r="I137" i="20"/>
  <c r="B138" i="20"/>
  <c r="H138" i="20"/>
  <c r="I138" i="20"/>
  <c r="B139" i="20"/>
  <c r="H139" i="20"/>
  <c r="I139" i="20"/>
  <c r="B140" i="20"/>
  <c r="H140" i="20"/>
  <c r="I140" i="20"/>
  <c r="B141" i="20"/>
  <c r="H141" i="20"/>
  <c r="I141" i="20"/>
  <c r="B142" i="20"/>
  <c r="H142" i="20"/>
  <c r="I142" i="20"/>
  <c r="I133" i="20"/>
  <c r="H133" i="20"/>
  <c r="B133" i="20"/>
  <c r="B127" i="20"/>
  <c r="H127" i="20"/>
  <c r="I127" i="20"/>
  <c r="B128" i="20"/>
  <c r="H128" i="20"/>
  <c r="I128" i="20"/>
  <c r="B129" i="20"/>
  <c r="H129" i="20"/>
  <c r="I129" i="20"/>
  <c r="B130" i="20"/>
  <c r="H130" i="20"/>
  <c r="I130" i="20"/>
  <c r="B131" i="20"/>
  <c r="H131" i="20"/>
  <c r="I131" i="20"/>
  <c r="B132" i="20"/>
  <c r="H132" i="20"/>
  <c r="I132" i="20"/>
  <c r="I123" i="20"/>
  <c r="H123" i="20"/>
  <c r="B123" i="20"/>
  <c r="B117" i="20"/>
  <c r="H117" i="20"/>
  <c r="I117" i="20"/>
  <c r="B118" i="20"/>
  <c r="H118" i="20"/>
  <c r="I118" i="20"/>
  <c r="B119" i="20"/>
  <c r="H119" i="20"/>
  <c r="I119" i="20"/>
  <c r="B120" i="20"/>
  <c r="H120" i="20"/>
  <c r="I120" i="20"/>
  <c r="B121" i="20"/>
  <c r="H121" i="20"/>
  <c r="I121" i="20"/>
  <c r="B122" i="20"/>
  <c r="H122" i="20"/>
  <c r="I122" i="20"/>
  <c r="B107" i="20"/>
  <c r="H107" i="20"/>
  <c r="I107" i="20"/>
  <c r="B108" i="20"/>
  <c r="H108" i="20"/>
  <c r="I108" i="20"/>
  <c r="B109" i="20"/>
  <c r="H109" i="20"/>
  <c r="I109" i="20"/>
  <c r="B110" i="20"/>
  <c r="H110" i="20"/>
  <c r="I110" i="20"/>
  <c r="B111" i="20"/>
  <c r="H111" i="20"/>
  <c r="I111" i="20"/>
  <c r="B112" i="20"/>
  <c r="H112" i="20"/>
  <c r="I112" i="20"/>
  <c r="B113" i="20"/>
  <c r="H113" i="20"/>
  <c r="I113" i="20"/>
  <c r="I103" i="20"/>
  <c r="H103" i="20"/>
  <c r="B103" i="20"/>
  <c r="B96" i="20"/>
  <c r="H96" i="20"/>
  <c r="I96" i="20"/>
  <c r="B97" i="20"/>
  <c r="H97" i="20"/>
  <c r="I97" i="20"/>
  <c r="B98" i="20"/>
  <c r="H98" i="20"/>
  <c r="I98" i="20"/>
  <c r="B99" i="20"/>
  <c r="H99" i="20"/>
  <c r="I99" i="20"/>
  <c r="B100" i="20"/>
  <c r="H100" i="20"/>
  <c r="I100" i="20"/>
  <c r="B101" i="20"/>
  <c r="H101" i="20"/>
  <c r="I101" i="20"/>
  <c r="B102" i="20"/>
  <c r="H102" i="20"/>
  <c r="I102" i="20"/>
  <c r="I93" i="20"/>
  <c r="H93" i="20"/>
  <c r="B93" i="20"/>
  <c r="B87" i="20"/>
  <c r="H87" i="20"/>
  <c r="I87" i="20"/>
  <c r="B88" i="20"/>
  <c r="H88" i="20"/>
  <c r="I88" i="20"/>
  <c r="B89" i="20"/>
  <c r="H89" i="20"/>
  <c r="I89" i="20"/>
  <c r="B90" i="20"/>
  <c r="H90" i="20"/>
  <c r="I90" i="20"/>
  <c r="B91" i="20"/>
  <c r="H91" i="20"/>
  <c r="I91" i="20"/>
  <c r="B92" i="20"/>
  <c r="H92" i="20"/>
  <c r="I92" i="20"/>
  <c r="I83" i="20"/>
  <c r="H83" i="20"/>
  <c r="H76" i="20"/>
  <c r="I76" i="20"/>
  <c r="H77" i="20"/>
  <c r="I77" i="20"/>
  <c r="H78" i="20"/>
  <c r="I78" i="20"/>
  <c r="H79" i="20"/>
  <c r="I79" i="20"/>
  <c r="H80" i="20"/>
  <c r="I80" i="20"/>
  <c r="H81" i="20"/>
  <c r="I81" i="20"/>
  <c r="H82" i="20"/>
  <c r="I82" i="20"/>
  <c r="B83" i="20"/>
  <c r="B77" i="20"/>
  <c r="B78" i="20"/>
  <c r="B79" i="20"/>
  <c r="B80" i="20"/>
  <c r="B81" i="20"/>
  <c r="B82" i="20"/>
  <c r="I73" i="20"/>
  <c r="I67" i="20"/>
  <c r="I68" i="20"/>
  <c r="I69" i="20"/>
  <c r="I70" i="20"/>
  <c r="I71" i="20"/>
  <c r="I72" i="20"/>
  <c r="H73" i="20"/>
  <c r="H67" i="20"/>
  <c r="H68" i="20"/>
  <c r="H69" i="20"/>
  <c r="H70" i="20"/>
  <c r="H71" i="20"/>
  <c r="H72" i="20"/>
  <c r="B73" i="20"/>
  <c r="B67" i="20"/>
  <c r="B68" i="20"/>
  <c r="B69" i="20"/>
  <c r="B70" i="20"/>
  <c r="B71" i="20"/>
  <c r="B72" i="20"/>
  <c r="I63" i="20"/>
  <c r="I57" i="20"/>
  <c r="I58" i="20"/>
  <c r="I59" i="20"/>
  <c r="I60" i="20"/>
  <c r="I61" i="20"/>
  <c r="I62" i="20"/>
  <c r="H63" i="20"/>
  <c r="H57" i="20"/>
  <c r="H58" i="20"/>
  <c r="H59" i="20"/>
  <c r="H60" i="20"/>
  <c r="H61" i="20"/>
  <c r="H62" i="20"/>
  <c r="D63" i="20"/>
  <c r="D73" i="20" s="1"/>
  <c r="D83" i="20" s="1"/>
  <c r="D93" i="20" s="1"/>
  <c r="D103" i="20" s="1"/>
  <c r="D113" i="20" s="1"/>
  <c r="D123" i="20" s="1"/>
  <c r="D133" i="20" s="1"/>
  <c r="D143" i="20" s="1"/>
  <c r="D153" i="20" s="1"/>
  <c r="D163" i="20" s="1"/>
  <c r="D173" i="20" s="1"/>
  <c r="D183" i="20" s="1"/>
  <c r="D193" i="20" s="1"/>
  <c r="D203" i="20" s="1"/>
  <c r="D213" i="20" s="1"/>
  <c r="D223" i="20" s="1"/>
  <c r="D233" i="20" s="1"/>
  <c r="D243" i="20" s="1"/>
  <c r="D253" i="20" s="1"/>
  <c r="D263" i="20" s="1"/>
  <c r="D273" i="20" s="1"/>
  <c r="D283" i="20" s="1"/>
  <c r="D293" i="20" s="1"/>
  <c r="D303" i="20" s="1"/>
  <c r="D313" i="20" s="1"/>
  <c r="D62" i="20"/>
  <c r="D72" i="20" s="1"/>
  <c r="D82" i="20" s="1"/>
  <c r="D92" i="20" s="1"/>
  <c r="D102" i="20" s="1"/>
  <c r="D112" i="20" s="1"/>
  <c r="D122" i="20" s="1"/>
  <c r="D132" i="20" s="1"/>
  <c r="D142" i="20" s="1"/>
  <c r="D152" i="20" s="1"/>
  <c r="D162" i="20" s="1"/>
  <c r="D172" i="20" s="1"/>
  <c r="D182" i="20" s="1"/>
  <c r="D192" i="20" s="1"/>
  <c r="D202" i="20" s="1"/>
  <c r="D212" i="20" s="1"/>
  <c r="D222" i="20" s="1"/>
  <c r="D232" i="20" s="1"/>
  <c r="D242" i="20" s="1"/>
  <c r="D252" i="20" s="1"/>
  <c r="D262" i="20" s="1"/>
  <c r="D272" i="20" s="1"/>
  <c r="D282" i="20" s="1"/>
  <c r="D292" i="20" s="1"/>
  <c r="D302" i="20" s="1"/>
  <c r="D312" i="20" s="1"/>
  <c r="D61" i="20"/>
  <c r="D71" i="20" s="1"/>
  <c r="D81" i="20" s="1"/>
  <c r="D91" i="20" s="1"/>
  <c r="D101" i="20" s="1"/>
  <c r="D111" i="20" s="1"/>
  <c r="D121" i="20" s="1"/>
  <c r="D131" i="20" s="1"/>
  <c r="D141" i="20" s="1"/>
  <c r="D151" i="20" s="1"/>
  <c r="D161" i="20" s="1"/>
  <c r="D171" i="20" s="1"/>
  <c r="D181" i="20" s="1"/>
  <c r="D191" i="20" s="1"/>
  <c r="D201" i="20" s="1"/>
  <c r="D211" i="20" s="1"/>
  <c r="D221" i="20" s="1"/>
  <c r="D231" i="20" s="1"/>
  <c r="D241" i="20" s="1"/>
  <c r="D251" i="20" s="1"/>
  <c r="D261" i="20" s="1"/>
  <c r="D271" i="20" s="1"/>
  <c r="D281" i="20" s="1"/>
  <c r="D291" i="20" s="1"/>
  <c r="D301" i="20" s="1"/>
  <c r="D311" i="20" s="1"/>
  <c r="D60" i="20"/>
  <c r="D70" i="20" s="1"/>
  <c r="D80" i="20" s="1"/>
  <c r="D90" i="20" s="1"/>
  <c r="D100" i="20" s="1"/>
  <c r="D110" i="20" s="1"/>
  <c r="D120" i="20" s="1"/>
  <c r="D130" i="20" s="1"/>
  <c r="D140" i="20" s="1"/>
  <c r="D150" i="20" s="1"/>
  <c r="D160" i="20" s="1"/>
  <c r="D170" i="20" s="1"/>
  <c r="D180" i="20" s="1"/>
  <c r="D190" i="20" s="1"/>
  <c r="D200" i="20" s="1"/>
  <c r="D210" i="20" s="1"/>
  <c r="D220" i="20" s="1"/>
  <c r="D230" i="20" s="1"/>
  <c r="D240" i="20" s="1"/>
  <c r="D250" i="20" s="1"/>
  <c r="D260" i="20" s="1"/>
  <c r="D270" i="20" s="1"/>
  <c r="D280" i="20" s="1"/>
  <c r="D290" i="20" s="1"/>
  <c r="D300" i="20" s="1"/>
  <c r="D310" i="20" s="1"/>
  <c r="D59" i="20"/>
  <c r="D69" i="20" s="1"/>
  <c r="D79" i="20" s="1"/>
  <c r="D89" i="20" s="1"/>
  <c r="D99" i="20" s="1"/>
  <c r="D109" i="20" s="1"/>
  <c r="D119" i="20" s="1"/>
  <c r="D129" i="20" s="1"/>
  <c r="D139" i="20" s="1"/>
  <c r="D149" i="20" s="1"/>
  <c r="D159" i="20" s="1"/>
  <c r="D169" i="20" s="1"/>
  <c r="D179" i="20" s="1"/>
  <c r="D189" i="20" s="1"/>
  <c r="D199" i="20" s="1"/>
  <c r="D209" i="20" s="1"/>
  <c r="D219" i="20" s="1"/>
  <c r="D229" i="20" s="1"/>
  <c r="D239" i="20" s="1"/>
  <c r="D249" i="20" s="1"/>
  <c r="D259" i="20" s="1"/>
  <c r="D269" i="20" s="1"/>
  <c r="D279" i="20" s="1"/>
  <c r="D289" i="20" s="1"/>
  <c r="D299" i="20" s="1"/>
  <c r="D309" i="20" s="1"/>
  <c r="D58" i="20"/>
  <c r="D68" i="20" s="1"/>
  <c r="D78" i="20" s="1"/>
  <c r="D88" i="20" s="1"/>
  <c r="D98" i="20" s="1"/>
  <c r="D108" i="20" s="1"/>
  <c r="D118" i="20" s="1"/>
  <c r="D128" i="20" s="1"/>
  <c r="D138" i="20" s="1"/>
  <c r="D148" i="20" s="1"/>
  <c r="D158" i="20" s="1"/>
  <c r="D168" i="20" s="1"/>
  <c r="D178" i="20" s="1"/>
  <c r="D188" i="20" s="1"/>
  <c r="D198" i="20" s="1"/>
  <c r="D208" i="20" s="1"/>
  <c r="D218" i="20" s="1"/>
  <c r="D228" i="20" s="1"/>
  <c r="D238" i="20" s="1"/>
  <c r="D248" i="20" s="1"/>
  <c r="D258" i="20" s="1"/>
  <c r="D268" i="20" s="1"/>
  <c r="D278" i="20" s="1"/>
  <c r="D288" i="20" s="1"/>
  <c r="D298" i="20" s="1"/>
  <c r="D308" i="20" s="1"/>
  <c r="D57" i="20"/>
  <c r="D67" i="20" s="1"/>
  <c r="D77" i="20" s="1"/>
  <c r="D87" i="20" s="1"/>
  <c r="D97" i="20" s="1"/>
  <c r="D107" i="20" s="1"/>
  <c r="D117" i="20" s="1"/>
  <c r="D127" i="20" s="1"/>
  <c r="D137" i="20" s="1"/>
  <c r="D147" i="20" s="1"/>
  <c r="D157" i="20" s="1"/>
  <c r="D167" i="20" s="1"/>
  <c r="D177" i="20" s="1"/>
  <c r="D187" i="20" s="1"/>
  <c r="D197" i="20" s="1"/>
  <c r="D207" i="20" s="1"/>
  <c r="D217" i="20" s="1"/>
  <c r="D227" i="20" s="1"/>
  <c r="D237" i="20" s="1"/>
  <c r="D247" i="20" s="1"/>
  <c r="D257" i="20" s="1"/>
  <c r="D267" i="20" s="1"/>
  <c r="D277" i="20" s="1"/>
  <c r="D287" i="20" s="1"/>
  <c r="D297" i="20" s="1"/>
  <c r="D307" i="20" s="1"/>
  <c r="D56" i="20"/>
  <c r="B63" i="20"/>
  <c r="B62" i="20"/>
  <c r="B61" i="20"/>
  <c r="B60" i="20"/>
  <c r="B59" i="20"/>
  <c r="B58" i="20"/>
  <c r="B57" i="20"/>
  <c r="C348" i="24" l="1"/>
  <c r="C347" i="24"/>
  <c r="C346" i="24"/>
  <c r="C345" i="24"/>
  <c r="C344" i="24"/>
  <c r="J343" i="24"/>
  <c r="I343" i="24"/>
  <c r="H343" i="24"/>
  <c r="G343" i="24"/>
  <c r="C343" i="24"/>
  <c r="C342" i="24"/>
  <c r="C337" i="24"/>
  <c r="C336" i="24"/>
  <c r="C335" i="24"/>
  <c r="C334" i="24"/>
  <c r="C333" i="24"/>
  <c r="J332" i="24"/>
  <c r="I332" i="24"/>
  <c r="H332" i="24"/>
  <c r="G332" i="24"/>
  <c r="C332" i="24"/>
  <c r="C331" i="24"/>
  <c r="C326" i="24"/>
  <c r="C325" i="24"/>
  <c r="C324" i="24"/>
  <c r="C323" i="24"/>
  <c r="C322" i="24"/>
  <c r="J321" i="24"/>
  <c r="I321" i="24"/>
  <c r="H321" i="24"/>
  <c r="G321" i="24"/>
  <c r="C321" i="24"/>
  <c r="C320" i="24"/>
  <c r="C314" i="24"/>
  <c r="C313" i="24"/>
  <c r="C312" i="24"/>
  <c r="C311" i="24"/>
  <c r="C310" i="24"/>
  <c r="J309" i="24"/>
  <c r="I309" i="24"/>
  <c r="H309" i="24"/>
  <c r="G309" i="24"/>
  <c r="C309" i="24"/>
  <c r="C308" i="24"/>
  <c r="C292" i="24"/>
  <c r="C291" i="24"/>
  <c r="C290" i="24"/>
  <c r="C289" i="24"/>
  <c r="C288" i="24"/>
  <c r="J287" i="24"/>
  <c r="I287" i="24"/>
  <c r="H287" i="24"/>
  <c r="G287" i="24"/>
  <c r="C287" i="24"/>
  <c r="C286" i="24"/>
  <c r="C281" i="24"/>
  <c r="C280" i="24"/>
  <c r="C279" i="24"/>
  <c r="C278" i="24"/>
  <c r="C277" i="24"/>
  <c r="J276" i="24"/>
  <c r="I276" i="24"/>
  <c r="H276" i="24"/>
  <c r="G276" i="24"/>
  <c r="C276" i="24"/>
  <c r="C275" i="24"/>
  <c r="C269" i="24"/>
  <c r="C268" i="24"/>
  <c r="C267" i="24"/>
  <c r="C266" i="24"/>
  <c r="C265" i="24"/>
  <c r="J264" i="24"/>
  <c r="I264" i="24"/>
  <c r="H264" i="24"/>
  <c r="G264" i="24"/>
  <c r="C264" i="24"/>
  <c r="C263" i="24"/>
  <c r="C258" i="24"/>
  <c r="C257" i="24"/>
  <c r="C256" i="24"/>
  <c r="C255" i="24"/>
  <c r="C254" i="24"/>
  <c r="J253" i="24"/>
  <c r="I253" i="24"/>
  <c r="H253" i="24"/>
  <c r="G253" i="24"/>
  <c r="C253" i="24"/>
  <c r="C252" i="24"/>
  <c r="C236" i="24"/>
  <c r="C235" i="24"/>
  <c r="C234" i="24"/>
  <c r="C233" i="24"/>
  <c r="C232" i="24"/>
  <c r="J231" i="24"/>
  <c r="I231" i="24"/>
  <c r="H231" i="24"/>
  <c r="G231" i="24"/>
  <c r="C231" i="24"/>
  <c r="C230" i="24"/>
  <c r="C213" i="24"/>
  <c r="C212" i="24"/>
  <c r="C211" i="24"/>
  <c r="C210" i="24"/>
  <c r="C209" i="24"/>
  <c r="J208" i="24"/>
  <c r="I208" i="24"/>
  <c r="H208" i="24"/>
  <c r="G208" i="24"/>
  <c r="C208" i="24"/>
  <c r="C207" i="24"/>
  <c r="C202" i="24"/>
  <c r="C201" i="24"/>
  <c r="C200" i="24"/>
  <c r="C199" i="24"/>
  <c r="C198" i="24"/>
  <c r="J197" i="24"/>
  <c r="I197" i="24"/>
  <c r="H197" i="24"/>
  <c r="G197" i="24"/>
  <c r="C197" i="24"/>
  <c r="C196" i="24"/>
  <c r="C359" i="24"/>
  <c r="C358" i="24"/>
  <c r="C357" i="24"/>
  <c r="C356" i="24"/>
  <c r="C355" i="24"/>
  <c r="J354" i="24"/>
  <c r="I354" i="24"/>
  <c r="H354" i="24"/>
  <c r="G354" i="24"/>
  <c r="C354" i="24"/>
  <c r="C353" i="24"/>
  <c r="C303" i="24"/>
  <c r="C302" i="24"/>
  <c r="C301" i="24"/>
  <c r="C300" i="24"/>
  <c r="C299" i="24"/>
  <c r="J298" i="24"/>
  <c r="I298" i="24"/>
  <c r="H298" i="24"/>
  <c r="G298" i="24"/>
  <c r="C298" i="24"/>
  <c r="C297" i="24"/>
  <c r="C247" i="24"/>
  <c r="C246" i="24"/>
  <c r="C245" i="24"/>
  <c r="C244" i="24"/>
  <c r="C243" i="24"/>
  <c r="J242" i="24"/>
  <c r="I242" i="24"/>
  <c r="H242" i="24"/>
  <c r="G242" i="24"/>
  <c r="C242" i="24"/>
  <c r="C241" i="24"/>
  <c r="C225" i="24"/>
  <c r="C224" i="24"/>
  <c r="C223" i="24"/>
  <c r="C222" i="24"/>
  <c r="C221" i="24"/>
  <c r="J220" i="24"/>
  <c r="I220" i="24"/>
  <c r="H220" i="24"/>
  <c r="G220" i="24"/>
  <c r="C220" i="24"/>
  <c r="C219" i="24"/>
  <c r="C191" i="24"/>
  <c r="C190" i="24"/>
  <c r="C189" i="24"/>
  <c r="C188" i="24"/>
  <c r="C187" i="24"/>
  <c r="J186" i="24"/>
  <c r="I186" i="24"/>
  <c r="H186" i="24"/>
  <c r="G186" i="24"/>
  <c r="C186" i="24"/>
  <c r="C185" i="24"/>
  <c r="C170" i="24"/>
  <c r="C169" i="24"/>
  <c r="C168" i="24"/>
  <c r="C167" i="24"/>
  <c r="C166" i="24"/>
  <c r="J165" i="24"/>
  <c r="I165" i="24"/>
  <c r="H165" i="24"/>
  <c r="G165" i="24"/>
  <c r="C165" i="24"/>
  <c r="C164" i="24"/>
  <c r="C159" i="24"/>
  <c r="C158" i="24"/>
  <c r="C157" i="24"/>
  <c r="C156" i="24"/>
  <c r="C155" i="24"/>
  <c r="J154" i="24"/>
  <c r="I154" i="24"/>
  <c r="H154" i="24"/>
  <c r="G154" i="24"/>
  <c r="C154" i="24"/>
  <c r="C153" i="24"/>
  <c r="C179" i="24"/>
  <c r="C178" i="24"/>
  <c r="C177" i="24"/>
  <c r="J176" i="24"/>
  <c r="I176" i="24"/>
  <c r="H176" i="24"/>
  <c r="G176" i="24"/>
  <c r="C176" i="24"/>
  <c r="C175" i="24"/>
  <c r="C148" i="24"/>
  <c r="C147" i="24"/>
  <c r="C146" i="24"/>
  <c r="C145" i="24"/>
  <c r="C144" i="24"/>
  <c r="J143" i="24"/>
  <c r="I143" i="24"/>
  <c r="H143" i="24"/>
  <c r="G143" i="24"/>
  <c r="C143" i="24"/>
  <c r="C142" i="24"/>
  <c r="C137" i="24"/>
  <c r="C136" i="24"/>
  <c r="C135" i="24"/>
  <c r="C134" i="24"/>
  <c r="C133" i="24"/>
  <c r="J132" i="24"/>
  <c r="I132" i="24"/>
  <c r="H132" i="24"/>
  <c r="G132" i="24"/>
  <c r="C132" i="24"/>
  <c r="C131" i="24"/>
  <c r="C81" i="24"/>
  <c r="C80" i="24"/>
  <c r="C79" i="24"/>
  <c r="C78" i="24"/>
  <c r="C77" i="24"/>
  <c r="J76" i="24"/>
  <c r="I76" i="24"/>
  <c r="H76" i="24"/>
  <c r="G76" i="24"/>
  <c r="C76" i="24"/>
  <c r="C75" i="24"/>
  <c r="C125" i="24"/>
  <c r="C124" i="24"/>
  <c r="C123" i="24"/>
  <c r="C122" i="24"/>
  <c r="C121" i="24"/>
  <c r="J120" i="24"/>
  <c r="I120" i="24"/>
  <c r="H120" i="24"/>
  <c r="G120" i="24"/>
  <c r="C120" i="24"/>
  <c r="C119" i="24"/>
  <c r="C114" i="24"/>
  <c r="C113" i="24"/>
  <c r="C112" i="24"/>
  <c r="C111" i="24"/>
  <c r="C110" i="24"/>
  <c r="J109" i="24"/>
  <c r="I109" i="24"/>
  <c r="H109" i="24"/>
  <c r="G109" i="24"/>
  <c r="C109" i="24"/>
  <c r="C108" i="24"/>
  <c r="C92" i="24"/>
  <c r="C91" i="24"/>
  <c r="C90" i="24"/>
  <c r="C89" i="24"/>
  <c r="C88" i="24"/>
  <c r="J87" i="24"/>
  <c r="I87" i="24"/>
  <c r="H87" i="24"/>
  <c r="G87" i="24"/>
  <c r="C87" i="24"/>
  <c r="C86" i="24"/>
  <c r="C103" i="24"/>
  <c r="C102" i="24"/>
  <c r="C101" i="24"/>
  <c r="C100" i="24"/>
  <c r="C99" i="24"/>
  <c r="C98" i="24"/>
  <c r="C97" i="24"/>
  <c r="I5" i="55" l="1"/>
  <c r="I4" i="55"/>
  <c r="A264" i="69" l="1"/>
  <c r="A143" i="69"/>
  <c r="A236" i="69"/>
  <c r="A237" i="69"/>
  <c r="A238" i="69"/>
  <c r="A239" i="69"/>
  <c r="A240" i="69"/>
  <c r="A241" i="69"/>
  <c r="A242" i="69"/>
  <c r="A243" i="69"/>
  <c r="A244" i="69"/>
  <c r="A245" i="69"/>
  <c r="A246" i="69"/>
  <c r="A247" i="69"/>
  <c r="A248" i="69"/>
  <c r="A249" i="69"/>
  <c r="A250" i="69"/>
  <c r="A251" i="69"/>
  <c r="A252" i="69"/>
  <c r="A253" i="69"/>
  <c r="A254" i="69"/>
  <c r="A255" i="69"/>
  <c r="A256" i="69"/>
  <c r="A257" i="69"/>
  <c r="A258" i="69"/>
  <c r="A259" i="69"/>
  <c r="A260" i="69"/>
  <c r="A261" i="69"/>
  <c r="A262" i="69"/>
  <c r="A263" i="69"/>
  <c r="A265" i="69"/>
  <c r="A266" i="69"/>
  <c r="A267" i="69"/>
  <c r="A268" i="69"/>
  <c r="A269" i="69"/>
  <c r="A270" i="69"/>
  <c r="A271" i="69"/>
  <c r="A272" i="69"/>
  <c r="A273" i="69"/>
  <c r="A274" i="69"/>
  <c r="A275" i="69"/>
  <c r="A276" i="69"/>
  <c r="A277" i="69"/>
  <c r="A278" i="69"/>
  <c r="A279" i="69"/>
  <c r="A280" i="69"/>
  <c r="A281" i="69"/>
  <c r="A282" i="69"/>
  <c r="A283" i="69"/>
  <c r="A284" i="69"/>
  <c r="A285" i="69"/>
  <c r="A286" i="69"/>
  <c r="A287" i="69"/>
  <c r="A288" i="69"/>
  <c r="A289" i="69"/>
  <c r="A290" i="69"/>
  <c r="A291" i="69"/>
  <c r="A292" i="69"/>
  <c r="A293" i="69"/>
  <c r="A294" i="69"/>
  <c r="A295" i="69"/>
  <c r="A296" i="69"/>
  <c r="A297" i="69"/>
  <c r="A298" i="69"/>
  <c r="A299" i="69"/>
  <c r="A300" i="69"/>
  <c r="A301" i="69"/>
  <c r="A302" i="69"/>
  <c r="A303" i="69"/>
  <c r="A304" i="69"/>
  <c r="A305" i="69"/>
  <c r="A306" i="69"/>
  <c r="A307" i="69"/>
  <c r="A308" i="69"/>
  <c r="A309" i="69"/>
  <c r="A310" i="69"/>
  <c r="A311" i="69"/>
  <c r="A312" i="69"/>
  <c r="A313" i="69"/>
  <c r="A314" i="69"/>
  <c r="A315" i="69"/>
  <c r="A316" i="69"/>
  <c r="A317" i="69"/>
  <c r="A318" i="69"/>
  <c r="A319" i="69"/>
  <c r="A320" i="69"/>
  <c r="A321" i="69"/>
  <c r="A322" i="69"/>
  <c r="A323" i="69"/>
  <c r="A324" i="69"/>
  <c r="A325" i="69"/>
  <c r="A326" i="69"/>
  <c r="A327" i="69"/>
  <c r="A328" i="69"/>
  <c r="A329" i="69"/>
  <c r="A330" i="69"/>
  <c r="A331" i="69"/>
  <c r="A332" i="69"/>
  <c r="A333" i="69"/>
  <c r="A334" i="69"/>
  <c r="A335" i="69"/>
  <c r="A336" i="69"/>
  <c r="A337" i="69"/>
  <c r="A338" i="69"/>
  <c r="A339" i="69"/>
  <c r="A340" i="69"/>
  <c r="A341" i="69"/>
  <c r="A342" i="69"/>
  <c r="A343" i="69"/>
  <c r="A344" i="69"/>
  <c r="A345" i="69"/>
  <c r="A346" i="69"/>
  <c r="A347" i="69"/>
  <c r="A348" i="69"/>
  <c r="A349" i="69"/>
  <c r="A350" i="69"/>
  <c r="A351" i="69"/>
  <c r="A352" i="69"/>
  <c r="A353" i="69"/>
  <c r="A354" i="69"/>
  <c r="A355" i="69"/>
  <c r="A356" i="69"/>
  <c r="B238" i="69"/>
  <c r="B341" i="69"/>
  <c r="B287" i="69"/>
  <c r="B317" i="69"/>
  <c r="B253" i="69"/>
  <c r="B344" i="69"/>
  <c r="B294" i="69"/>
  <c r="B262" i="69"/>
  <c r="B244" i="69"/>
  <c r="B252" i="69"/>
  <c r="B340" i="69"/>
  <c r="B325" i="69"/>
  <c r="B286" i="69"/>
  <c r="B339" i="69"/>
  <c r="B312" i="69"/>
  <c r="B307" i="69"/>
  <c r="B333" i="69"/>
  <c r="B251" i="69"/>
  <c r="B280" i="69"/>
  <c r="B266" i="69"/>
  <c r="B272" i="69"/>
  <c r="B243" i="69"/>
  <c r="B282" i="69"/>
  <c r="B263" i="69"/>
  <c r="B273" i="69"/>
  <c r="B330" i="69"/>
  <c r="B269" i="69"/>
  <c r="B241" i="69"/>
  <c r="B289" i="69"/>
  <c r="B297" i="69"/>
  <c r="B331" i="69"/>
  <c r="B278" i="69"/>
  <c r="B309" i="69"/>
  <c r="B315" i="69"/>
  <c r="B276" i="69"/>
  <c r="B351" i="69"/>
  <c r="B291" i="69"/>
  <c r="B338" i="69"/>
  <c r="B249" i="69"/>
  <c r="B353" i="69"/>
  <c r="B314" i="69"/>
  <c r="B355" i="69"/>
  <c r="B240" i="69"/>
  <c r="B298" i="69"/>
  <c r="B260" i="69"/>
  <c r="B299" i="69"/>
  <c r="B246" i="69"/>
  <c r="B285" i="69"/>
  <c r="B259" i="69"/>
  <c r="B350" i="69"/>
  <c r="B326" i="69"/>
  <c r="B328" i="69"/>
  <c r="B327" i="69"/>
  <c r="B258" i="69"/>
  <c r="B303" i="69"/>
  <c r="B345" i="69"/>
  <c r="B296" i="69"/>
  <c r="B349" i="69"/>
  <c r="B342" i="69"/>
  <c r="B277" i="69"/>
  <c r="B310" i="69"/>
  <c r="B247" i="69"/>
  <c r="B332" i="69"/>
  <c r="B242" i="69"/>
  <c r="B335" i="69"/>
  <c r="B354" i="69"/>
  <c r="B311" i="69"/>
  <c r="B275" i="69"/>
  <c r="B271" i="69"/>
  <c r="B343" i="69"/>
  <c r="B255" i="69"/>
  <c r="B250" i="69"/>
  <c r="B261" i="69"/>
  <c r="B245" i="69"/>
  <c r="B237" i="69"/>
  <c r="B347" i="69"/>
  <c r="B301" i="69"/>
  <c r="B319" i="69"/>
  <c r="B288" i="69"/>
  <c r="B295" i="69"/>
  <c r="B264" i="69"/>
  <c r="B336" i="69"/>
  <c r="B308" i="69"/>
  <c r="B256" i="69"/>
  <c r="B316" i="69"/>
  <c r="B320" i="69"/>
  <c r="B302" i="69"/>
  <c r="B293" i="69"/>
  <c r="B334" i="69"/>
  <c r="B306" i="69"/>
  <c r="B300" i="69"/>
  <c r="B143" i="69"/>
  <c r="B329" i="69"/>
  <c r="B322" i="69"/>
  <c r="B304" i="69"/>
  <c r="B274" i="69"/>
  <c r="B318" i="69"/>
  <c r="B268" i="69"/>
  <c r="B324" i="69"/>
  <c r="B248" i="69"/>
  <c r="B346" i="69"/>
  <c r="B321" i="69"/>
  <c r="B239" i="69"/>
  <c r="B352" i="69"/>
  <c r="B337" i="69"/>
  <c r="B236" i="69"/>
  <c r="B323" i="69"/>
  <c r="B265" i="69"/>
  <c r="B305" i="69"/>
  <c r="B292" i="69"/>
  <c r="B281" i="69"/>
  <c r="B254" i="69"/>
  <c r="B290" i="69"/>
  <c r="B283" i="69"/>
  <c r="B284" i="69"/>
  <c r="B279" i="69"/>
  <c r="B257" i="69"/>
  <c r="B267" i="69"/>
  <c r="B348" i="69"/>
  <c r="B356" i="69"/>
  <c r="B270" i="69"/>
  <c r="B313" i="69"/>
  <c r="Q6" i="20" l="1"/>
  <c r="C143" i="69"/>
  <c r="A114" i="69" l="1"/>
  <c r="B114" i="69"/>
  <c r="A484" i="69" l="1"/>
  <c r="A485" i="69"/>
  <c r="A486" i="69"/>
  <c r="A487" i="69"/>
  <c r="A488" i="69"/>
  <c r="A489" i="69"/>
  <c r="A490" i="69"/>
  <c r="A491" i="69"/>
  <c r="A492" i="69"/>
  <c r="A493" i="69"/>
  <c r="A494" i="69"/>
  <c r="A495" i="69"/>
  <c r="A496" i="69"/>
  <c r="A497" i="69"/>
  <c r="A498" i="69"/>
  <c r="A499" i="69"/>
  <c r="A500" i="69"/>
  <c r="A501" i="69"/>
  <c r="A502" i="69"/>
  <c r="A503" i="69"/>
  <c r="A504" i="69"/>
  <c r="A505" i="69"/>
  <c r="A506" i="69"/>
  <c r="A507" i="69"/>
  <c r="A508" i="69"/>
  <c r="A509" i="69"/>
  <c r="A510" i="69"/>
  <c r="A511" i="69"/>
  <c r="A512" i="69"/>
  <c r="A513" i="69"/>
  <c r="A514" i="69"/>
  <c r="A515" i="69"/>
  <c r="A516" i="69"/>
  <c r="A517" i="69"/>
  <c r="A518" i="69"/>
  <c r="A519" i="69"/>
  <c r="A520" i="69"/>
  <c r="A521" i="69"/>
  <c r="A522" i="69"/>
  <c r="A523" i="69"/>
  <c r="A524" i="69"/>
  <c r="A525" i="69"/>
  <c r="A526" i="69"/>
  <c r="A527" i="69"/>
  <c r="A528" i="69"/>
  <c r="A529" i="69"/>
  <c r="A530" i="69"/>
  <c r="A531" i="69"/>
  <c r="A532" i="69"/>
  <c r="A533" i="69"/>
  <c r="A534" i="69"/>
  <c r="A535" i="69"/>
  <c r="A536" i="69"/>
  <c r="A537" i="69"/>
  <c r="A538" i="69"/>
  <c r="A539" i="69"/>
  <c r="A540" i="69"/>
  <c r="A541" i="69"/>
  <c r="A542" i="69"/>
  <c r="A543" i="69"/>
  <c r="A544" i="69"/>
  <c r="A545" i="69"/>
  <c r="A546" i="69"/>
  <c r="A547" i="69"/>
  <c r="A548" i="69"/>
  <c r="A549" i="69"/>
  <c r="A550" i="69"/>
  <c r="A551" i="69"/>
  <c r="A552" i="69"/>
  <c r="A553" i="69"/>
  <c r="A554" i="69"/>
  <c r="A555" i="69"/>
  <c r="A556" i="69"/>
  <c r="A557" i="69"/>
  <c r="A558" i="69"/>
  <c r="A559" i="69"/>
  <c r="A560" i="69"/>
  <c r="A561" i="69"/>
  <c r="A562" i="69"/>
  <c r="A563" i="69"/>
  <c r="A564" i="69"/>
  <c r="A565" i="69"/>
  <c r="A566" i="69"/>
  <c r="A567" i="69"/>
  <c r="A568" i="69"/>
  <c r="A569" i="69"/>
  <c r="A570" i="69"/>
  <c r="A571" i="69"/>
  <c r="A572" i="69"/>
  <c r="A573" i="69"/>
  <c r="A574" i="69"/>
  <c r="A575" i="69"/>
  <c r="A576" i="69"/>
  <c r="A577" i="69"/>
  <c r="A578" i="69"/>
  <c r="A579" i="69"/>
  <c r="A580" i="69"/>
  <c r="A581" i="69"/>
  <c r="A582" i="69"/>
  <c r="A583" i="69"/>
  <c r="A584" i="69"/>
  <c r="A585" i="69"/>
  <c r="A586" i="69"/>
  <c r="A587" i="69"/>
  <c r="A588" i="69"/>
  <c r="A589" i="69"/>
  <c r="A590" i="69"/>
  <c r="A591" i="69"/>
  <c r="A592" i="69"/>
  <c r="A593" i="69"/>
  <c r="A594" i="69"/>
  <c r="A595" i="69"/>
  <c r="A596" i="69"/>
  <c r="A597" i="69"/>
  <c r="A598" i="69"/>
  <c r="A599" i="69"/>
  <c r="A600" i="69"/>
  <c r="A601" i="69"/>
  <c r="A602" i="69"/>
  <c r="A603" i="69"/>
  <c r="A604" i="69"/>
  <c r="A605" i="69"/>
  <c r="A606" i="69"/>
  <c r="A607" i="69"/>
  <c r="A608" i="69"/>
  <c r="A609" i="69"/>
  <c r="A610" i="69"/>
  <c r="A611" i="69"/>
  <c r="A612" i="69"/>
  <c r="A613" i="69"/>
  <c r="A614" i="69"/>
  <c r="A615" i="69"/>
  <c r="A616" i="69"/>
  <c r="A617" i="69"/>
  <c r="A618" i="69"/>
  <c r="A619" i="69"/>
  <c r="A620" i="69"/>
  <c r="A621" i="69"/>
  <c r="A622" i="69"/>
  <c r="A623" i="69"/>
  <c r="A624" i="69"/>
  <c r="A625" i="69"/>
  <c r="A626" i="69"/>
  <c r="A627" i="69"/>
  <c r="A628" i="69"/>
  <c r="A629" i="69"/>
  <c r="A630" i="69"/>
  <c r="A631" i="69"/>
  <c r="A632" i="69"/>
  <c r="A633" i="69"/>
  <c r="A634" i="69"/>
  <c r="A635" i="69"/>
  <c r="A636" i="69"/>
  <c r="A637" i="69"/>
  <c r="A638" i="69"/>
  <c r="A639" i="69"/>
  <c r="A640" i="69"/>
  <c r="A641" i="69"/>
  <c r="A642" i="69"/>
  <c r="A643" i="69"/>
  <c r="A644" i="69"/>
  <c r="A645" i="69"/>
  <c r="A646" i="69"/>
  <c r="A647" i="69"/>
  <c r="A648" i="69"/>
  <c r="A649" i="69"/>
  <c r="A650" i="69"/>
  <c r="A651" i="69"/>
  <c r="A652" i="69"/>
  <c r="A653" i="69"/>
  <c r="A654" i="69"/>
  <c r="A655" i="69"/>
  <c r="A656" i="69"/>
  <c r="A657" i="69"/>
  <c r="A658" i="69"/>
  <c r="A659" i="69"/>
  <c r="A660" i="69"/>
  <c r="A661" i="69"/>
  <c r="A662" i="69"/>
  <c r="A663" i="69"/>
  <c r="A664" i="69"/>
  <c r="A665" i="69"/>
  <c r="A666" i="69"/>
  <c r="A667" i="69"/>
  <c r="A668" i="69"/>
  <c r="A669" i="69"/>
  <c r="A670" i="69"/>
  <c r="A671" i="69"/>
  <c r="A672" i="69"/>
  <c r="A673" i="69"/>
  <c r="A674" i="69"/>
  <c r="A675" i="69"/>
  <c r="A676" i="69"/>
  <c r="A677" i="69"/>
  <c r="A678" i="69"/>
  <c r="A679" i="69"/>
  <c r="A680" i="69"/>
  <c r="A681" i="69"/>
  <c r="A682" i="69"/>
  <c r="A683" i="69"/>
  <c r="A684" i="69"/>
  <c r="A685" i="69"/>
  <c r="A686" i="69"/>
  <c r="A687" i="69"/>
  <c r="A688" i="69"/>
  <c r="A689" i="69"/>
  <c r="A690" i="69"/>
  <c r="A691" i="69"/>
  <c r="A692" i="69"/>
  <c r="A693" i="69"/>
  <c r="A694" i="69"/>
  <c r="A695" i="69"/>
  <c r="A696" i="69"/>
  <c r="A697" i="69"/>
  <c r="A698" i="69"/>
  <c r="A699" i="69"/>
  <c r="A700" i="69"/>
  <c r="A701" i="69"/>
  <c r="A702" i="69"/>
  <c r="A703" i="69"/>
  <c r="A704" i="69"/>
  <c r="A705" i="69"/>
  <c r="A706" i="69"/>
  <c r="A707" i="69"/>
  <c r="A708" i="69"/>
  <c r="A709" i="69"/>
  <c r="A710" i="69"/>
  <c r="A711" i="69"/>
  <c r="A712" i="69"/>
  <c r="A713" i="69"/>
  <c r="A714" i="69"/>
  <c r="A715" i="69"/>
  <c r="A716" i="69"/>
  <c r="A717" i="69"/>
  <c r="A718" i="69"/>
  <c r="A719" i="69"/>
  <c r="A720" i="69"/>
  <c r="A721" i="69"/>
  <c r="A722" i="69"/>
  <c r="A723" i="69"/>
  <c r="A724" i="69"/>
  <c r="A725" i="69"/>
  <c r="A726" i="69"/>
  <c r="A727" i="69"/>
  <c r="A728" i="69"/>
  <c r="A729" i="69"/>
  <c r="A730" i="69"/>
  <c r="A731" i="69"/>
  <c r="A732" i="69"/>
  <c r="A733" i="69"/>
  <c r="A734" i="69"/>
  <c r="A735" i="69"/>
  <c r="A736" i="69"/>
  <c r="A737" i="69"/>
  <c r="A738" i="69"/>
  <c r="A739" i="69"/>
  <c r="A740" i="69"/>
  <c r="A741" i="69"/>
  <c r="A742" i="69"/>
  <c r="A743" i="69"/>
  <c r="A744" i="69"/>
  <c r="A745" i="69"/>
  <c r="A746" i="69"/>
  <c r="A747" i="69"/>
  <c r="A748" i="69"/>
  <c r="A749" i="69"/>
  <c r="A750" i="69"/>
  <c r="A751" i="69"/>
  <c r="A752" i="69"/>
  <c r="A753" i="69"/>
  <c r="A754" i="69"/>
  <c r="A755" i="69"/>
  <c r="A756" i="69"/>
  <c r="A757" i="69"/>
  <c r="A758" i="69"/>
  <c r="A759" i="69"/>
  <c r="A760" i="69"/>
  <c r="A761" i="69"/>
  <c r="A762" i="69"/>
  <c r="A763" i="69"/>
  <c r="A764" i="69"/>
  <c r="A765" i="69"/>
  <c r="A766" i="69"/>
  <c r="A767" i="69"/>
  <c r="A768" i="69"/>
  <c r="A769" i="69"/>
  <c r="A770" i="69"/>
  <c r="A771" i="69"/>
  <c r="A772" i="69"/>
  <c r="A773" i="69"/>
  <c r="A774" i="69"/>
  <c r="A775" i="69"/>
  <c r="A776" i="69"/>
  <c r="A777" i="69"/>
  <c r="A778" i="69"/>
  <c r="A779" i="69"/>
  <c r="A780" i="69"/>
  <c r="A781" i="69"/>
  <c r="A782" i="69"/>
  <c r="A783" i="69"/>
  <c r="A784" i="69"/>
  <c r="A785" i="69"/>
  <c r="A786" i="69"/>
  <c r="A787" i="69"/>
  <c r="A788" i="69"/>
  <c r="A789" i="69"/>
  <c r="A790" i="69"/>
  <c r="A791" i="69"/>
  <c r="A792" i="69"/>
  <c r="A793" i="69"/>
  <c r="A794" i="69"/>
  <c r="A795" i="69"/>
  <c r="A796" i="69"/>
  <c r="A797" i="69"/>
  <c r="A798" i="69"/>
  <c r="A799" i="69"/>
  <c r="A800" i="69"/>
  <c r="A801" i="69"/>
  <c r="A802" i="69"/>
  <c r="A803" i="69"/>
  <c r="A804" i="69"/>
  <c r="A805" i="69"/>
  <c r="A806" i="69"/>
  <c r="A807" i="69"/>
  <c r="A808" i="69"/>
  <c r="A809" i="69"/>
  <c r="A810" i="69"/>
  <c r="A811" i="69"/>
  <c r="A812" i="69"/>
  <c r="A813" i="69"/>
  <c r="A814" i="69"/>
  <c r="A815" i="69"/>
  <c r="A816" i="69"/>
  <c r="A817" i="69"/>
  <c r="A818" i="69"/>
  <c r="A819" i="69"/>
  <c r="A820" i="69"/>
  <c r="A821" i="69"/>
  <c r="A822" i="69"/>
  <c r="A823" i="69"/>
  <c r="A824" i="69"/>
  <c r="A825" i="69"/>
  <c r="A826" i="69"/>
  <c r="A827" i="69"/>
  <c r="A828" i="69"/>
  <c r="A829" i="69"/>
  <c r="A830" i="69"/>
  <c r="A831" i="69"/>
  <c r="A832" i="69"/>
  <c r="A833" i="69"/>
  <c r="A834" i="69"/>
  <c r="A835" i="69"/>
  <c r="A836" i="69"/>
  <c r="A837" i="69"/>
  <c r="A838" i="69"/>
  <c r="A839" i="69"/>
  <c r="A840" i="69"/>
  <c r="A841" i="69"/>
  <c r="A842" i="69"/>
  <c r="A843" i="69"/>
  <c r="A844" i="69"/>
  <c r="A845" i="69"/>
  <c r="A846" i="69"/>
  <c r="A847" i="69"/>
  <c r="A848" i="69"/>
  <c r="A849" i="69"/>
  <c r="A850" i="69"/>
  <c r="A851" i="69"/>
  <c r="A852" i="69"/>
  <c r="A853" i="69"/>
  <c r="A854" i="69"/>
  <c r="A855" i="69"/>
  <c r="A856" i="69"/>
  <c r="A857" i="69"/>
  <c r="A858" i="69"/>
  <c r="A859" i="69"/>
  <c r="A860" i="69"/>
  <c r="A861" i="69"/>
  <c r="A862" i="69"/>
  <c r="A863" i="69"/>
  <c r="A864" i="69"/>
  <c r="A865" i="69"/>
  <c r="A866" i="69"/>
  <c r="A867" i="69"/>
  <c r="A868" i="69"/>
  <c r="A869" i="69"/>
  <c r="A870" i="69"/>
  <c r="A871" i="69"/>
  <c r="A872" i="69"/>
  <c r="A873" i="69"/>
  <c r="A874" i="69"/>
  <c r="A875" i="69"/>
  <c r="A876" i="69"/>
  <c r="A877" i="69"/>
  <c r="A878" i="69"/>
  <c r="A879" i="69"/>
  <c r="A880" i="69"/>
  <c r="A881" i="69"/>
  <c r="A882" i="69"/>
  <c r="A883" i="69"/>
  <c r="A884" i="69"/>
  <c r="A885" i="69"/>
  <c r="A886" i="69"/>
  <c r="A887" i="69"/>
  <c r="A888" i="69"/>
  <c r="A889" i="69"/>
  <c r="A890" i="69"/>
  <c r="A891" i="69"/>
  <c r="A892" i="69"/>
  <c r="A893" i="69"/>
  <c r="A894" i="69"/>
  <c r="A895" i="69"/>
  <c r="A896" i="69"/>
  <c r="A897" i="69"/>
  <c r="A898" i="69"/>
  <c r="A899" i="69"/>
  <c r="A900" i="69"/>
  <c r="A901" i="69"/>
  <c r="A902" i="69"/>
  <c r="A903" i="69"/>
  <c r="A904" i="69"/>
  <c r="A905" i="69"/>
  <c r="A906" i="69"/>
  <c r="A907" i="69"/>
  <c r="A908" i="69"/>
  <c r="A909" i="69"/>
  <c r="A910" i="69"/>
  <c r="A911" i="69"/>
  <c r="A912" i="69"/>
  <c r="A913" i="69"/>
  <c r="A914" i="69"/>
  <c r="A915" i="69"/>
  <c r="A916" i="69"/>
  <c r="A917" i="69"/>
  <c r="A918" i="69"/>
  <c r="A919" i="69"/>
  <c r="A920" i="69"/>
  <c r="A921" i="69"/>
  <c r="A922" i="69"/>
  <c r="A923" i="69"/>
  <c r="A924" i="69"/>
  <c r="A925" i="69"/>
  <c r="A926" i="69"/>
  <c r="A927" i="69"/>
  <c r="A928" i="69"/>
  <c r="A929" i="69"/>
  <c r="A930" i="69"/>
  <c r="A931" i="69"/>
  <c r="A932" i="69"/>
  <c r="A933" i="69"/>
  <c r="A934" i="69"/>
  <c r="A935" i="69"/>
  <c r="A936" i="69"/>
  <c r="A937" i="69"/>
  <c r="A938" i="69"/>
  <c r="A939" i="69"/>
  <c r="A940" i="69"/>
  <c r="A941" i="69"/>
  <c r="A942" i="69"/>
  <c r="A943" i="69"/>
  <c r="A944" i="69"/>
  <c r="A945" i="69"/>
  <c r="A946" i="69"/>
  <c r="A947" i="69"/>
  <c r="A948" i="69"/>
  <c r="A949" i="69"/>
  <c r="A950" i="69"/>
  <c r="A951" i="69"/>
  <c r="A952" i="69"/>
  <c r="A953" i="69"/>
  <c r="A954" i="69"/>
  <c r="A955" i="69"/>
  <c r="A956" i="69"/>
  <c r="A957" i="69"/>
  <c r="A958" i="69"/>
  <c r="A959" i="69"/>
  <c r="A960" i="69"/>
  <c r="A961" i="69"/>
  <c r="A962" i="69"/>
  <c r="A963" i="69"/>
  <c r="A964" i="69"/>
  <c r="A965" i="69"/>
  <c r="A966" i="69"/>
  <c r="A967" i="69"/>
  <c r="A968" i="69"/>
  <c r="A969" i="69"/>
  <c r="A970" i="69"/>
  <c r="A971" i="69"/>
  <c r="A972" i="69"/>
  <c r="A973" i="69"/>
  <c r="A974" i="69"/>
  <c r="A975" i="69"/>
  <c r="A976" i="69"/>
  <c r="A977" i="69"/>
  <c r="A978" i="69"/>
  <c r="A979" i="69"/>
  <c r="A980" i="69"/>
  <c r="A981" i="69"/>
  <c r="A982" i="69"/>
  <c r="A983" i="69"/>
  <c r="A984" i="69"/>
  <c r="A985" i="69"/>
  <c r="A986" i="69"/>
  <c r="A987" i="69"/>
  <c r="A988" i="69"/>
  <c r="A989" i="69"/>
  <c r="A990" i="69"/>
  <c r="A991" i="69"/>
  <c r="A992" i="69"/>
  <c r="A993" i="69"/>
  <c r="A994" i="69"/>
  <c r="A995" i="69"/>
  <c r="A996" i="69"/>
  <c r="A997" i="69"/>
  <c r="A998" i="69"/>
  <c r="A999" i="69"/>
  <c r="A1000" i="69"/>
  <c r="A1001" i="69"/>
  <c r="A1002" i="69"/>
  <c r="A1003" i="69"/>
  <c r="A1004" i="69"/>
  <c r="A1005" i="69"/>
  <c r="A1006" i="69"/>
  <c r="A1007" i="69"/>
  <c r="A1008" i="69"/>
  <c r="A1009" i="69"/>
  <c r="A1010" i="69"/>
  <c r="A1011" i="69"/>
  <c r="A1012" i="69"/>
  <c r="A1013" i="69"/>
  <c r="A1014" i="69"/>
  <c r="A1015" i="69"/>
  <c r="A1016" i="69"/>
  <c r="A1017" i="69"/>
  <c r="A1018" i="69"/>
  <c r="A1019" i="69"/>
  <c r="A1020" i="69"/>
  <c r="A1021" i="69"/>
  <c r="A1022" i="69"/>
  <c r="A1023" i="69"/>
  <c r="A1024" i="69"/>
  <c r="A1025" i="69"/>
  <c r="A1026" i="69"/>
  <c r="A1027" i="69"/>
  <c r="A1028" i="69"/>
  <c r="A1029" i="69"/>
  <c r="A1030" i="69"/>
  <c r="A1031" i="69"/>
  <c r="A1032" i="69"/>
  <c r="A1033" i="69"/>
  <c r="A1034" i="69"/>
  <c r="A1035" i="69"/>
  <c r="A1036" i="69"/>
  <c r="A1037" i="69"/>
  <c r="A1038" i="69"/>
  <c r="A1039" i="69"/>
  <c r="A1040" i="69"/>
  <c r="A1041" i="69"/>
  <c r="A1042" i="69"/>
  <c r="A1043" i="69"/>
  <c r="A1044" i="69"/>
  <c r="A1045" i="69"/>
  <c r="A1046" i="69"/>
  <c r="A1047" i="69"/>
  <c r="A1048" i="69"/>
  <c r="A1049" i="69"/>
  <c r="A1050" i="69"/>
  <c r="A1051" i="69"/>
  <c r="A1052" i="69"/>
  <c r="A1053" i="69"/>
  <c r="A1054" i="69"/>
  <c r="A1055" i="69"/>
  <c r="A1056" i="69"/>
  <c r="A1057" i="69"/>
  <c r="A1058" i="69"/>
  <c r="A1059" i="69"/>
  <c r="A1060" i="69"/>
  <c r="A1061" i="69"/>
  <c r="A1062" i="69"/>
  <c r="A1063" i="69"/>
  <c r="A1064" i="69"/>
  <c r="A1065" i="69"/>
  <c r="A1066" i="69"/>
  <c r="A1067" i="69"/>
  <c r="A1068" i="69"/>
  <c r="A1069" i="69"/>
  <c r="A1070" i="69"/>
  <c r="A1071" i="69"/>
  <c r="A1072" i="69"/>
  <c r="A1073" i="69"/>
  <c r="A1074" i="69"/>
  <c r="A1075" i="69"/>
  <c r="A1076" i="69"/>
  <c r="A1077" i="69"/>
  <c r="A1078" i="69"/>
  <c r="A1079" i="69"/>
  <c r="A1080" i="69"/>
  <c r="A1081" i="69"/>
  <c r="A1082" i="69"/>
  <c r="A1083" i="69"/>
  <c r="A1084" i="69"/>
  <c r="A1085" i="69"/>
  <c r="A1086" i="69"/>
  <c r="A1087" i="69"/>
  <c r="A1088" i="69"/>
  <c r="A1089" i="69"/>
  <c r="A1090" i="69"/>
  <c r="A1091" i="69"/>
  <c r="A1092" i="69"/>
  <c r="A1093" i="69"/>
  <c r="A1094" i="69"/>
  <c r="A1095" i="69"/>
  <c r="A1096" i="69"/>
  <c r="A1097" i="69"/>
  <c r="A1098" i="69"/>
  <c r="A1099" i="69"/>
  <c r="A1100" i="69"/>
  <c r="A1101" i="69"/>
  <c r="A1102" i="69"/>
  <c r="A1103" i="69"/>
  <c r="A1104" i="69"/>
  <c r="A1105" i="69"/>
  <c r="A1106" i="69"/>
  <c r="A1107" i="69"/>
  <c r="A1108" i="69"/>
  <c r="A1109" i="69"/>
  <c r="A1110" i="69"/>
  <c r="A1111" i="69"/>
  <c r="A1112" i="69"/>
  <c r="A1113" i="69"/>
  <c r="A1114" i="69"/>
  <c r="A1115" i="69"/>
  <c r="A1116" i="69"/>
  <c r="A483" i="69"/>
  <c r="A468" i="69"/>
  <c r="A469" i="69"/>
  <c r="A470" i="69"/>
  <c r="A471" i="69"/>
  <c r="A472" i="69"/>
  <c r="A473" i="69"/>
  <c r="A474" i="69"/>
  <c r="A475" i="69"/>
  <c r="A476" i="69"/>
  <c r="A477" i="69"/>
  <c r="A437" i="69"/>
  <c r="A438" i="69"/>
  <c r="A439" i="69"/>
  <c r="A440" i="69"/>
  <c r="A441" i="69"/>
  <c r="A442" i="69"/>
  <c r="A443" i="69"/>
  <c r="A444" i="69"/>
  <c r="A445" i="69"/>
  <c r="A446" i="69"/>
  <c r="A447" i="69"/>
  <c r="A448" i="69"/>
  <c r="A449" i="69"/>
  <c r="A450" i="69"/>
  <c r="A451" i="69"/>
  <c r="A452" i="69"/>
  <c r="A453" i="69"/>
  <c r="A454" i="69"/>
  <c r="A455" i="69"/>
  <c r="A456" i="69"/>
  <c r="A457" i="69"/>
  <c r="A458" i="69"/>
  <c r="A459" i="69"/>
  <c r="A460" i="69"/>
  <c r="A461" i="69"/>
  <c r="A462" i="69"/>
  <c r="A463" i="69"/>
  <c r="A464" i="69"/>
  <c r="A465" i="69"/>
  <c r="A466" i="69"/>
  <c r="A467" i="69"/>
  <c r="A422" i="69"/>
  <c r="A423" i="69"/>
  <c r="A424" i="69"/>
  <c r="A425" i="69"/>
  <c r="A426" i="69"/>
  <c r="A427" i="69"/>
  <c r="A428" i="69"/>
  <c r="A429" i="69"/>
  <c r="A430" i="69"/>
  <c r="A431" i="69"/>
  <c r="A432" i="69"/>
  <c r="A433" i="69"/>
  <c r="A434" i="69"/>
  <c r="A435" i="69"/>
  <c r="A436" i="69"/>
  <c r="A357" i="69"/>
  <c r="A358" i="69"/>
  <c r="A359" i="69"/>
  <c r="A360" i="69"/>
  <c r="A361" i="69"/>
  <c r="A362" i="69"/>
  <c r="A363" i="69"/>
  <c r="A364" i="69"/>
  <c r="A365" i="69"/>
  <c r="A366" i="69"/>
  <c r="A367" i="69"/>
  <c r="A368" i="69"/>
  <c r="A369" i="69"/>
  <c r="A370" i="69"/>
  <c r="A371" i="69"/>
  <c r="A372" i="69"/>
  <c r="A373" i="69"/>
  <c r="A374" i="69"/>
  <c r="A375" i="69"/>
  <c r="A376" i="69"/>
  <c r="A377" i="69"/>
  <c r="A378" i="69"/>
  <c r="A379" i="69"/>
  <c r="A380" i="69"/>
  <c r="A381" i="69"/>
  <c r="A382" i="69"/>
  <c r="A383" i="69"/>
  <c r="A384" i="69"/>
  <c r="A385" i="69"/>
  <c r="A386" i="69"/>
  <c r="A387" i="69"/>
  <c r="A388" i="69"/>
  <c r="A389" i="69"/>
  <c r="A390" i="69"/>
  <c r="A391" i="69"/>
  <c r="A392" i="69"/>
  <c r="A393" i="69"/>
  <c r="A394" i="69"/>
  <c r="A395" i="69"/>
  <c r="A396" i="69"/>
  <c r="A397" i="69"/>
  <c r="A398" i="69"/>
  <c r="A399" i="69"/>
  <c r="A400" i="69"/>
  <c r="A401" i="69"/>
  <c r="A402" i="69"/>
  <c r="A403" i="69"/>
  <c r="A404" i="69"/>
  <c r="A405" i="69"/>
  <c r="A406" i="69"/>
  <c r="A407" i="69"/>
  <c r="A408" i="69"/>
  <c r="A409" i="69"/>
  <c r="A410" i="69"/>
  <c r="A411" i="69"/>
  <c r="A412" i="69"/>
  <c r="A413" i="69"/>
  <c r="A414" i="69"/>
  <c r="A415" i="69"/>
  <c r="A416" i="69"/>
  <c r="A417" i="69"/>
  <c r="A418" i="69"/>
  <c r="A419" i="69"/>
  <c r="A420" i="69"/>
  <c r="A421" i="69"/>
  <c r="C114" i="69"/>
  <c r="A18" i="69" l="1"/>
  <c r="I319" i="20" l="1"/>
  <c r="I318" i="20"/>
  <c r="I317" i="20"/>
  <c r="I316" i="20"/>
  <c r="I315" i="20"/>
  <c r="I305" i="20"/>
  <c r="I304" i="20"/>
  <c r="I296" i="20"/>
  <c r="I295" i="20"/>
  <c r="I294" i="20"/>
  <c r="I286" i="20"/>
  <c r="I285" i="20"/>
  <c r="I284" i="20"/>
  <c r="I276" i="20"/>
  <c r="I275" i="20"/>
  <c r="I274" i="20"/>
  <c r="I265" i="20"/>
  <c r="I264" i="20"/>
  <c r="I256" i="20"/>
  <c r="I255" i="20"/>
  <c r="I254" i="20"/>
  <c r="I246" i="20"/>
  <c r="I245" i="20"/>
  <c r="I244" i="20"/>
  <c r="I236" i="20"/>
  <c r="I235" i="20"/>
  <c r="I234" i="20"/>
  <c r="I225" i="20"/>
  <c r="I224" i="20"/>
  <c r="I216" i="20"/>
  <c r="I215" i="20"/>
  <c r="I214" i="20"/>
  <c r="I206" i="20"/>
  <c r="I205" i="20"/>
  <c r="I204" i="20"/>
  <c r="I196" i="20"/>
  <c r="I195" i="20"/>
  <c r="I194" i="20"/>
  <c r="I186" i="20"/>
  <c r="I185" i="20"/>
  <c r="I184" i="20"/>
  <c r="I175" i="20"/>
  <c r="I174" i="20"/>
  <c r="I166" i="20"/>
  <c r="I165" i="20"/>
  <c r="I164" i="20"/>
  <c r="I156" i="20"/>
  <c r="I155" i="20"/>
  <c r="I154" i="20"/>
  <c r="I145" i="20"/>
  <c r="I144" i="20"/>
  <c r="I136" i="20"/>
  <c r="I135" i="20"/>
  <c r="I134" i="20"/>
  <c r="I126" i="20"/>
  <c r="I125" i="20"/>
  <c r="I124" i="20"/>
  <c r="I116" i="20"/>
  <c r="I115" i="20"/>
  <c r="I114" i="20"/>
  <c r="I106" i="20"/>
  <c r="I105" i="20"/>
  <c r="I104" i="20"/>
  <c r="I95" i="20"/>
  <c r="I94" i="20"/>
  <c r="I86" i="20"/>
  <c r="I85" i="20"/>
  <c r="I84" i="20"/>
  <c r="I75" i="20"/>
  <c r="I74" i="20"/>
  <c r="I66" i="20"/>
  <c r="I65" i="20"/>
  <c r="I64" i="20"/>
  <c r="I56" i="20"/>
  <c r="I55" i="20"/>
  <c r="I54" i="20"/>
  <c r="I52" i="20"/>
  <c r="I51" i="20"/>
  <c r="I50" i="20"/>
  <c r="I49" i="20"/>
  <c r="I48" i="20"/>
  <c r="I47" i="20"/>
  <c r="I46" i="20"/>
  <c r="I44" i="20"/>
  <c r="I43" i="20"/>
  <c r="I42" i="20"/>
  <c r="I41" i="20"/>
  <c r="I40" i="20"/>
  <c r="I39" i="20"/>
  <c r="I38" i="20"/>
  <c r="I37" i="20"/>
  <c r="I36" i="20"/>
  <c r="I35" i="20"/>
  <c r="I34" i="20"/>
  <c r="I33" i="20"/>
  <c r="I32" i="20"/>
  <c r="I31" i="20"/>
  <c r="I29" i="20"/>
  <c r="I28" i="20"/>
  <c r="I27" i="20"/>
  <c r="I26" i="20"/>
  <c r="I25" i="20"/>
  <c r="I24" i="20"/>
  <c r="I23" i="20"/>
  <c r="I22" i="20"/>
  <c r="I21" i="20"/>
  <c r="I20" i="20"/>
  <c r="I18" i="20"/>
  <c r="I17" i="20"/>
  <c r="I16" i="20"/>
  <c r="I15" i="20"/>
  <c r="I14" i="20"/>
  <c r="I13" i="20"/>
  <c r="I12" i="20"/>
  <c r="AC6" i="18"/>
  <c r="B411" i="69"/>
  <c r="B437" i="69"/>
  <c r="B421" i="69"/>
  <c r="B429" i="69"/>
  <c r="B363" i="69"/>
  <c r="B388" i="69"/>
  <c r="B364" i="69"/>
  <c r="B473" i="69"/>
  <c r="B462" i="69"/>
  <c r="B370" i="69"/>
  <c r="B362" i="69"/>
  <c r="B445" i="69"/>
  <c r="B417" i="69"/>
  <c r="B425" i="69"/>
  <c r="B472" i="69"/>
  <c r="B396" i="69"/>
  <c r="B461" i="69"/>
  <c r="B423" i="69"/>
  <c r="B427" i="69"/>
  <c r="B18" i="69"/>
  <c r="B451" i="69"/>
  <c r="B438" i="69"/>
  <c r="B469" i="69"/>
  <c r="B385" i="69"/>
  <c r="B457" i="69"/>
  <c r="B413" i="69"/>
  <c r="B390" i="69"/>
  <c r="B452" i="69"/>
  <c r="B448" i="69"/>
  <c r="B406" i="69"/>
  <c r="B456" i="69"/>
  <c r="B375" i="69"/>
  <c r="B433" i="69"/>
  <c r="B453" i="69"/>
  <c r="B454" i="69"/>
  <c r="B379" i="69"/>
  <c r="B424" i="69"/>
  <c r="B450" i="69"/>
  <c r="B360" i="69"/>
  <c r="B455" i="69"/>
  <c r="B393" i="69"/>
  <c r="B439" i="69"/>
  <c r="B409" i="69"/>
  <c r="B435" i="69"/>
  <c r="B476" i="69"/>
  <c r="B443" i="69"/>
  <c r="B384" i="69"/>
  <c r="B434" i="69"/>
  <c r="B408" i="69"/>
  <c r="B394" i="69"/>
  <c r="B359" i="69"/>
  <c r="B357" i="69"/>
  <c r="B391" i="69"/>
  <c r="B442" i="69"/>
  <c r="B449" i="69"/>
  <c r="B395" i="69"/>
  <c r="B470" i="69"/>
  <c r="B405" i="69"/>
  <c r="B392" i="69"/>
  <c r="B459" i="69"/>
  <c r="B369" i="69"/>
  <c r="B376" i="69"/>
  <c r="B373" i="69"/>
  <c r="B447" i="69"/>
  <c r="B397" i="69"/>
  <c r="B420" i="69"/>
  <c r="B387" i="69"/>
  <c r="B412" i="69"/>
  <c r="B444" i="69"/>
  <c r="B468" i="69"/>
  <c r="B436" i="69"/>
  <c r="B403" i="69"/>
  <c r="B368" i="69"/>
  <c r="B400" i="69"/>
  <c r="B446" i="69"/>
  <c r="B441" i="69"/>
  <c r="B377" i="69"/>
  <c r="B374" i="69"/>
  <c r="B471" i="69"/>
  <c r="B460" i="69"/>
  <c r="B401" i="69"/>
  <c r="B477" i="69"/>
  <c r="B383" i="69"/>
  <c r="B386" i="69"/>
  <c r="B367" i="69"/>
  <c r="B410" i="69"/>
  <c r="B458" i="69"/>
  <c r="B428" i="69"/>
  <c r="B422" i="69"/>
  <c r="B416" i="69"/>
  <c r="B366" i="69"/>
  <c r="B463" i="69"/>
  <c r="B465" i="69"/>
  <c r="B431" i="69"/>
  <c r="B365" i="69"/>
  <c r="B389" i="69"/>
  <c r="B381" i="69"/>
  <c r="B430" i="69"/>
  <c r="B474" i="69"/>
  <c r="B466" i="69"/>
  <c r="B371" i="69"/>
  <c r="B440" i="69"/>
  <c r="B432" i="69"/>
  <c r="B464" i="69"/>
  <c r="B382" i="69"/>
  <c r="B398" i="69"/>
  <c r="B415" i="69"/>
  <c r="B404" i="69"/>
  <c r="B418" i="69"/>
  <c r="B426" i="69"/>
  <c r="B407" i="69"/>
  <c r="B414" i="69"/>
  <c r="B467" i="69"/>
  <c r="B361" i="69"/>
  <c r="B475" i="69"/>
  <c r="B399" i="69"/>
  <c r="B378" i="69"/>
  <c r="B419" i="69"/>
  <c r="B358" i="69"/>
  <c r="B380" i="69"/>
  <c r="B372" i="69"/>
  <c r="B402" i="69"/>
  <c r="AC8" i="18" l="1"/>
  <c r="A30" i="55"/>
  <c r="I39" i="68" l="1"/>
  <c r="I37" i="68"/>
  <c r="I39" i="67"/>
  <c r="I37" i="67"/>
  <c r="I39" i="66"/>
  <c r="I37" i="66"/>
  <c r="BE44" i="66"/>
  <c r="BD44" i="66"/>
  <c r="BC44" i="66"/>
  <c r="BB44" i="66"/>
  <c r="BA44" i="66"/>
  <c r="AZ44" i="66"/>
  <c r="AY44" i="66"/>
  <c r="AX44" i="66"/>
  <c r="BE44" i="67"/>
  <c r="BD44" i="67"/>
  <c r="BC44" i="67"/>
  <c r="BB44" i="67"/>
  <c r="BA44" i="67"/>
  <c r="AZ44" i="67"/>
  <c r="AY44" i="67"/>
  <c r="AX44" i="67"/>
  <c r="BE44" i="68"/>
  <c r="BD44" i="68"/>
  <c r="BC44" i="68"/>
  <c r="BB44" i="68"/>
  <c r="BA44" i="68"/>
  <c r="AZ44" i="68"/>
  <c r="AY44" i="68"/>
  <c r="AX44" i="68"/>
  <c r="BE44" i="64"/>
  <c r="BD44" i="64"/>
  <c r="BC44" i="64"/>
  <c r="BB44" i="64"/>
  <c r="BA44" i="64"/>
  <c r="AZ44" i="64"/>
  <c r="AY44" i="64"/>
  <c r="AX44" i="64"/>
  <c r="C413" i="69"/>
  <c r="C474" i="69"/>
  <c r="C393" i="69"/>
  <c r="C422" i="69"/>
  <c r="C446" i="69"/>
  <c r="C387" i="69"/>
  <c r="C469" i="69"/>
  <c r="C433" i="69"/>
  <c r="C435" i="69"/>
  <c r="C399" i="69"/>
  <c r="C367" i="69"/>
  <c r="C454" i="69"/>
  <c r="C397" i="69"/>
  <c r="C415" i="69"/>
  <c r="C475" i="69"/>
  <c r="C396" i="69"/>
  <c r="C467" i="69"/>
  <c r="C416" i="69"/>
  <c r="C424" i="69"/>
  <c r="C431" i="69"/>
  <c r="C364" i="69"/>
  <c r="C385" i="69"/>
  <c r="C379" i="69"/>
  <c r="C361" i="69"/>
  <c r="C461" i="69"/>
  <c r="C412" i="69"/>
  <c r="C419" i="69"/>
  <c r="C441" i="69"/>
  <c r="C403" i="69"/>
  <c r="C407" i="69"/>
  <c r="C359" i="69"/>
  <c r="C390" i="69"/>
  <c r="C452" i="69"/>
  <c r="C374" i="69"/>
  <c r="C365" i="69"/>
  <c r="C456" i="69"/>
  <c r="C405" i="69"/>
  <c r="C449" i="69"/>
  <c r="C421" i="69"/>
  <c r="C417" i="69"/>
  <c r="C388" i="69"/>
  <c r="C363" i="69"/>
  <c r="C402" i="69"/>
  <c r="C420" i="69"/>
  <c r="C425" i="69"/>
  <c r="C432" i="69"/>
  <c r="C428" i="69"/>
  <c r="C427" i="69"/>
  <c r="C409" i="69"/>
  <c r="C380" i="69"/>
  <c r="C451" i="69"/>
  <c r="C460" i="69"/>
  <c r="C458" i="69"/>
  <c r="C459" i="69"/>
  <c r="C448" i="69"/>
  <c r="C426" i="69"/>
  <c r="C395" i="69"/>
  <c r="C358" i="69"/>
  <c r="C392" i="69"/>
  <c r="C477" i="69"/>
  <c r="C457" i="69"/>
  <c r="C439" i="69"/>
  <c r="C384" i="69"/>
  <c r="C414" i="69"/>
  <c r="C386" i="69"/>
  <c r="C442" i="69"/>
  <c r="C471" i="69"/>
  <c r="C408" i="69"/>
  <c r="C468" i="69"/>
  <c r="C466" i="69"/>
  <c r="C465" i="69"/>
  <c r="C455" i="69"/>
  <c r="C472" i="69"/>
  <c r="C357" i="69"/>
  <c r="C381" i="69"/>
  <c r="C368" i="69"/>
  <c r="C373" i="69"/>
  <c r="C377" i="69"/>
  <c r="C372" i="69"/>
  <c r="C444" i="69"/>
  <c r="C453" i="69"/>
  <c r="C438" i="69"/>
  <c r="C443" i="69"/>
  <c r="C406" i="69"/>
  <c r="C382" i="69"/>
  <c r="C463" i="69"/>
  <c r="C383" i="69"/>
  <c r="C401" i="69"/>
  <c r="C476" i="69"/>
  <c r="C470" i="69"/>
  <c r="C473" i="69"/>
  <c r="C370" i="69"/>
  <c r="C362" i="69"/>
  <c r="C440" i="69"/>
  <c r="C366" i="69"/>
  <c r="C371" i="69"/>
  <c r="C389" i="69"/>
  <c r="C445" i="69"/>
  <c r="C418" i="69"/>
  <c r="C429" i="69"/>
  <c r="C410" i="69"/>
  <c r="C18" i="69"/>
  <c r="C398" i="69"/>
  <c r="C391" i="69"/>
  <c r="C394" i="69"/>
  <c r="C369" i="69"/>
  <c r="C434" i="69"/>
  <c r="C464" i="69"/>
  <c r="C411" i="69"/>
  <c r="C430" i="69"/>
  <c r="C462" i="69"/>
  <c r="C447" i="69"/>
  <c r="C376" i="69"/>
  <c r="C437" i="69"/>
  <c r="C400" i="69"/>
  <c r="C436" i="69"/>
  <c r="C404" i="69"/>
  <c r="C378" i="69"/>
  <c r="C423" i="69"/>
  <c r="C360" i="69"/>
  <c r="C450" i="69"/>
  <c r="C375" i="69"/>
  <c r="A480" i="69" l="1"/>
  <c r="A481" i="69"/>
  <c r="A479" i="69"/>
  <c r="A117" i="69"/>
  <c r="A118" i="69"/>
  <c r="A119" i="69"/>
  <c r="A120" i="69"/>
  <c r="A121" i="69"/>
  <c r="A122" i="69"/>
  <c r="A123" i="69"/>
  <c r="A124" i="69"/>
  <c r="A125" i="69"/>
  <c r="A126" i="69"/>
  <c r="A127" i="69"/>
  <c r="A128" i="69"/>
  <c r="A129" i="69"/>
  <c r="A130" i="69"/>
  <c r="A131" i="69"/>
  <c r="A132" i="69"/>
  <c r="A133" i="69"/>
  <c r="A134" i="69"/>
  <c r="A135" i="69"/>
  <c r="A136" i="69"/>
  <c r="A137" i="69"/>
  <c r="A138" i="69"/>
  <c r="A139" i="69"/>
  <c r="A140" i="69"/>
  <c r="A141" i="69"/>
  <c r="A142" i="69"/>
  <c r="A144" i="69"/>
  <c r="A145" i="69"/>
  <c r="A146" i="69"/>
  <c r="A147" i="69"/>
  <c r="A148" i="69"/>
  <c r="A149" i="69"/>
  <c r="A150" i="69"/>
  <c r="A151" i="69"/>
  <c r="A152" i="69"/>
  <c r="A153" i="69"/>
  <c r="A154" i="69"/>
  <c r="A155" i="69"/>
  <c r="A156" i="69"/>
  <c r="A157" i="69"/>
  <c r="A158" i="69"/>
  <c r="A159" i="69"/>
  <c r="A160" i="69"/>
  <c r="A161" i="69"/>
  <c r="A162" i="69"/>
  <c r="A163" i="69"/>
  <c r="A164" i="69"/>
  <c r="A165" i="69"/>
  <c r="A166" i="69"/>
  <c r="A167" i="69"/>
  <c r="A168" i="69"/>
  <c r="A169" i="69"/>
  <c r="A170" i="69"/>
  <c r="A171" i="69"/>
  <c r="A172" i="69"/>
  <c r="A173" i="69"/>
  <c r="A174" i="69"/>
  <c r="A175" i="69"/>
  <c r="A176" i="69"/>
  <c r="A177" i="69"/>
  <c r="A178" i="69"/>
  <c r="A179" i="69"/>
  <c r="A180" i="69"/>
  <c r="A181" i="69"/>
  <c r="A182" i="69"/>
  <c r="A183" i="69"/>
  <c r="A184" i="69"/>
  <c r="A185" i="69"/>
  <c r="A186" i="69"/>
  <c r="A187" i="69"/>
  <c r="A188" i="69"/>
  <c r="A189" i="69"/>
  <c r="A190" i="69"/>
  <c r="A191" i="69"/>
  <c r="A192" i="69"/>
  <c r="A193" i="69"/>
  <c r="A194" i="69"/>
  <c r="A195" i="69"/>
  <c r="A196" i="69"/>
  <c r="A197" i="69"/>
  <c r="A198" i="69"/>
  <c r="A199" i="69"/>
  <c r="A200" i="69"/>
  <c r="A201" i="69"/>
  <c r="A202" i="69"/>
  <c r="A203" i="69"/>
  <c r="A204" i="69"/>
  <c r="A205" i="69"/>
  <c r="A206" i="69"/>
  <c r="A207" i="69"/>
  <c r="A208" i="69"/>
  <c r="A209" i="69"/>
  <c r="A210" i="69"/>
  <c r="A211" i="69"/>
  <c r="A212" i="69"/>
  <c r="A213" i="69"/>
  <c r="A214" i="69"/>
  <c r="A215" i="69"/>
  <c r="A216" i="69"/>
  <c r="A217" i="69"/>
  <c r="A218" i="69"/>
  <c r="A219" i="69"/>
  <c r="A220" i="69"/>
  <c r="A221" i="69"/>
  <c r="A222" i="69"/>
  <c r="A223" i="69"/>
  <c r="A224" i="69"/>
  <c r="A225" i="69"/>
  <c r="A226" i="69"/>
  <c r="A227" i="69"/>
  <c r="A228" i="69"/>
  <c r="A229" i="69"/>
  <c r="A230" i="69"/>
  <c r="A231" i="69"/>
  <c r="A232" i="69"/>
  <c r="A233" i="69"/>
  <c r="A234" i="69"/>
  <c r="A235" i="69"/>
  <c r="A116" i="69"/>
  <c r="A4" i="69"/>
  <c r="A5" i="69"/>
  <c r="A6" i="69"/>
  <c r="A7" i="69"/>
  <c r="A8" i="69"/>
  <c r="A9" i="69"/>
  <c r="A10" i="69"/>
  <c r="A11" i="69"/>
  <c r="A12" i="69"/>
  <c r="A13" i="69"/>
  <c r="A14" i="69"/>
  <c r="A15" i="69"/>
  <c r="A16" i="69"/>
  <c r="A17" i="69"/>
  <c r="A19" i="69"/>
  <c r="A20" i="69"/>
  <c r="A21" i="69"/>
  <c r="A22" i="69"/>
  <c r="A23" i="69"/>
  <c r="A24" i="69"/>
  <c r="A25" i="69"/>
  <c r="A26" i="69"/>
  <c r="A27" i="69"/>
  <c r="A28" i="69"/>
  <c r="A29" i="69"/>
  <c r="A30" i="69"/>
  <c r="A31" i="69"/>
  <c r="A32" i="69"/>
  <c r="A33" i="69"/>
  <c r="A34" i="69"/>
  <c r="A35" i="69"/>
  <c r="A36" i="69"/>
  <c r="A37" i="69"/>
  <c r="A38" i="69"/>
  <c r="A39" i="69"/>
  <c r="A40" i="69"/>
  <c r="A41" i="69"/>
  <c r="A42" i="69"/>
  <c r="A43" i="69"/>
  <c r="A44" i="69"/>
  <c r="A45" i="69"/>
  <c r="A46" i="69"/>
  <c r="A47" i="69"/>
  <c r="A48" i="69"/>
  <c r="A49" i="69"/>
  <c r="A50" i="69"/>
  <c r="A51" i="69"/>
  <c r="A52" i="69"/>
  <c r="A53" i="69"/>
  <c r="A54" i="69"/>
  <c r="A55" i="69"/>
  <c r="A56" i="69"/>
  <c r="A57" i="69"/>
  <c r="A58" i="69"/>
  <c r="A59" i="69"/>
  <c r="A60" i="69"/>
  <c r="A61" i="69"/>
  <c r="A62" i="69"/>
  <c r="A63" i="69"/>
  <c r="A64" i="69"/>
  <c r="A65" i="69"/>
  <c r="A66" i="69"/>
  <c r="A67" i="69"/>
  <c r="A68" i="69"/>
  <c r="A69" i="69"/>
  <c r="A70" i="69"/>
  <c r="A71" i="69"/>
  <c r="A72" i="69"/>
  <c r="A73" i="69"/>
  <c r="A74" i="69"/>
  <c r="A75" i="69"/>
  <c r="A76" i="69"/>
  <c r="A77" i="69"/>
  <c r="A78" i="69"/>
  <c r="A79" i="69"/>
  <c r="A80" i="69"/>
  <c r="A81" i="69"/>
  <c r="A82" i="69"/>
  <c r="A83" i="69"/>
  <c r="A84" i="69"/>
  <c r="A85" i="69"/>
  <c r="A86" i="69"/>
  <c r="A87" i="69"/>
  <c r="A88" i="69"/>
  <c r="A89" i="69"/>
  <c r="A90" i="69"/>
  <c r="A91" i="69"/>
  <c r="A92" i="69"/>
  <c r="A93" i="69"/>
  <c r="A94" i="69"/>
  <c r="A95" i="69"/>
  <c r="A96" i="69"/>
  <c r="A97" i="69"/>
  <c r="A98" i="69"/>
  <c r="A99" i="69"/>
  <c r="A100" i="69"/>
  <c r="A101" i="69"/>
  <c r="A102" i="69"/>
  <c r="A103" i="69"/>
  <c r="A104" i="69"/>
  <c r="A105" i="69"/>
  <c r="A106" i="69"/>
  <c r="A107" i="69"/>
  <c r="A108" i="69"/>
  <c r="A109" i="69"/>
  <c r="A110" i="69"/>
  <c r="A111" i="69"/>
  <c r="A112" i="69"/>
  <c r="A113" i="69"/>
  <c r="A3" i="69"/>
  <c r="E42" i="18" l="1"/>
  <c r="S41" i="18" l="1"/>
  <c r="E41" i="18"/>
  <c r="L131" i="68" l="1"/>
  <c r="K131" i="68"/>
  <c r="J131" i="68"/>
  <c r="L131" i="67"/>
  <c r="K131" i="67"/>
  <c r="J131" i="67"/>
  <c r="L131" i="66"/>
  <c r="K131" i="66"/>
  <c r="J131" i="66"/>
  <c r="L131" i="64"/>
  <c r="K131" i="64"/>
  <c r="J131" i="64"/>
  <c r="E131" i="66" l="1"/>
  <c r="E131" i="68"/>
  <c r="E131" i="64"/>
  <c r="E131" i="67"/>
  <c r="E4" i="24"/>
  <c r="C10" i="18"/>
  <c r="F6" i="20"/>
  <c r="F5" i="20"/>
  <c r="H43" i="20"/>
  <c r="B43" i="20"/>
  <c r="H42" i="20"/>
  <c r="B42" i="20"/>
  <c r="C34" i="18"/>
  <c r="C33" i="18"/>
  <c r="C32" i="18"/>
  <c r="E34" i="18"/>
  <c r="E33" i="18"/>
  <c r="E32" i="18"/>
  <c r="H34" i="18"/>
  <c r="H33" i="18"/>
  <c r="H32" i="18"/>
  <c r="J34" i="18"/>
  <c r="J33" i="18"/>
  <c r="J32" i="18"/>
  <c r="N34" i="18"/>
  <c r="N33" i="18"/>
  <c r="N32" i="18"/>
  <c r="D95" i="64"/>
  <c r="D95" i="66"/>
  <c r="D95" i="67"/>
  <c r="D95" i="68"/>
  <c r="A3" i="55" l="1"/>
  <c r="C36" i="67"/>
  <c r="A31" i="64"/>
  <c r="A31" i="66"/>
  <c r="A31" i="67"/>
  <c r="A31" i="68"/>
  <c r="AN57" i="66"/>
  <c r="AN57" i="67"/>
  <c r="AN57" i="68"/>
  <c r="AN57" i="64"/>
  <c r="D66" i="20"/>
  <c r="D76" i="20" s="1"/>
  <c r="D86" i="20" s="1"/>
  <c r="D55" i="20"/>
  <c r="D65" i="20" s="1"/>
  <c r="D75" i="20" s="1"/>
  <c r="D85" i="20" s="1"/>
  <c r="D95" i="20" s="1"/>
  <c r="D105" i="20" s="1"/>
  <c r="D115" i="20" s="1"/>
  <c r="D125" i="20" s="1"/>
  <c r="D135" i="20" s="1"/>
  <c r="D145" i="20" s="1"/>
  <c r="D155" i="20" s="1"/>
  <c r="D165" i="20" s="1"/>
  <c r="D175" i="20" s="1"/>
  <c r="D185" i="20" s="1"/>
  <c r="D195" i="20" s="1"/>
  <c r="D205" i="20" s="1"/>
  <c r="D215" i="20" s="1"/>
  <c r="D225" i="20" s="1"/>
  <c r="D235" i="20" s="1"/>
  <c r="D245" i="20" s="1"/>
  <c r="D255" i="20" s="1"/>
  <c r="D265" i="20" s="1"/>
  <c r="D275" i="20" s="1"/>
  <c r="D285" i="20" s="1"/>
  <c r="D295" i="20" s="1"/>
  <c r="D305" i="20" s="1"/>
  <c r="D54" i="20"/>
  <c r="D64" i="20" s="1"/>
  <c r="D74" i="20" s="1"/>
  <c r="D84" i="20" s="1"/>
  <c r="D94" i="20" s="1"/>
  <c r="D104" i="20" s="1"/>
  <c r="D114" i="20" s="1"/>
  <c r="D124" i="20" s="1"/>
  <c r="D134" i="20" s="1"/>
  <c r="D144" i="20" s="1"/>
  <c r="D154" i="20" s="1"/>
  <c r="D164" i="20" s="1"/>
  <c r="D174" i="20" s="1"/>
  <c r="D184" i="20" s="1"/>
  <c r="D194" i="20" s="1"/>
  <c r="D204" i="20" s="1"/>
  <c r="D214" i="20" s="1"/>
  <c r="D224" i="20" s="1"/>
  <c r="D234" i="20" s="1"/>
  <c r="D244" i="20" s="1"/>
  <c r="D254" i="20" s="1"/>
  <c r="D264" i="20" s="1"/>
  <c r="D274" i="20" s="1"/>
  <c r="D284" i="20" s="1"/>
  <c r="D294" i="20" s="1"/>
  <c r="D304" i="20" s="1"/>
  <c r="A10" i="66"/>
  <c r="A18" i="66"/>
  <c r="A27" i="66"/>
  <c r="A53" i="66"/>
  <c r="A5" i="66"/>
  <c r="E108" i="66"/>
  <c r="E109" i="66"/>
  <c r="E110" i="66"/>
  <c r="J105" i="66"/>
  <c r="J115" i="66" s="1"/>
  <c r="K105" i="66"/>
  <c r="K111" i="66" s="1"/>
  <c r="L105" i="66"/>
  <c r="L125" i="66" s="1"/>
  <c r="E117" i="66"/>
  <c r="E121" i="66"/>
  <c r="E126" i="66"/>
  <c r="E129" i="66"/>
  <c r="E130" i="66"/>
  <c r="E135" i="66"/>
  <c r="E136" i="66"/>
  <c r="A10" i="67"/>
  <c r="A18" i="67"/>
  <c r="A27" i="67"/>
  <c r="A53" i="67"/>
  <c r="A5" i="67"/>
  <c r="E108" i="67"/>
  <c r="E109" i="67"/>
  <c r="E110" i="67"/>
  <c r="J105" i="67"/>
  <c r="K105" i="67"/>
  <c r="K115" i="67" s="1"/>
  <c r="L105" i="67"/>
  <c r="L125" i="67" s="1"/>
  <c r="E117" i="67"/>
  <c r="E121" i="67"/>
  <c r="E126" i="67"/>
  <c r="E129" i="67"/>
  <c r="E130" i="67"/>
  <c r="E135" i="67"/>
  <c r="E136" i="67"/>
  <c r="A10" i="68"/>
  <c r="A18" i="68"/>
  <c r="A27" i="68"/>
  <c r="A53" i="68"/>
  <c r="A5" i="68"/>
  <c r="E108" i="68"/>
  <c r="E109" i="68"/>
  <c r="E110" i="68"/>
  <c r="J105" i="68"/>
  <c r="J119" i="68" s="1"/>
  <c r="K105" i="68"/>
  <c r="K111" i="68" s="1"/>
  <c r="L105" i="68"/>
  <c r="L115" i="68" s="1"/>
  <c r="E117" i="68"/>
  <c r="E121" i="68"/>
  <c r="E126" i="68"/>
  <c r="E129" i="68"/>
  <c r="E130" i="68"/>
  <c r="E135" i="68"/>
  <c r="E136" i="68"/>
  <c r="A10" i="64"/>
  <c r="A18" i="64"/>
  <c r="A27" i="64"/>
  <c r="A53" i="64"/>
  <c r="A5" i="64"/>
  <c r="E108" i="64"/>
  <c r="E109" i="64"/>
  <c r="E110" i="64"/>
  <c r="J105" i="64"/>
  <c r="J111" i="64" s="1"/>
  <c r="K105" i="64"/>
  <c r="K111" i="64" s="1"/>
  <c r="L105" i="64"/>
  <c r="L111" i="64" s="1"/>
  <c r="E117" i="64"/>
  <c r="E121" i="64"/>
  <c r="E126" i="64"/>
  <c r="E129" i="64"/>
  <c r="E130" i="64"/>
  <c r="E135" i="64"/>
  <c r="E136" i="64"/>
  <c r="I37" i="64"/>
  <c r="I39" i="64"/>
  <c r="L12" i="18"/>
  <c r="BF61" i="66"/>
  <c r="BF61" i="67"/>
  <c r="BF61" i="68"/>
  <c r="BF61" i="64"/>
  <c r="I2" i="24"/>
  <c r="H2" i="24"/>
  <c r="G2" i="24"/>
  <c r="J2" i="24"/>
  <c r="AA41" i="18"/>
  <c r="C18" i="18"/>
  <c r="C17" i="18"/>
  <c r="C16" i="18"/>
  <c r="C15" i="18"/>
  <c r="A193" i="68"/>
  <c r="D143" i="68"/>
  <c r="D142" i="68"/>
  <c r="D141" i="68"/>
  <c r="D140" i="68"/>
  <c r="D139" i="68"/>
  <c r="D138" i="68"/>
  <c r="D137" i="68"/>
  <c r="D136" i="68"/>
  <c r="D135" i="68"/>
  <c r="D134" i="68"/>
  <c r="D133" i="68"/>
  <c r="D132" i="68"/>
  <c r="D131" i="68"/>
  <c r="D130" i="68"/>
  <c r="D129" i="68"/>
  <c r="D128" i="68"/>
  <c r="D127" i="68"/>
  <c r="D126" i="68"/>
  <c r="D125" i="68"/>
  <c r="D124" i="68"/>
  <c r="D123" i="68"/>
  <c r="D122" i="68"/>
  <c r="D121" i="68"/>
  <c r="D120" i="68"/>
  <c r="D119" i="68"/>
  <c r="D118" i="68"/>
  <c r="D117" i="68"/>
  <c r="D116" i="68"/>
  <c r="D115" i="68"/>
  <c r="D114" i="68"/>
  <c r="D113" i="68"/>
  <c r="D112" i="68"/>
  <c r="D111" i="68"/>
  <c r="D110" i="68"/>
  <c r="D109" i="68"/>
  <c r="D108" i="68"/>
  <c r="D107" i="68"/>
  <c r="D106" i="68"/>
  <c r="D105" i="68"/>
  <c r="D104" i="68"/>
  <c r="D103" i="68"/>
  <c r="D102" i="68"/>
  <c r="D101" i="68"/>
  <c r="D100" i="68"/>
  <c r="D99" i="68"/>
  <c r="D98" i="68"/>
  <c r="D97" i="68"/>
  <c r="D96" i="68"/>
  <c r="D94" i="68"/>
  <c r="D93" i="68"/>
  <c r="D92" i="68"/>
  <c r="D91" i="68"/>
  <c r="D90" i="68"/>
  <c r="D89" i="68"/>
  <c r="D88" i="68"/>
  <c r="D87" i="68"/>
  <c r="D86" i="68"/>
  <c r="D85" i="68"/>
  <c r="D84" i="68"/>
  <c r="D83" i="68"/>
  <c r="D82" i="68"/>
  <c r="D81" i="68"/>
  <c r="D80" i="68"/>
  <c r="D79" i="68"/>
  <c r="D78" i="68"/>
  <c r="D77" i="68"/>
  <c r="D76" i="68"/>
  <c r="D75" i="68"/>
  <c r="AH44" i="68"/>
  <c r="AG44" i="68"/>
  <c r="AF44" i="68"/>
  <c r="AE44" i="68"/>
  <c r="AC44" i="68"/>
  <c r="AB44" i="68"/>
  <c r="AA44" i="68"/>
  <c r="Z44" i="68"/>
  <c r="X44" i="68"/>
  <c r="W44" i="68"/>
  <c r="V44" i="68"/>
  <c r="U44" i="68"/>
  <c r="T44" i="68"/>
  <c r="R44" i="68"/>
  <c r="Q44" i="68"/>
  <c r="P44" i="68"/>
  <c r="N44" i="68"/>
  <c r="M44" i="68"/>
  <c r="L44" i="68"/>
  <c r="K44" i="68"/>
  <c r="J44" i="68"/>
  <c r="H44" i="68"/>
  <c r="G44" i="68"/>
  <c r="F44" i="68"/>
  <c r="E44" i="68"/>
  <c r="D44" i="68"/>
  <c r="I35" i="68"/>
  <c r="BF1" i="68"/>
  <c r="A193" i="67"/>
  <c r="D143" i="67"/>
  <c r="D142" i="67"/>
  <c r="D141" i="67"/>
  <c r="D140" i="67"/>
  <c r="D139" i="67"/>
  <c r="D138" i="67"/>
  <c r="D137" i="67"/>
  <c r="D136" i="67"/>
  <c r="D135" i="67"/>
  <c r="D134" i="67"/>
  <c r="D133" i="67"/>
  <c r="D132" i="67"/>
  <c r="D131" i="67"/>
  <c r="D130" i="67"/>
  <c r="D129" i="67"/>
  <c r="D128" i="67"/>
  <c r="D127" i="67"/>
  <c r="D126" i="67"/>
  <c r="D125" i="67"/>
  <c r="D124" i="67"/>
  <c r="D123" i="67"/>
  <c r="D122" i="67"/>
  <c r="D121" i="67"/>
  <c r="D120" i="67"/>
  <c r="D119" i="67"/>
  <c r="D118" i="67"/>
  <c r="D117" i="67"/>
  <c r="D116" i="67"/>
  <c r="D115" i="67"/>
  <c r="D114" i="67"/>
  <c r="D113" i="67"/>
  <c r="D112" i="67"/>
  <c r="D111" i="67"/>
  <c r="D110" i="67"/>
  <c r="D109" i="67"/>
  <c r="D108" i="67"/>
  <c r="D107" i="67"/>
  <c r="D106" i="67"/>
  <c r="D105" i="67"/>
  <c r="D104" i="67"/>
  <c r="D103" i="67"/>
  <c r="D102" i="67"/>
  <c r="D101" i="67"/>
  <c r="D100" i="67"/>
  <c r="D99" i="67"/>
  <c r="D98" i="67"/>
  <c r="D97" i="67"/>
  <c r="D96" i="67"/>
  <c r="D94" i="67"/>
  <c r="D93" i="67"/>
  <c r="D92" i="67"/>
  <c r="D91" i="67"/>
  <c r="D90" i="67"/>
  <c r="D89" i="67"/>
  <c r="D88" i="67"/>
  <c r="D87" i="67"/>
  <c r="D86" i="67"/>
  <c r="D85" i="67"/>
  <c r="D84" i="67"/>
  <c r="D83" i="67"/>
  <c r="D82" i="67"/>
  <c r="D81" i="67"/>
  <c r="D80" i="67"/>
  <c r="D79" i="67"/>
  <c r="D78" i="67"/>
  <c r="D77" i="67"/>
  <c r="D76" i="67"/>
  <c r="D75" i="67"/>
  <c r="AH44" i="67"/>
  <c r="AG44" i="67"/>
  <c r="AF44" i="67"/>
  <c r="AE44" i="67"/>
  <c r="AC44" i="67"/>
  <c r="AB44" i="67"/>
  <c r="AA44" i="67"/>
  <c r="Z44" i="67"/>
  <c r="X44" i="67"/>
  <c r="W44" i="67"/>
  <c r="V44" i="67"/>
  <c r="U44" i="67"/>
  <c r="T44" i="67"/>
  <c r="R44" i="67"/>
  <c r="Q44" i="67"/>
  <c r="P44" i="67"/>
  <c r="N44" i="67"/>
  <c r="M44" i="67"/>
  <c r="L44" i="67"/>
  <c r="K44" i="67"/>
  <c r="J44" i="67"/>
  <c r="H44" i="67"/>
  <c r="G44" i="67"/>
  <c r="F44" i="67"/>
  <c r="E44" i="67"/>
  <c r="D44" i="67"/>
  <c r="I35" i="67"/>
  <c r="BF1" i="67"/>
  <c r="A193" i="66"/>
  <c r="D143" i="66"/>
  <c r="D142" i="66"/>
  <c r="D141" i="66"/>
  <c r="D140" i="66"/>
  <c r="D139" i="66"/>
  <c r="D138" i="66"/>
  <c r="D137" i="66"/>
  <c r="D136" i="66"/>
  <c r="D135" i="66"/>
  <c r="D134" i="66"/>
  <c r="D133" i="66"/>
  <c r="D132" i="66"/>
  <c r="D131" i="66"/>
  <c r="D130" i="66"/>
  <c r="D129" i="66"/>
  <c r="D128" i="66"/>
  <c r="D127" i="66"/>
  <c r="D126" i="66"/>
  <c r="D125" i="66"/>
  <c r="D124" i="66"/>
  <c r="D123" i="66"/>
  <c r="D122" i="66"/>
  <c r="D121" i="66"/>
  <c r="D120" i="66"/>
  <c r="D119" i="66"/>
  <c r="D118" i="66"/>
  <c r="D117" i="66"/>
  <c r="D116" i="66"/>
  <c r="D115" i="66"/>
  <c r="D114" i="66"/>
  <c r="D113" i="66"/>
  <c r="D112" i="66"/>
  <c r="D111" i="66"/>
  <c r="D110" i="66"/>
  <c r="D109" i="66"/>
  <c r="D108" i="66"/>
  <c r="D107" i="66"/>
  <c r="D106" i="66"/>
  <c r="D105" i="66"/>
  <c r="D104" i="66"/>
  <c r="D103" i="66"/>
  <c r="D102" i="66"/>
  <c r="D101" i="66"/>
  <c r="D100" i="66"/>
  <c r="D99" i="66"/>
  <c r="D98" i="66"/>
  <c r="D97" i="66"/>
  <c r="D96" i="66"/>
  <c r="D94" i="66"/>
  <c r="D93" i="66"/>
  <c r="D92" i="66"/>
  <c r="D91" i="66"/>
  <c r="D90" i="66"/>
  <c r="D89" i="66"/>
  <c r="D88" i="66"/>
  <c r="D87" i="66"/>
  <c r="D86" i="66"/>
  <c r="D85" i="66"/>
  <c r="D84" i="66"/>
  <c r="D83" i="66"/>
  <c r="D82" i="66"/>
  <c r="D81" i="66"/>
  <c r="D80" i="66"/>
  <c r="D79" i="66"/>
  <c r="D78" i="66"/>
  <c r="D77" i="66"/>
  <c r="D76" i="66"/>
  <c r="D75" i="66"/>
  <c r="AH44" i="66"/>
  <c r="AG44" i="66"/>
  <c r="AF44" i="66"/>
  <c r="AE44" i="66"/>
  <c r="AC44" i="66"/>
  <c r="AB44" i="66"/>
  <c r="AA44" i="66"/>
  <c r="Z44" i="66"/>
  <c r="X44" i="66"/>
  <c r="W44" i="66"/>
  <c r="V44" i="66"/>
  <c r="U44" i="66"/>
  <c r="T44" i="66"/>
  <c r="R44" i="66"/>
  <c r="Q44" i="66"/>
  <c r="P44" i="66"/>
  <c r="N44" i="66"/>
  <c r="M44" i="66"/>
  <c r="L44" i="66"/>
  <c r="K44" i="66"/>
  <c r="J44" i="66"/>
  <c r="H44" i="66"/>
  <c r="G44" i="66"/>
  <c r="F44" i="66"/>
  <c r="E44" i="66"/>
  <c r="D44" i="66"/>
  <c r="I35" i="66"/>
  <c r="BF1" i="66"/>
  <c r="A193" i="64"/>
  <c r="D143" i="64"/>
  <c r="D142" i="64"/>
  <c r="D141" i="64"/>
  <c r="D140" i="64"/>
  <c r="D139" i="64"/>
  <c r="D138" i="64"/>
  <c r="D137" i="64"/>
  <c r="D136" i="64"/>
  <c r="D135" i="64"/>
  <c r="D134" i="64"/>
  <c r="D133" i="64"/>
  <c r="D132" i="64"/>
  <c r="D131" i="64"/>
  <c r="D130" i="64"/>
  <c r="D129" i="64"/>
  <c r="D128" i="64"/>
  <c r="D127" i="64"/>
  <c r="D126" i="64"/>
  <c r="D125" i="64"/>
  <c r="D124" i="64"/>
  <c r="D123" i="64"/>
  <c r="D122" i="64"/>
  <c r="D121" i="64"/>
  <c r="D120" i="64"/>
  <c r="D119" i="64"/>
  <c r="D118" i="64"/>
  <c r="D117" i="64"/>
  <c r="D116" i="64"/>
  <c r="D115" i="64"/>
  <c r="D114" i="64"/>
  <c r="D113" i="64"/>
  <c r="D112" i="64"/>
  <c r="D111" i="64"/>
  <c r="D110" i="64"/>
  <c r="D109" i="64"/>
  <c r="D108" i="64"/>
  <c r="D107" i="64"/>
  <c r="D106" i="64"/>
  <c r="D105" i="64"/>
  <c r="D104" i="64"/>
  <c r="D103" i="64"/>
  <c r="D102" i="64"/>
  <c r="D101" i="64"/>
  <c r="D100" i="64"/>
  <c r="D99" i="64"/>
  <c r="D98" i="64"/>
  <c r="D97" i="64"/>
  <c r="D96" i="64"/>
  <c r="D94" i="64"/>
  <c r="D93" i="64"/>
  <c r="D92" i="64"/>
  <c r="D91" i="64"/>
  <c r="D90" i="64"/>
  <c r="D89" i="64"/>
  <c r="D88" i="64"/>
  <c r="D87" i="64"/>
  <c r="D86" i="64"/>
  <c r="D85" i="64"/>
  <c r="D84" i="64"/>
  <c r="D83" i="64"/>
  <c r="D82" i="64"/>
  <c r="D81" i="64"/>
  <c r="D80" i="64"/>
  <c r="D79" i="64"/>
  <c r="D78" i="64"/>
  <c r="D77" i="64"/>
  <c r="D76" i="64"/>
  <c r="D75" i="64"/>
  <c r="AH44" i="64"/>
  <c r="AG44" i="64"/>
  <c r="AF44" i="64"/>
  <c r="AE44" i="64"/>
  <c r="AC44" i="64"/>
  <c r="AB44" i="64"/>
  <c r="AA44" i="64"/>
  <c r="Z44" i="64"/>
  <c r="X44" i="64"/>
  <c r="W44" i="64"/>
  <c r="V44" i="64"/>
  <c r="U44" i="64"/>
  <c r="T44" i="64"/>
  <c r="R44" i="64"/>
  <c r="Q44" i="64"/>
  <c r="P44" i="64"/>
  <c r="N44" i="64"/>
  <c r="M44" i="64"/>
  <c r="L44" i="64"/>
  <c r="K44" i="64"/>
  <c r="J44" i="64"/>
  <c r="H44" i="64"/>
  <c r="G44" i="64"/>
  <c r="F44" i="64"/>
  <c r="E44" i="64"/>
  <c r="D44" i="64"/>
  <c r="I35" i="64"/>
  <c r="BF1" i="64"/>
  <c r="C27" i="18"/>
  <c r="C26" i="18"/>
  <c r="C25" i="18"/>
  <c r="Q5" i="20"/>
  <c r="N42" i="18"/>
  <c r="Y5" i="18"/>
  <c r="Y6" i="18"/>
  <c r="U5" i="18"/>
  <c r="H225" i="20"/>
  <c r="H224" i="20"/>
  <c r="B225" i="20"/>
  <c r="B224" i="20"/>
  <c r="J262" i="24"/>
  <c r="I262" i="24"/>
  <c r="H262" i="24"/>
  <c r="G262" i="24"/>
  <c r="C262" i="24"/>
  <c r="J261" i="24"/>
  <c r="I261" i="24"/>
  <c r="H261" i="24"/>
  <c r="G261" i="24"/>
  <c r="C261" i="24"/>
  <c r="J260" i="24"/>
  <c r="I260" i="24"/>
  <c r="H260" i="24"/>
  <c r="G260" i="24"/>
  <c r="C260" i="24"/>
  <c r="D63" i="8"/>
  <c r="E63" i="8"/>
  <c r="F63" i="8"/>
  <c r="C63" i="8"/>
  <c r="AC5" i="18"/>
  <c r="U8" i="18"/>
  <c r="C5" i="18"/>
  <c r="B305" i="20"/>
  <c r="B304" i="20"/>
  <c r="B296" i="20"/>
  <c r="B295" i="20"/>
  <c r="B294" i="20"/>
  <c r="B286" i="20"/>
  <c r="B285" i="20"/>
  <c r="B284" i="20"/>
  <c r="B276" i="20"/>
  <c r="B275" i="20"/>
  <c r="B274" i="20"/>
  <c r="B265" i="20"/>
  <c r="B264" i="20"/>
  <c r="B256" i="20"/>
  <c r="B255" i="20"/>
  <c r="B254" i="20"/>
  <c r="B246" i="20"/>
  <c r="B245" i="20"/>
  <c r="B244" i="20"/>
  <c r="B236" i="20"/>
  <c r="B235" i="20"/>
  <c r="B234" i="20"/>
  <c r="B216" i="20"/>
  <c r="B215" i="20"/>
  <c r="B214" i="20"/>
  <c r="B206" i="20"/>
  <c r="B205" i="20"/>
  <c r="B204" i="20"/>
  <c r="B196" i="20"/>
  <c r="B195" i="20"/>
  <c r="B194" i="20"/>
  <c r="B186" i="20"/>
  <c r="B185" i="20"/>
  <c r="B184" i="20"/>
  <c r="B175" i="20"/>
  <c r="B174" i="20"/>
  <c r="B166" i="20"/>
  <c r="B165" i="20"/>
  <c r="B164" i="20"/>
  <c r="B156" i="20"/>
  <c r="B155" i="20"/>
  <c r="B154" i="20"/>
  <c r="B145" i="20"/>
  <c r="B144" i="20"/>
  <c r="B136" i="20"/>
  <c r="B135" i="20"/>
  <c r="B134" i="20"/>
  <c r="B126" i="20"/>
  <c r="B125" i="20"/>
  <c r="B124" i="20"/>
  <c r="B116" i="20"/>
  <c r="B115" i="20"/>
  <c r="B114" i="20"/>
  <c r="B106" i="20"/>
  <c r="B105" i="20"/>
  <c r="B104" i="20"/>
  <c r="B95" i="20"/>
  <c r="B94" i="20"/>
  <c r="B86" i="20"/>
  <c r="B85" i="20"/>
  <c r="B84" i="20"/>
  <c r="B76" i="20"/>
  <c r="B75" i="20"/>
  <c r="B74" i="20"/>
  <c r="B66" i="20"/>
  <c r="B65" i="20"/>
  <c r="B64" i="20"/>
  <c r="B316" i="20"/>
  <c r="B317" i="20"/>
  <c r="B318" i="20"/>
  <c r="B319" i="20"/>
  <c r="B315" i="20"/>
  <c r="B55" i="20"/>
  <c r="B56" i="20"/>
  <c r="B54" i="20"/>
  <c r="B47" i="20"/>
  <c r="B48" i="20"/>
  <c r="B49" i="20"/>
  <c r="B50" i="20"/>
  <c r="B51" i="20"/>
  <c r="B52" i="20"/>
  <c r="B46" i="20"/>
  <c r="B44" i="20"/>
  <c r="B41" i="20"/>
  <c r="B40" i="20"/>
  <c r="B39" i="20"/>
  <c r="B38" i="20"/>
  <c r="B37" i="20"/>
  <c r="B36" i="20"/>
  <c r="B35" i="20"/>
  <c r="B33" i="20"/>
  <c r="B32" i="20"/>
  <c r="B34" i="20"/>
  <c r="B31" i="20"/>
  <c r="B29" i="20"/>
  <c r="B28" i="20"/>
  <c r="B27" i="20"/>
  <c r="B26" i="20"/>
  <c r="B25" i="20"/>
  <c r="B24" i="20"/>
  <c r="B23" i="20"/>
  <c r="B22" i="20"/>
  <c r="B21" i="20"/>
  <c r="B20" i="20"/>
  <c r="B18" i="20"/>
  <c r="B17" i="20"/>
  <c r="B16" i="20"/>
  <c r="B15" i="20"/>
  <c r="B14" i="20"/>
  <c r="B13" i="20"/>
  <c r="B12" i="20"/>
  <c r="H44" i="20"/>
  <c r="H33" i="20"/>
  <c r="H34" i="20"/>
  <c r="H35" i="20"/>
  <c r="H36" i="20"/>
  <c r="H37" i="20"/>
  <c r="H38" i="20"/>
  <c r="H39" i="20"/>
  <c r="H40" i="20"/>
  <c r="H41" i="20"/>
  <c r="H22" i="20"/>
  <c r="H23" i="20"/>
  <c r="H24" i="20"/>
  <c r="H25" i="20"/>
  <c r="H26" i="20"/>
  <c r="H27" i="20"/>
  <c r="H28" i="20"/>
  <c r="H29" i="20"/>
  <c r="H32" i="20"/>
  <c r="H31" i="20"/>
  <c r="H21" i="20"/>
  <c r="H20" i="20"/>
  <c r="G328" i="24"/>
  <c r="H328" i="24"/>
  <c r="I328" i="24"/>
  <c r="J328" i="24"/>
  <c r="G329" i="24"/>
  <c r="H329" i="24"/>
  <c r="I329" i="24"/>
  <c r="J329" i="24"/>
  <c r="G330" i="24"/>
  <c r="H330" i="24"/>
  <c r="I330" i="24"/>
  <c r="J330" i="24"/>
  <c r="G339" i="24"/>
  <c r="H339" i="24"/>
  <c r="I339" i="24"/>
  <c r="J339" i="24"/>
  <c r="G340" i="24"/>
  <c r="H340" i="24"/>
  <c r="I340" i="24"/>
  <c r="J340" i="24"/>
  <c r="G341" i="24"/>
  <c r="H341" i="24"/>
  <c r="I341" i="24"/>
  <c r="J341" i="24"/>
  <c r="G350" i="24"/>
  <c r="H350" i="24"/>
  <c r="I350" i="24"/>
  <c r="J350" i="24"/>
  <c r="G351" i="24"/>
  <c r="H351" i="24"/>
  <c r="I351" i="24"/>
  <c r="J351" i="24"/>
  <c r="G352" i="24"/>
  <c r="H352" i="24"/>
  <c r="I352" i="24"/>
  <c r="J352" i="24"/>
  <c r="J319" i="24"/>
  <c r="I319" i="24"/>
  <c r="H319" i="24"/>
  <c r="G319" i="24"/>
  <c r="J318" i="24"/>
  <c r="I318" i="24"/>
  <c r="H318" i="24"/>
  <c r="G318" i="24"/>
  <c r="J317" i="24"/>
  <c r="I317" i="24"/>
  <c r="H317" i="24"/>
  <c r="G317" i="24"/>
  <c r="G283" i="24"/>
  <c r="H283" i="24"/>
  <c r="I283" i="24"/>
  <c r="J283" i="24"/>
  <c r="G284" i="24"/>
  <c r="H284" i="24"/>
  <c r="I284" i="24"/>
  <c r="J284" i="24"/>
  <c r="G285" i="24"/>
  <c r="H285" i="24"/>
  <c r="I285" i="24"/>
  <c r="J285" i="24"/>
  <c r="G294" i="24"/>
  <c r="H294" i="24"/>
  <c r="I294" i="24"/>
  <c r="J294" i="24"/>
  <c r="G295" i="24"/>
  <c r="H295" i="24"/>
  <c r="I295" i="24"/>
  <c r="J295" i="24"/>
  <c r="G296" i="24"/>
  <c r="H296" i="24"/>
  <c r="I296" i="24"/>
  <c r="J296" i="24"/>
  <c r="G305" i="24"/>
  <c r="H305" i="24"/>
  <c r="I305" i="24"/>
  <c r="J305" i="24"/>
  <c r="G306" i="24"/>
  <c r="H306" i="24"/>
  <c r="I306" i="24"/>
  <c r="J306" i="24"/>
  <c r="G307" i="24"/>
  <c r="H307" i="24"/>
  <c r="I307" i="24"/>
  <c r="J307" i="24"/>
  <c r="J274" i="24"/>
  <c r="I274" i="24"/>
  <c r="H274" i="24"/>
  <c r="G274" i="24"/>
  <c r="J273" i="24"/>
  <c r="I273" i="24"/>
  <c r="H273" i="24"/>
  <c r="G273" i="24"/>
  <c r="J272" i="24"/>
  <c r="I272" i="24"/>
  <c r="H272" i="24"/>
  <c r="G272" i="24"/>
  <c r="G227" i="24"/>
  <c r="H227" i="24"/>
  <c r="I227" i="24"/>
  <c r="J227" i="24"/>
  <c r="G228" i="24"/>
  <c r="H228" i="24"/>
  <c r="I228" i="24"/>
  <c r="J228" i="24"/>
  <c r="G229" i="24"/>
  <c r="H229" i="24"/>
  <c r="I229" i="24"/>
  <c r="J229" i="24"/>
  <c r="G238" i="24"/>
  <c r="H238" i="24"/>
  <c r="I238" i="24"/>
  <c r="J238" i="24"/>
  <c r="G239" i="24"/>
  <c r="H239" i="24"/>
  <c r="I239" i="24"/>
  <c r="J239" i="24"/>
  <c r="G240" i="24"/>
  <c r="H240" i="24"/>
  <c r="I240" i="24"/>
  <c r="J240" i="24"/>
  <c r="G249" i="24"/>
  <c r="H249" i="24"/>
  <c r="I249" i="24"/>
  <c r="J249" i="24"/>
  <c r="G250" i="24"/>
  <c r="H250" i="24"/>
  <c r="I250" i="24"/>
  <c r="J250" i="24"/>
  <c r="G251" i="24"/>
  <c r="H251" i="24"/>
  <c r="I251" i="24"/>
  <c r="J251" i="24"/>
  <c r="J218" i="24"/>
  <c r="I218" i="24"/>
  <c r="H218" i="24"/>
  <c r="G218" i="24"/>
  <c r="J217" i="24"/>
  <c r="I217" i="24"/>
  <c r="H217" i="24"/>
  <c r="G217" i="24"/>
  <c r="J216" i="24"/>
  <c r="I216" i="24"/>
  <c r="H216" i="24"/>
  <c r="G216" i="24"/>
  <c r="G193" i="24"/>
  <c r="H193" i="24"/>
  <c r="I193" i="24"/>
  <c r="J193" i="24"/>
  <c r="G194" i="24"/>
  <c r="H194" i="24"/>
  <c r="I194" i="24"/>
  <c r="J194" i="24"/>
  <c r="G195" i="24"/>
  <c r="H195" i="24"/>
  <c r="I195" i="24"/>
  <c r="J195" i="24"/>
  <c r="G204" i="24"/>
  <c r="H204" i="24"/>
  <c r="I204" i="24"/>
  <c r="J204" i="24"/>
  <c r="G205" i="24"/>
  <c r="H205" i="24"/>
  <c r="I205" i="24"/>
  <c r="J205" i="24"/>
  <c r="G206" i="24"/>
  <c r="H206" i="24"/>
  <c r="I206" i="24"/>
  <c r="J206" i="24"/>
  <c r="J184" i="24"/>
  <c r="I184" i="24"/>
  <c r="H184" i="24"/>
  <c r="G184" i="24"/>
  <c r="J183" i="24"/>
  <c r="I183" i="24"/>
  <c r="H183" i="24"/>
  <c r="G183" i="24"/>
  <c r="J182" i="24"/>
  <c r="I182" i="24"/>
  <c r="H182" i="24"/>
  <c r="G182" i="24"/>
  <c r="G139" i="24"/>
  <c r="H139" i="24"/>
  <c r="I139" i="24"/>
  <c r="J139" i="24"/>
  <c r="G140" i="24"/>
  <c r="H140" i="24"/>
  <c r="I140" i="24"/>
  <c r="J140" i="24"/>
  <c r="G141" i="24"/>
  <c r="H141" i="24"/>
  <c r="I141" i="24"/>
  <c r="J141" i="24"/>
  <c r="G150" i="24"/>
  <c r="H150" i="24"/>
  <c r="I150" i="24"/>
  <c r="J150" i="24"/>
  <c r="G151" i="24"/>
  <c r="H151" i="24"/>
  <c r="I151" i="24"/>
  <c r="J151" i="24"/>
  <c r="G152" i="24"/>
  <c r="H152" i="24"/>
  <c r="I152" i="24"/>
  <c r="J152" i="24"/>
  <c r="G161" i="24"/>
  <c r="H161" i="24"/>
  <c r="I161" i="24"/>
  <c r="J161" i="24"/>
  <c r="G162" i="24"/>
  <c r="H162" i="24"/>
  <c r="I162" i="24"/>
  <c r="J162" i="24"/>
  <c r="G163" i="24"/>
  <c r="H163" i="24"/>
  <c r="I163" i="24"/>
  <c r="J163" i="24"/>
  <c r="G172" i="24"/>
  <c r="H172" i="24"/>
  <c r="I172" i="24"/>
  <c r="J172" i="24"/>
  <c r="G173" i="24"/>
  <c r="H173" i="24"/>
  <c r="I173" i="24"/>
  <c r="J173" i="24"/>
  <c r="G174" i="24"/>
  <c r="H174" i="24"/>
  <c r="I174" i="24"/>
  <c r="J174" i="24"/>
  <c r="J130" i="24"/>
  <c r="I130" i="24"/>
  <c r="H130" i="24"/>
  <c r="G130" i="24"/>
  <c r="J129" i="24"/>
  <c r="I129" i="24"/>
  <c r="H129" i="24"/>
  <c r="G129" i="24"/>
  <c r="J128" i="24"/>
  <c r="I128" i="24"/>
  <c r="H128" i="24"/>
  <c r="G128" i="24"/>
  <c r="G83" i="24"/>
  <c r="H83" i="24"/>
  <c r="I83" i="24"/>
  <c r="J83" i="24"/>
  <c r="G84" i="24"/>
  <c r="H84" i="24"/>
  <c r="I84" i="24"/>
  <c r="J84" i="24"/>
  <c r="G85" i="24"/>
  <c r="H85" i="24"/>
  <c r="I85" i="24"/>
  <c r="J85" i="24"/>
  <c r="G94" i="24"/>
  <c r="H94" i="24"/>
  <c r="I94" i="24"/>
  <c r="J94" i="24"/>
  <c r="G95" i="24"/>
  <c r="H95" i="24"/>
  <c r="I95" i="24"/>
  <c r="J95" i="24"/>
  <c r="G98" i="24"/>
  <c r="H98" i="24"/>
  <c r="I98" i="24"/>
  <c r="J98" i="24"/>
  <c r="G105" i="24"/>
  <c r="H105" i="24"/>
  <c r="I105" i="24"/>
  <c r="J105" i="24"/>
  <c r="G106" i="24"/>
  <c r="H106" i="24"/>
  <c r="I106" i="24"/>
  <c r="J106" i="24"/>
  <c r="G107" i="24"/>
  <c r="H107" i="24"/>
  <c r="I107" i="24"/>
  <c r="J107" i="24"/>
  <c r="G116" i="24"/>
  <c r="H116" i="24"/>
  <c r="I116" i="24"/>
  <c r="J116" i="24"/>
  <c r="G117" i="24"/>
  <c r="H117" i="24"/>
  <c r="I117" i="24"/>
  <c r="J117" i="24"/>
  <c r="G118" i="24"/>
  <c r="H118" i="24"/>
  <c r="I118" i="24"/>
  <c r="J118" i="24"/>
  <c r="J74" i="24"/>
  <c r="J73" i="24"/>
  <c r="J72" i="24"/>
  <c r="I74" i="24"/>
  <c r="I73" i="24"/>
  <c r="I72" i="24"/>
  <c r="H74" i="24"/>
  <c r="H73" i="24"/>
  <c r="H72" i="24"/>
  <c r="G74" i="24"/>
  <c r="G73" i="24"/>
  <c r="G72" i="24"/>
  <c r="H305" i="20"/>
  <c r="H304" i="20"/>
  <c r="H296" i="20"/>
  <c r="H295" i="20"/>
  <c r="H294" i="20"/>
  <c r="H286" i="20"/>
  <c r="H285" i="20"/>
  <c r="H284" i="20"/>
  <c r="H276" i="20"/>
  <c r="H275" i="20"/>
  <c r="H274" i="20"/>
  <c r="H265" i="20"/>
  <c r="H264" i="20"/>
  <c r="H256" i="20"/>
  <c r="H255" i="20"/>
  <c r="H254" i="20"/>
  <c r="H246" i="20"/>
  <c r="H245" i="20"/>
  <c r="H244" i="20"/>
  <c r="H236" i="20"/>
  <c r="H235" i="20"/>
  <c r="H234" i="20"/>
  <c r="H216" i="20"/>
  <c r="H215" i="20"/>
  <c r="H214" i="20"/>
  <c r="H206" i="20"/>
  <c r="H205" i="20"/>
  <c r="H204" i="20"/>
  <c r="H196" i="20"/>
  <c r="H195" i="20"/>
  <c r="H194" i="20"/>
  <c r="H186" i="20"/>
  <c r="H185" i="20"/>
  <c r="H184" i="20"/>
  <c r="H175" i="20"/>
  <c r="H174" i="20"/>
  <c r="H166" i="20"/>
  <c r="H165" i="20"/>
  <c r="H164" i="20"/>
  <c r="H155" i="20"/>
  <c r="H156" i="20"/>
  <c r="H154" i="20"/>
  <c r="H145" i="20"/>
  <c r="H144" i="20"/>
  <c r="H136" i="20"/>
  <c r="H135" i="20"/>
  <c r="H134" i="20"/>
  <c r="H126" i="20"/>
  <c r="H125" i="20"/>
  <c r="H124" i="20"/>
  <c r="H116" i="20"/>
  <c r="H115" i="20"/>
  <c r="H114" i="20"/>
  <c r="H106" i="20"/>
  <c r="H105" i="20"/>
  <c r="H104" i="20"/>
  <c r="H95" i="20"/>
  <c r="H94" i="20"/>
  <c r="H86" i="20"/>
  <c r="H85" i="20"/>
  <c r="H84" i="20"/>
  <c r="H75" i="20"/>
  <c r="H74" i="20"/>
  <c r="H66" i="20"/>
  <c r="H65" i="20"/>
  <c r="H64" i="20"/>
  <c r="H55" i="20"/>
  <c r="H56" i="20"/>
  <c r="H54" i="20"/>
  <c r="C352" i="24"/>
  <c r="C351" i="24"/>
  <c r="C350" i="24"/>
  <c r="C341" i="24"/>
  <c r="C340" i="24"/>
  <c r="C339" i="24"/>
  <c r="C330" i="24"/>
  <c r="C329" i="24"/>
  <c r="C328" i="24"/>
  <c r="C319" i="24"/>
  <c r="C318" i="24"/>
  <c r="C317" i="24"/>
  <c r="C307" i="24"/>
  <c r="C306" i="24"/>
  <c r="C305" i="24"/>
  <c r="C296" i="24"/>
  <c r="C295" i="24"/>
  <c r="C294" i="24"/>
  <c r="C285" i="24"/>
  <c r="C284" i="24"/>
  <c r="C283" i="24"/>
  <c r="C274" i="24"/>
  <c r="C273" i="24"/>
  <c r="C272" i="24"/>
  <c r="C251" i="24"/>
  <c r="C250" i="24"/>
  <c r="C249" i="24"/>
  <c r="C240" i="24"/>
  <c r="C239" i="24"/>
  <c r="C238" i="24"/>
  <c r="C229" i="24"/>
  <c r="C228" i="24"/>
  <c r="C227" i="24"/>
  <c r="C218" i="24"/>
  <c r="C217" i="24"/>
  <c r="C216" i="24"/>
  <c r="C206" i="24"/>
  <c r="C205" i="24"/>
  <c r="C204" i="24"/>
  <c r="C195" i="24"/>
  <c r="C194" i="24"/>
  <c r="C193" i="24"/>
  <c r="C184" i="24"/>
  <c r="C183" i="24"/>
  <c r="C182" i="24"/>
  <c r="C174" i="24"/>
  <c r="C173" i="24"/>
  <c r="C172" i="24"/>
  <c r="C141" i="24"/>
  <c r="C140" i="24"/>
  <c r="C139" i="24"/>
  <c r="C163" i="24"/>
  <c r="C162" i="24"/>
  <c r="C161" i="24"/>
  <c r="C152" i="24"/>
  <c r="C151" i="24"/>
  <c r="C150" i="24"/>
  <c r="C130" i="24"/>
  <c r="C129" i="24"/>
  <c r="C128" i="24"/>
  <c r="C85" i="24"/>
  <c r="C84" i="24"/>
  <c r="C83" i="24"/>
  <c r="H47" i="20"/>
  <c r="H48" i="20"/>
  <c r="H49" i="20"/>
  <c r="H50" i="20"/>
  <c r="H51" i="20"/>
  <c r="H52" i="20"/>
  <c r="H46" i="20"/>
  <c r="H316" i="20"/>
  <c r="H317" i="20"/>
  <c r="H318" i="20"/>
  <c r="H319" i="20"/>
  <c r="H315" i="20"/>
  <c r="H12" i="20"/>
  <c r="H13" i="20"/>
  <c r="H15" i="20"/>
  <c r="H16" i="20"/>
  <c r="H17" i="20"/>
  <c r="H18" i="20"/>
  <c r="H14" i="20"/>
  <c r="J11" i="49"/>
  <c r="J12" i="49"/>
  <c r="J13" i="49"/>
  <c r="J14" i="49"/>
  <c r="J15" i="49"/>
  <c r="J16" i="49"/>
  <c r="J17" i="49"/>
  <c r="J18" i="49"/>
  <c r="J19" i="49"/>
  <c r="J20" i="49"/>
  <c r="J21" i="49"/>
  <c r="J22" i="49"/>
  <c r="J23" i="49"/>
  <c r="J24" i="49"/>
  <c r="J25" i="49"/>
  <c r="J26" i="49"/>
  <c r="J27" i="49"/>
  <c r="L27" i="18"/>
  <c r="J27" i="18"/>
  <c r="L25" i="18"/>
  <c r="J26" i="18"/>
  <c r="J25" i="18"/>
  <c r="L24" i="18"/>
  <c r="J24" i="18"/>
  <c r="U6" i="18"/>
  <c r="L26" i="18"/>
  <c r="B62" i="8"/>
  <c r="B61" i="8"/>
  <c r="B60" i="8"/>
  <c r="B59" i="8"/>
  <c r="B58" i="8"/>
  <c r="B57" i="8"/>
  <c r="B56" i="8"/>
  <c r="B55" i="8"/>
  <c r="B54" i="8"/>
  <c r="C8" i="18"/>
  <c r="C9" i="18"/>
  <c r="C24" i="18"/>
  <c r="H24" i="18"/>
  <c r="H25" i="18"/>
  <c r="H26" i="18"/>
  <c r="H27" i="18"/>
  <c r="B53" i="8"/>
  <c r="D96" i="20" l="1"/>
  <c r="D106" i="20" s="1"/>
  <c r="D116" i="20" s="1"/>
  <c r="D126" i="20" s="1"/>
  <c r="D136" i="20" s="1"/>
  <c r="C40" i="67"/>
  <c r="C40" i="64"/>
  <c r="C40" i="68"/>
  <c r="C40" i="66"/>
  <c r="C38" i="67"/>
  <c r="C38" i="64"/>
  <c r="C38" i="68"/>
  <c r="C38" i="66"/>
  <c r="K123" i="67"/>
  <c r="L116" i="68"/>
  <c r="C36" i="66"/>
  <c r="K116" i="67"/>
  <c r="L137" i="68"/>
  <c r="K119" i="67"/>
  <c r="C36" i="64"/>
  <c r="L125" i="68"/>
  <c r="L119" i="68"/>
  <c r="K116" i="64"/>
  <c r="L111" i="68"/>
  <c r="C36" i="68"/>
  <c r="L125" i="64"/>
  <c r="L137" i="64"/>
  <c r="K123" i="64"/>
  <c r="J123" i="68"/>
  <c r="J115" i="68"/>
  <c r="K119" i="64"/>
  <c r="K115" i="64"/>
  <c r="J125" i="68"/>
  <c r="L123" i="68"/>
  <c r="J116" i="68"/>
  <c r="J111" i="68"/>
  <c r="L137" i="67"/>
  <c r="K119" i="66"/>
  <c r="J137" i="68"/>
  <c r="J115" i="64"/>
  <c r="K125" i="68"/>
  <c r="K116" i="68"/>
  <c r="L137" i="66"/>
  <c r="K137" i="68"/>
  <c r="K119" i="68"/>
  <c r="K137" i="66"/>
  <c r="K125" i="66"/>
  <c r="K115" i="66"/>
  <c r="K123" i="68"/>
  <c r="K115" i="68"/>
  <c r="K123" i="66"/>
  <c r="K116" i="66"/>
  <c r="H314" i="20"/>
  <c r="H53" i="20"/>
  <c r="H45" i="20"/>
  <c r="H19" i="20"/>
  <c r="H11" i="20"/>
  <c r="H30" i="20"/>
  <c r="E111" i="64"/>
  <c r="J111" i="67"/>
  <c r="J125" i="67"/>
  <c r="J137" i="67"/>
  <c r="J116" i="67"/>
  <c r="J119" i="67"/>
  <c r="J123" i="67"/>
  <c r="K137" i="64"/>
  <c r="K125" i="64"/>
  <c r="J123" i="64"/>
  <c r="J119" i="64"/>
  <c r="J116" i="64"/>
  <c r="J115" i="67"/>
  <c r="J137" i="64"/>
  <c r="J125" i="64"/>
  <c r="L115" i="64"/>
  <c r="L123" i="64"/>
  <c r="L119" i="64"/>
  <c r="L116" i="64"/>
  <c r="J111" i="66"/>
  <c r="J125" i="66"/>
  <c r="J137" i="66"/>
  <c r="J116" i="66"/>
  <c r="J119" i="66"/>
  <c r="J123" i="66"/>
  <c r="L111" i="66"/>
  <c r="L116" i="66"/>
  <c r="L119" i="66"/>
  <c r="L123" i="66"/>
  <c r="L115" i="66"/>
  <c r="L111" i="67"/>
  <c r="L116" i="67"/>
  <c r="L119" i="67"/>
  <c r="L123" i="67"/>
  <c r="L115" i="67"/>
  <c r="K137" i="67"/>
  <c r="K125" i="67"/>
  <c r="K111" i="67"/>
  <c r="B1022" i="69"/>
  <c r="B974" i="69"/>
  <c r="B527" i="69"/>
  <c r="B956" i="69"/>
  <c r="B693" i="69"/>
  <c r="B978" i="69"/>
  <c r="B691" i="69"/>
  <c r="B669" i="69"/>
  <c r="B505" i="69"/>
  <c r="B930" i="69"/>
  <c r="B946" i="69"/>
  <c r="B792" i="69"/>
  <c r="B966" i="69"/>
  <c r="B716" i="69"/>
  <c r="B621" i="69"/>
  <c r="B526" i="69"/>
  <c r="B994" i="69"/>
  <c r="B749" i="69"/>
  <c r="B700" i="69"/>
  <c r="B576" i="69"/>
  <c r="B639" i="69"/>
  <c r="B1082" i="69"/>
  <c r="B905" i="69"/>
  <c r="B820" i="69"/>
  <c r="B536" i="69"/>
  <c r="B764" i="69"/>
  <c r="B612" i="69"/>
  <c r="B960" i="69"/>
  <c r="B1064" i="69"/>
  <c r="B710" i="69"/>
  <c r="B597" i="69"/>
  <c r="B682" i="69"/>
  <c r="B694" i="69"/>
  <c r="B1023" i="69"/>
  <c r="B649" i="69"/>
  <c r="B728" i="69"/>
  <c r="B948" i="69"/>
  <c r="B594" i="69"/>
  <c r="B1105" i="69"/>
  <c r="B770" i="69"/>
  <c r="B923" i="69"/>
  <c r="B1107" i="69"/>
  <c r="B679" i="69"/>
  <c r="B788" i="69"/>
  <c r="B530" i="69"/>
  <c r="B1079" i="69"/>
  <c r="B629" i="69"/>
  <c r="B830" i="69"/>
  <c r="B1089" i="69"/>
  <c r="B542" i="69"/>
  <c r="B917" i="69"/>
  <c r="B751" i="69"/>
  <c r="B842" i="69"/>
  <c r="B721" i="69"/>
  <c r="B1039" i="69"/>
  <c r="B1072" i="69"/>
  <c r="B771" i="69"/>
  <c r="B484" i="69"/>
  <c r="B533" i="69"/>
  <c r="B840" i="69"/>
  <c r="B852" i="69"/>
  <c r="B1110" i="69"/>
  <c r="B883" i="69"/>
  <c r="B891" i="69"/>
  <c r="B989" i="69"/>
  <c r="B638" i="69"/>
  <c r="B610" i="69"/>
  <c r="B570" i="69"/>
  <c r="B1020" i="69"/>
  <c r="B885" i="69"/>
  <c r="B1077" i="69"/>
  <c r="B697" i="69"/>
  <c r="B1104" i="69"/>
  <c r="B951" i="69"/>
  <c r="B744" i="69"/>
  <c r="B837" i="69"/>
  <c r="B1095" i="69"/>
  <c r="B1013" i="69"/>
  <c r="B501" i="69"/>
  <c r="B947" i="69"/>
  <c r="B1108" i="69"/>
  <c r="B509" i="69"/>
  <c r="B869" i="69"/>
  <c r="B965" i="69"/>
  <c r="B1006" i="69"/>
  <c r="B571" i="69"/>
  <c r="B834" i="69"/>
  <c r="B739" i="69"/>
  <c r="B677" i="69"/>
  <c r="B836" i="69"/>
  <c r="B1056" i="69"/>
  <c r="B695" i="69"/>
  <c r="B740" i="69"/>
  <c r="B617" i="69"/>
  <c r="B717" i="69"/>
  <c r="B848" i="69"/>
  <c r="B503" i="69"/>
  <c r="B557" i="69"/>
  <c r="B921" i="69"/>
  <c r="B543" i="69"/>
  <c r="B1071" i="69"/>
  <c r="B955" i="69"/>
  <c r="B825" i="69"/>
  <c r="B1034" i="69"/>
  <c r="B824" i="69"/>
  <c r="B1096" i="69"/>
  <c r="B933" i="69"/>
  <c r="B1097" i="69"/>
  <c r="B1074" i="69"/>
  <c r="B998" i="69"/>
  <c r="B745" i="69"/>
  <c r="B719" i="69"/>
  <c r="B782" i="69"/>
  <c r="B645" i="69"/>
  <c r="B633" i="69"/>
  <c r="B747" i="69"/>
  <c r="B804" i="69"/>
  <c r="B1042" i="69"/>
  <c r="B656" i="69"/>
  <c r="B1033" i="69"/>
  <c r="B822" i="69"/>
  <c r="B797" i="69"/>
  <c r="B1109" i="69"/>
  <c r="B562" i="69"/>
  <c r="B1041" i="69"/>
  <c r="B736" i="69"/>
  <c r="B523" i="69"/>
  <c r="B1009" i="69"/>
  <c r="B602" i="69"/>
  <c r="B1081" i="69"/>
  <c r="B554" i="69"/>
  <c r="B515" i="69"/>
  <c r="B809" i="69"/>
  <c r="B619" i="69"/>
  <c r="B1078" i="69"/>
  <c r="B590" i="69"/>
  <c r="B768" i="69"/>
  <c r="B574" i="69"/>
  <c r="B876" i="69"/>
  <c r="B795" i="69"/>
  <c r="B944" i="69"/>
  <c r="B914" i="69"/>
  <c r="B701" i="69"/>
  <c r="B620" i="69"/>
  <c r="B510" i="69"/>
  <c r="B581" i="69"/>
  <c r="B971" i="69"/>
  <c r="A86" i="55"/>
  <c r="B498" i="69"/>
  <c r="B985" i="69"/>
  <c r="B746" i="69"/>
  <c r="B683" i="69"/>
  <c r="B492" i="69"/>
  <c r="B1063" i="69"/>
  <c r="B507" i="69"/>
  <c r="B785" i="69"/>
  <c r="B561" i="69"/>
  <c r="B1005" i="69"/>
  <c r="B849" i="69"/>
  <c r="B720" i="69"/>
  <c r="B816" i="69"/>
  <c r="B547" i="69"/>
  <c r="B735" i="69"/>
  <c r="B952" i="69"/>
  <c r="B915" i="69"/>
  <c r="B935" i="69"/>
  <c r="B805" i="69"/>
  <c r="B525" i="69"/>
  <c r="B1000" i="69"/>
  <c r="B800" i="69"/>
  <c r="B823" i="69"/>
  <c r="B546" i="69"/>
  <c r="B968" i="69"/>
  <c r="B752" i="69"/>
  <c r="B986" i="69"/>
  <c r="B925" i="69"/>
  <c r="B636" i="69"/>
  <c r="B1053" i="69"/>
  <c r="B705" i="69"/>
  <c r="B524" i="69"/>
  <c r="B522" i="69"/>
  <c r="B953" i="69"/>
  <c r="B814" i="69"/>
  <c r="B929" i="69"/>
  <c r="B1052" i="69"/>
  <c r="B608" i="69"/>
  <c r="B1060" i="69"/>
  <c r="B984" i="69"/>
  <c r="B888" i="69"/>
  <c r="B1035" i="69"/>
  <c r="B659" i="69"/>
  <c r="B1047" i="69"/>
  <c r="B878" i="69"/>
  <c r="B927" i="69"/>
  <c r="B1062" i="69"/>
  <c r="B742" i="69"/>
  <c r="B961" i="69"/>
  <c r="B881" i="69"/>
  <c r="B949" i="69"/>
  <c r="B847" i="69"/>
  <c r="B607" i="69"/>
  <c r="B790" i="69"/>
  <c r="B894" i="69"/>
  <c r="B707" i="69"/>
  <c r="B666" i="69"/>
  <c r="B668" i="69"/>
  <c r="B987" i="69"/>
  <c r="B733" i="69"/>
  <c r="A239" i="55"/>
  <c r="B936" i="69"/>
  <c r="B892" i="69"/>
  <c r="B1101" i="69"/>
  <c r="B950" i="69"/>
  <c r="B1115" i="69"/>
  <c r="B884" i="69"/>
  <c r="B614" i="69"/>
  <c r="B982" i="69"/>
  <c r="B919" i="69"/>
  <c r="B623" i="69"/>
  <c r="B671" i="69"/>
  <c r="B875" i="69"/>
  <c r="B810" i="69"/>
  <c r="B803" i="69"/>
  <c r="B920" i="69"/>
  <c r="B969" i="69"/>
  <c r="B678" i="69"/>
  <c r="B975" i="69"/>
  <c r="B812" i="69"/>
  <c r="B934" i="69"/>
  <c r="B757" i="69"/>
  <c r="B648" i="69"/>
  <c r="B772" i="69"/>
  <c r="B806" i="69"/>
  <c r="B538" i="69"/>
  <c r="B1029" i="69"/>
  <c r="B1036" i="69"/>
  <c r="B1048" i="69"/>
  <c r="B1111" i="69"/>
  <c r="B616" i="69"/>
  <c r="B698" i="69"/>
  <c r="B1087" i="69"/>
  <c r="B897" i="69"/>
  <c r="B1084" i="69"/>
  <c r="B1043" i="69"/>
  <c r="B938" i="69"/>
  <c r="B568" i="69"/>
  <c r="B882" i="69"/>
  <c r="B647" i="69"/>
  <c r="B549" i="69"/>
  <c r="B665" i="69"/>
  <c r="B544" i="69"/>
  <c r="B1073" i="69"/>
  <c r="B902" i="69"/>
  <c r="B775" i="69"/>
  <c r="B585" i="69"/>
  <c r="B924" i="69"/>
  <c r="B676" i="69"/>
  <c r="B631" i="69"/>
  <c r="B642" i="69"/>
  <c r="B737" i="69"/>
  <c r="B766" i="69"/>
  <c r="A83" i="55"/>
  <c r="B714" i="69"/>
  <c r="B910" i="69"/>
  <c r="B762" i="69"/>
  <c r="B604" i="69"/>
  <c r="B893" i="69"/>
  <c r="B662" i="69"/>
  <c r="B851" i="69"/>
  <c r="B887" i="69"/>
  <c r="B1038" i="69"/>
  <c r="B555" i="69"/>
  <c r="B738" i="69"/>
  <c r="B595" i="69"/>
  <c r="B976" i="69"/>
  <c r="B506" i="69"/>
  <c r="B531" i="69"/>
  <c r="B815" i="69"/>
  <c r="B753" i="69"/>
  <c r="B508" i="69"/>
  <c r="B727" i="69"/>
  <c r="B556" i="69"/>
  <c r="B528" i="69"/>
  <c r="B880" i="69"/>
  <c r="B1025" i="69"/>
  <c r="B898" i="69"/>
  <c r="B983" i="69"/>
  <c r="B606" i="69"/>
  <c r="B940" i="69"/>
  <c r="B1055" i="69"/>
  <c r="B558" i="69"/>
  <c r="B663" i="69"/>
  <c r="B1014" i="69"/>
  <c r="B573" i="69"/>
  <c r="B939" i="69"/>
  <c r="B681" i="69"/>
  <c r="B1098" i="69"/>
  <c r="B1088" i="69"/>
  <c r="B743" i="69"/>
  <c r="B494" i="69"/>
  <c r="B485" i="69"/>
  <c r="B829" i="69"/>
  <c r="B854" i="69"/>
  <c r="B759" i="69"/>
  <c r="B918" i="69"/>
  <c r="B856" i="69"/>
  <c r="B943" i="69"/>
  <c r="B981" i="69"/>
  <c r="B813" i="69"/>
  <c r="B900" i="69"/>
  <c r="B1027" i="69"/>
  <c r="B973" i="69"/>
  <c r="B844" i="69"/>
  <c r="B865" i="69"/>
  <c r="B664" i="69"/>
  <c r="B514" i="69"/>
  <c r="B871" i="69"/>
  <c r="B1100" i="69"/>
  <c r="B686" i="69"/>
  <c r="B912" i="69"/>
  <c r="B1116" i="69"/>
  <c r="B908" i="69"/>
  <c r="B996" i="69"/>
  <c r="B551" i="69"/>
  <c r="B654" i="69"/>
  <c r="B657" i="69"/>
  <c r="B906" i="69"/>
  <c r="B1086" i="69"/>
  <c r="B1018" i="69"/>
  <c r="B552" i="69"/>
  <c r="B833" i="69"/>
  <c r="B734" i="69"/>
  <c r="B673" i="69"/>
  <c r="B646" i="69"/>
  <c r="B1076" i="69"/>
  <c r="B890" i="69"/>
  <c r="B722" i="69"/>
  <c r="B990" i="69"/>
  <c r="B605" i="69"/>
  <c r="B977" i="69"/>
  <c r="B922" i="69"/>
  <c r="B529" i="69"/>
  <c r="B868" i="69"/>
  <c r="B1059" i="69"/>
  <c r="B799" i="69"/>
  <c r="B625" i="69"/>
  <c r="B732" i="69"/>
  <c r="B572" i="69"/>
  <c r="B630" i="69"/>
  <c r="B653" i="69"/>
  <c r="B540" i="69"/>
  <c r="B928" i="69"/>
  <c r="B761" i="69"/>
  <c r="B1058" i="69"/>
  <c r="B652" i="69"/>
  <c r="B1066" i="69"/>
  <c r="B857" i="69"/>
  <c r="B603" i="69"/>
  <c r="B600" i="69"/>
  <c r="B490" i="69"/>
  <c r="B861" i="69"/>
  <c r="B566" i="69"/>
  <c r="B699" i="69"/>
  <c r="B886" i="69"/>
  <c r="B729" i="69"/>
  <c r="B627" i="69"/>
  <c r="B1051" i="69"/>
  <c r="B588" i="69"/>
  <c r="B520" i="69"/>
  <c r="B873" i="69"/>
  <c r="B1068" i="69"/>
  <c r="B958" i="69"/>
  <c r="B995" i="69"/>
  <c r="B992" i="69"/>
  <c r="B1010" i="69"/>
  <c r="B644" i="69"/>
  <c r="B791" i="69"/>
  <c r="B1091" i="69"/>
  <c r="B582" i="69"/>
  <c r="B592" i="69"/>
  <c r="B916" i="69"/>
  <c r="B637" i="69"/>
  <c r="B723" i="69"/>
  <c r="B615" i="69"/>
  <c r="B628" i="69"/>
  <c r="B872" i="69"/>
  <c r="B711" i="69"/>
  <c r="B502" i="69"/>
  <c r="B863" i="69"/>
  <c r="B1002" i="69"/>
  <c r="B780" i="69"/>
  <c r="B907" i="69"/>
  <c r="B586" i="69"/>
  <c r="B661" i="69"/>
  <c r="B1049" i="69"/>
  <c r="B559" i="69"/>
  <c r="B972" i="69"/>
  <c r="B784" i="69"/>
  <c r="B708" i="69"/>
  <c r="B692" i="69"/>
  <c r="B874" i="69"/>
  <c r="B789" i="69"/>
  <c r="B1001" i="69"/>
  <c r="B1099" i="69"/>
  <c r="B1031" i="69"/>
  <c r="B1008" i="69"/>
  <c r="B896" i="69"/>
  <c r="B1070" i="69"/>
  <c r="B493" i="69"/>
  <c r="A85" i="55"/>
  <c r="B545" i="69"/>
  <c r="B575" i="69"/>
  <c r="B1007" i="69"/>
  <c r="B564" i="69"/>
  <c r="B482" i="69"/>
  <c r="B1030" i="69"/>
  <c r="B667" i="69"/>
  <c r="B756" i="69"/>
  <c r="B941" i="69"/>
  <c r="B512" i="69"/>
  <c r="B853" i="69"/>
  <c r="B565" i="69"/>
  <c r="B611" i="69"/>
  <c r="B1065" i="69"/>
  <c r="B859" i="69"/>
  <c r="B567" i="69"/>
  <c r="B826" i="69"/>
  <c r="B778" i="69"/>
  <c r="B774" i="69"/>
  <c r="B715" i="69"/>
  <c r="B634" i="69"/>
  <c r="B500" i="69"/>
  <c r="B997" i="69"/>
  <c r="B563" i="69"/>
  <c r="B624" i="69"/>
  <c r="B632" i="69"/>
  <c r="B718" i="69"/>
  <c r="B712" i="69"/>
  <c r="B793" i="69"/>
  <c r="B658" i="69"/>
  <c r="B1092" i="69"/>
  <c r="B926" i="69"/>
  <c r="B1090" i="69"/>
  <c r="B516" i="69"/>
  <c r="B674" i="69"/>
  <c r="B818" i="69"/>
  <c r="B755" i="69"/>
  <c r="B1061" i="69"/>
  <c r="B643" i="69"/>
  <c r="B1017" i="69"/>
  <c r="B1050" i="69"/>
  <c r="B889" i="69"/>
  <c r="B537" i="69"/>
  <c r="B622" i="69"/>
  <c r="A76" i="55"/>
  <c r="B763" i="69"/>
  <c r="B807" i="69"/>
  <c r="B970" i="69"/>
  <c r="B609" i="69"/>
  <c r="B821" i="69"/>
  <c r="B954" i="69"/>
  <c r="B486" i="69"/>
  <c r="B808" i="69"/>
  <c r="B765" i="69"/>
  <c r="B706" i="69"/>
  <c r="B993" i="69"/>
  <c r="B999" i="69"/>
  <c r="B1028" i="69"/>
  <c r="B783" i="69"/>
  <c r="B702" i="69"/>
  <c r="B724" i="69"/>
  <c r="B801" i="69"/>
  <c r="B596" i="69"/>
  <c r="B904" i="69"/>
  <c r="B1046" i="69"/>
  <c r="B942" i="69"/>
  <c r="B957" i="69"/>
  <c r="B539" i="69"/>
  <c r="B798" i="69"/>
  <c r="B903" i="69"/>
  <c r="B850" i="69"/>
  <c r="B532" i="69"/>
  <c r="B862" i="69"/>
  <c r="B1026" i="69"/>
  <c r="B1045" i="69"/>
  <c r="B655" i="69"/>
  <c r="B1114" i="69"/>
  <c r="B988" i="69"/>
  <c r="B1012" i="69"/>
  <c r="B841" i="69"/>
  <c r="B781" i="69"/>
  <c r="B1094" i="69"/>
  <c r="B843" i="69"/>
  <c r="B589" i="69"/>
  <c r="B675" i="69"/>
  <c r="B513" i="69"/>
  <c r="A87" i="55"/>
  <c r="B1015" i="69"/>
  <c r="B1113" i="69"/>
  <c r="B541" i="69"/>
  <c r="B650" i="69"/>
  <c r="B964" i="69"/>
  <c r="B521" i="69"/>
  <c r="B491" i="69"/>
  <c r="B731" i="69"/>
  <c r="B660" i="69"/>
  <c r="B670" i="69"/>
  <c r="B1024" i="69"/>
  <c r="B601" i="69"/>
  <c r="B866" i="69"/>
  <c r="B704" i="69"/>
  <c r="B899" i="69"/>
  <c r="B518" i="69"/>
  <c r="B626" i="69"/>
  <c r="B584" i="69"/>
  <c r="B519" i="69"/>
  <c r="B1040" i="69"/>
  <c r="B496" i="69"/>
  <c r="B1102" i="69"/>
  <c r="B1080" i="69"/>
  <c r="B794" i="69"/>
  <c r="B769" i="69"/>
  <c r="B877" i="69"/>
  <c r="B773" i="69"/>
  <c r="B1112" i="69"/>
  <c r="B599" i="69"/>
  <c r="B845" i="69"/>
  <c r="B613" i="69"/>
  <c r="B580" i="69"/>
  <c r="B517" i="69"/>
  <c r="B796" i="69"/>
  <c r="B618" i="69"/>
  <c r="B489" i="69"/>
  <c r="B846" i="69"/>
  <c r="B598" i="69"/>
  <c r="B504" i="69"/>
  <c r="B1085" i="69"/>
  <c r="B767" i="69"/>
  <c r="B687" i="69"/>
  <c r="B870" i="69"/>
  <c r="B980" i="69"/>
  <c r="B895" i="69"/>
  <c r="B689" i="69"/>
  <c r="B550" i="69"/>
  <c r="B758" i="69"/>
  <c r="B1037" i="69"/>
  <c r="B911" i="69"/>
  <c r="B959" i="69"/>
  <c r="B754" i="69"/>
  <c r="B779" i="69"/>
  <c r="B1016" i="69"/>
  <c r="B534" i="69"/>
  <c r="B817" i="69"/>
  <c r="B591" i="69"/>
  <c r="B867" i="69"/>
  <c r="B725" i="69"/>
  <c r="B963" i="69"/>
  <c r="B548" i="69"/>
  <c r="B696" i="69"/>
  <c r="B839" i="69"/>
  <c r="B680" i="69"/>
  <c r="B483" i="69"/>
  <c r="B635" i="69"/>
  <c r="B1106" i="69"/>
  <c r="B931" i="69"/>
  <c r="B827" i="69"/>
  <c r="B832" i="69"/>
  <c r="B991" i="69"/>
  <c r="B1083" i="69"/>
  <c r="B860" i="69"/>
  <c r="B838" i="69"/>
  <c r="B703" i="69"/>
  <c r="B583" i="69"/>
  <c r="B578" i="69"/>
  <c r="B1011" i="69"/>
  <c r="B760" i="69"/>
  <c r="B579" i="69"/>
  <c r="B937" i="69"/>
  <c r="B672" i="69"/>
  <c r="B1032" i="69"/>
  <c r="B688" i="69"/>
  <c r="B685" i="69"/>
  <c r="B802" i="69"/>
  <c r="A84" i="55"/>
  <c r="B811" i="69"/>
  <c r="B709" i="69"/>
  <c r="B819" i="69"/>
  <c r="B1044" i="69"/>
  <c r="B858" i="69"/>
  <c r="B511" i="69"/>
  <c r="B577" i="69"/>
  <c r="B499" i="69"/>
  <c r="B750" i="69"/>
  <c r="B1004" i="69"/>
  <c r="B487" i="69"/>
  <c r="B713" i="69"/>
  <c r="B901" i="69"/>
  <c r="B1093" i="69"/>
  <c r="B909" i="69"/>
  <c r="B690" i="69"/>
  <c r="B726" i="69"/>
  <c r="B593" i="69"/>
  <c r="B684" i="69"/>
  <c r="B1057" i="69"/>
  <c r="B1054" i="69"/>
  <c r="B641" i="69"/>
  <c r="B1067" i="69"/>
  <c r="B787" i="69"/>
  <c r="B835" i="69"/>
  <c r="B945" i="69"/>
  <c r="B776" i="69"/>
  <c r="B932" i="69"/>
  <c r="B569" i="69"/>
  <c r="B831" i="69"/>
  <c r="B730" i="69"/>
  <c r="B967" i="69"/>
  <c r="B1003" i="69"/>
  <c r="B535" i="69"/>
  <c r="B497" i="69"/>
  <c r="B979" i="69"/>
  <c r="B864" i="69"/>
  <c r="B855" i="69"/>
  <c r="B777" i="69"/>
  <c r="B879" i="69"/>
  <c r="B488" i="69"/>
  <c r="B828" i="69"/>
  <c r="B962" i="69"/>
  <c r="B1019" i="69"/>
  <c r="B587" i="69"/>
  <c r="B741" i="69"/>
  <c r="B913" i="69"/>
  <c r="B1021" i="69"/>
  <c r="B1075" i="69"/>
  <c r="B640" i="69"/>
  <c r="B1103" i="69"/>
  <c r="B748" i="69"/>
  <c r="B786" i="69"/>
  <c r="B495" i="69"/>
  <c r="B553" i="69"/>
  <c r="B1069" i="69"/>
  <c r="B651" i="69"/>
  <c r="B560" i="69"/>
  <c r="C478" i="69"/>
  <c r="C481" i="69"/>
  <c r="C479" i="69"/>
  <c r="C480" i="69"/>
  <c r="D146" i="20" l="1"/>
  <c r="D156" i="20" s="1"/>
  <c r="D166" i="20" s="1"/>
  <c r="AZ47" i="64"/>
  <c r="AZ47" i="68"/>
  <c r="AZ47" i="67"/>
  <c r="AZ47" i="66"/>
  <c r="K138" i="66"/>
  <c r="T174" i="66" s="1"/>
  <c r="K138" i="64"/>
  <c r="T174" i="64" s="1"/>
  <c r="L138" i="68"/>
  <c r="U174" i="68" s="1"/>
  <c r="K138" i="68"/>
  <c r="T174" i="68" s="1"/>
  <c r="L138" i="67"/>
  <c r="U174" i="67" s="1"/>
  <c r="J138" i="68"/>
  <c r="S174" i="68" s="1"/>
  <c r="V47" i="64"/>
  <c r="F47" i="64"/>
  <c r="AA47" i="64"/>
  <c r="L47" i="64"/>
  <c r="AF47" i="64"/>
  <c r="P47" i="64"/>
  <c r="E111" i="68"/>
  <c r="E116" i="68"/>
  <c r="V47" i="66"/>
  <c r="F47" i="66"/>
  <c r="E119" i="68"/>
  <c r="E115" i="68"/>
  <c r="E125" i="68"/>
  <c r="P47" i="68"/>
  <c r="E137" i="68"/>
  <c r="E123" i="68"/>
  <c r="AF47" i="68"/>
  <c r="V47" i="68"/>
  <c r="E115" i="66"/>
  <c r="V47" i="67"/>
  <c r="AF47" i="66"/>
  <c r="L47" i="68"/>
  <c r="AA47" i="68"/>
  <c r="AA47" i="66"/>
  <c r="L47" i="66"/>
  <c r="P47" i="67"/>
  <c r="AF47" i="67"/>
  <c r="AA47" i="67"/>
  <c r="F47" i="68"/>
  <c r="P47" i="66"/>
  <c r="F47" i="67"/>
  <c r="L47" i="67"/>
  <c r="E115" i="64"/>
  <c r="E137" i="64"/>
  <c r="E137" i="66"/>
  <c r="E123" i="66"/>
  <c r="E125" i="66"/>
  <c r="E125" i="64"/>
  <c r="K138" i="67"/>
  <c r="T174" i="67" s="1"/>
  <c r="L138" i="66"/>
  <c r="U174" i="66" s="1"/>
  <c r="E116" i="66"/>
  <c r="E111" i="66"/>
  <c r="J138" i="66"/>
  <c r="S174" i="66" s="1"/>
  <c r="J138" i="64"/>
  <c r="S174" i="64" s="1"/>
  <c r="E119" i="64"/>
  <c r="E123" i="67"/>
  <c r="E125" i="67"/>
  <c r="L138" i="64"/>
  <c r="U174" i="64" s="1"/>
  <c r="E116" i="64"/>
  <c r="E119" i="67"/>
  <c r="E116" i="67"/>
  <c r="E111" i="67"/>
  <c r="J138" i="67"/>
  <c r="S174" i="67" s="1"/>
  <c r="E119" i="66"/>
  <c r="E115" i="67"/>
  <c r="E123" i="64"/>
  <c r="E137" i="67"/>
  <c r="D176" i="20" l="1"/>
  <c r="D186" i="20" s="1"/>
  <c r="D196" i="20" s="1"/>
  <c r="D206" i="20" s="1"/>
  <c r="D216" i="20" s="1"/>
  <c r="BN45" i="66"/>
  <c r="BN45" i="64"/>
  <c r="BN45" i="68"/>
  <c r="BN45" i="67"/>
  <c r="H138" i="68"/>
  <c r="H138" i="64"/>
  <c r="H138" i="66"/>
  <c r="H138" i="67"/>
  <c r="D226" i="20" l="1"/>
  <c r="D236" i="20" s="1"/>
  <c r="D246" i="20" s="1"/>
  <c r="D256" i="20" s="1"/>
  <c r="E74" i="24" l="1"/>
  <c r="C23" i="70"/>
  <c r="E262" i="24"/>
  <c r="E218" i="24"/>
  <c r="E193" i="24"/>
  <c r="E352" i="24"/>
  <c r="E328" i="24"/>
  <c r="E363" i="24"/>
  <c r="E351" i="24"/>
  <c r="E339" i="24"/>
  <c r="E319" i="24"/>
  <c r="E294" i="24"/>
  <c r="E274" i="24"/>
  <c r="E249" i="24"/>
  <c r="E229" i="24"/>
  <c r="E217" i="24"/>
  <c r="E204" i="24"/>
  <c r="E184" i="24"/>
  <c r="E161" i="24"/>
  <c r="C129" i="70" s="1"/>
  <c r="E141" i="24"/>
  <c r="C111" i="70" s="1"/>
  <c r="C100" i="70"/>
  <c r="E116" i="24"/>
  <c r="E96" i="24"/>
  <c r="E84" i="24"/>
  <c r="C49" i="70"/>
  <c r="C45" i="70"/>
  <c r="C41" i="70"/>
  <c r="C37" i="70"/>
  <c r="C33" i="70"/>
  <c r="F32" i="20"/>
  <c r="C25" i="70"/>
  <c r="E330" i="24"/>
  <c r="E318" i="24"/>
  <c r="E285" i="24"/>
  <c r="E260" i="24"/>
  <c r="E240" i="24"/>
  <c r="E216" i="24"/>
  <c r="E195" i="24"/>
  <c r="C150" i="70"/>
  <c r="E172" i="24"/>
  <c r="C139" i="70" s="1"/>
  <c r="E152" i="24"/>
  <c r="C121" i="70" s="1"/>
  <c r="C110" i="70"/>
  <c r="E128" i="24"/>
  <c r="E107" i="24"/>
  <c r="C81" i="70" s="1"/>
  <c r="E95" i="24"/>
  <c r="F75" i="20" s="1"/>
  <c r="E83" i="24"/>
  <c r="E68" i="24"/>
  <c r="C36" i="70"/>
  <c r="C32" i="70"/>
  <c r="C28" i="70"/>
  <c r="E32" i="24"/>
  <c r="C24" i="70" s="1"/>
  <c r="C20" i="70"/>
  <c r="E341" i="24"/>
  <c r="E329" i="24"/>
  <c r="E317" i="24"/>
  <c r="E296" i="24"/>
  <c r="E284" i="24"/>
  <c r="E272" i="24"/>
  <c r="E206" i="24"/>
  <c r="E182" i="24"/>
  <c r="E163" i="24"/>
  <c r="C131" i="70" s="1"/>
  <c r="C120" i="70"/>
  <c r="E139" i="24"/>
  <c r="F114" i="20" s="1"/>
  <c r="E118" i="24"/>
  <c r="C80" i="70"/>
  <c r="E94" i="24"/>
  <c r="E67" i="24"/>
  <c r="E63" i="24"/>
  <c r="F47" i="20" s="1"/>
  <c r="C39" i="70"/>
  <c r="C35" i="70"/>
  <c r="C31" i="70"/>
  <c r="C27" i="70"/>
  <c r="C19" i="70"/>
  <c r="E283" i="24"/>
  <c r="E238" i="24"/>
  <c r="E362" i="24"/>
  <c r="E174" i="24"/>
  <c r="C141" i="70" s="1"/>
  <c r="E117" i="24"/>
  <c r="C46" i="70"/>
  <c r="C30" i="70"/>
  <c r="E85" i="24"/>
  <c r="C61" i="70" s="1"/>
  <c r="C22" i="70"/>
  <c r="E73" i="24"/>
  <c r="C50" i="70" s="1"/>
  <c r="E49" i="24"/>
  <c r="C34" i="70" s="1"/>
  <c r="C130" i="70"/>
  <c r="E105" i="24"/>
  <c r="C79" i="70" s="1"/>
  <c r="C26" i="70"/>
  <c r="E150" i="24"/>
  <c r="C119" i="70" s="1"/>
  <c r="F41" i="20"/>
  <c r="E130" i="24"/>
  <c r="C18" i="70"/>
  <c r="C12" i="70"/>
  <c r="C16" i="70"/>
  <c r="C13" i="70"/>
  <c r="C11" i="70"/>
  <c r="C15" i="70"/>
  <c r="C14" i="70"/>
  <c r="C17" i="70"/>
  <c r="E179" i="24"/>
  <c r="C146" i="70" s="1"/>
  <c r="E175" i="24"/>
  <c r="C142" i="70" s="1"/>
  <c r="E170" i="24"/>
  <c r="E166" i="24"/>
  <c r="C134" i="70" s="1"/>
  <c r="E157" i="24"/>
  <c r="C126" i="70" s="1"/>
  <c r="E153" i="24"/>
  <c r="E148" i="24"/>
  <c r="C118" i="70" s="1"/>
  <c r="E144" i="24"/>
  <c r="C114" i="70" s="1"/>
  <c r="E135" i="24"/>
  <c r="E131" i="24"/>
  <c r="C102" i="70" s="1"/>
  <c r="E125" i="24"/>
  <c r="C98" i="70" s="1"/>
  <c r="E121" i="24"/>
  <c r="C94" i="70" s="1"/>
  <c r="E112" i="24"/>
  <c r="C86" i="70" s="1"/>
  <c r="E108" i="24"/>
  <c r="C82" i="70" s="1"/>
  <c r="E103" i="24"/>
  <c r="C78" i="70" s="1"/>
  <c r="E99" i="24"/>
  <c r="E90" i="24"/>
  <c r="C66" i="70" s="1"/>
  <c r="E86" i="24"/>
  <c r="C62" i="70" s="1"/>
  <c r="E81" i="24"/>
  <c r="E77" i="24"/>
  <c r="C54" i="70" s="1"/>
  <c r="E176" i="24"/>
  <c r="E136" i="24"/>
  <c r="C107" i="70" s="1"/>
  <c r="E113" i="24"/>
  <c r="C87" i="70" s="1"/>
  <c r="E100" i="24"/>
  <c r="C75" i="70" s="1"/>
  <c r="E87" i="24"/>
  <c r="C63" i="70" s="1"/>
  <c r="E178" i="24"/>
  <c r="C145" i="70" s="1"/>
  <c r="E169" i="24"/>
  <c r="E165" i="24"/>
  <c r="E156" i="24"/>
  <c r="C125" i="70" s="1"/>
  <c r="E147" i="24"/>
  <c r="E143" i="24"/>
  <c r="C113" i="70" s="1"/>
  <c r="E134" i="24"/>
  <c r="E124" i="24"/>
  <c r="C97" i="70" s="1"/>
  <c r="E120" i="24"/>
  <c r="C93" i="70" s="1"/>
  <c r="E111" i="24"/>
  <c r="E102" i="24"/>
  <c r="C77" i="70" s="1"/>
  <c r="E98" i="24"/>
  <c r="E89" i="24"/>
  <c r="C65" i="70" s="1"/>
  <c r="E80" i="24"/>
  <c r="C57" i="70" s="1"/>
  <c r="E76" i="24"/>
  <c r="E158" i="24"/>
  <c r="E122" i="24"/>
  <c r="C95" i="70" s="1"/>
  <c r="E109" i="24"/>
  <c r="C148" i="70"/>
  <c r="E177" i="24"/>
  <c r="E168" i="24"/>
  <c r="C136" i="70" s="1"/>
  <c r="E164" i="24"/>
  <c r="C132" i="70" s="1"/>
  <c r="E159" i="24"/>
  <c r="E155" i="24"/>
  <c r="E146" i="24"/>
  <c r="C116" i="70" s="1"/>
  <c r="E142" i="24"/>
  <c r="E137" i="24"/>
  <c r="E133" i="24"/>
  <c r="E123" i="24"/>
  <c r="C96" i="70" s="1"/>
  <c r="E119" i="24"/>
  <c r="E114" i="24"/>
  <c r="E110" i="24"/>
  <c r="C84" i="70" s="1"/>
  <c r="E101" i="24"/>
  <c r="E97" i="24"/>
  <c r="E92" i="24"/>
  <c r="C68" i="70" s="1"/>
  <c r="E88" i="24"/>
  <c r="C64" i="70" s="1"/>
  <c r="E79" i="24"/>
  <c r="E75" i="24"/>
  <c r="C52" i="70" s="1"/>
  <c r="C147" i="70"/>
  <c r="E167" i="24"/>
  <c r="E154" i="24"/>
  <c r="C123" i="70" s="1"/>
  <c r="E145" i="24"/>
  <c r="E132" i="24"/>
  <c r="E91" i="24"/>
  <c r="E78" i="24"/>
  <c r="C55" i="70" s="1"/>
  <c r="D266" i="20"/>
  <c r="D276" i="20" s="1"/>
  <c r="D286" i="20" s="1"/>
  <c r="D296" i="20" s="1"/>
  <c r="D306" i="20" s="1"/>
  <c r="E348" i="24"/>
  <c r="E344" i="24"/>
  <c r="E342" i="24"/>
  <c r="E347" i="24"/>
  <c r="E346" i="24"/>
  <c r="E345" i="24"/>
  <c r="E343" i="24"/>
  <c r="E336" i="24"/>
  <c r="E335" i="24"/>
  <c r="E334" i="24"/>
  <c r="E332" i="24"/>
  <c r="E333" i="24"/>
  <c r="E331" i="24"/>
  <c r="E337" i="24"/>
  <c r="E326" i="24"/>
  <c r="E322" i="24"/>
  <c r="E320" i="24"/>
  <c r="E323" i="24"/>
  <c r="E325" i="24"/>
  <c r="E321" i="24"/>
  <c r="E324" i="24"/>
  <c r="E314" i="24"/>
  <c r="E310" i="24"/>
  <c r="E308" i="24"/>
  <c r="E313" i="24"/>
  <c r="E312" i="24"/>
  <c r="E311" i="24"/>
  <c r="E309" i="24"/>
  <c r="E292" i="24"/>
  <c r="E288" i="24"/>
  <c r="E286" i="24"/>
  <c r="E291" i="24"/>
  <c r="E290" i="24"/>
  <c r="E289" i="24"/>
  <c r="E287" i="24"/>
  <c r="E281" i="24"/>
  <c r="E277" i="24"/>
  <c r="E275" i="24"/>
  <c r="E280" i="24"/>
  <c r="E279" i="24"/>
  <c r="E278" i="24"/>
  <c r="E276" i="24"/>
  <c r="E269" i="24"/>
  <c r="E265" i="24"/>
  <c r="E263" i="24"/>
  <c r="E268" i="24"/>
  <c r="E267" i="24"/>
  <c r="E266" i="24"/>
  <c r="E264" i="24"/>
  <c r="E257" i="24"/>
  <c r="E256" i="24"/>
  <c r="E253" i="24"/>
  <c r="E255" i="24"/>
  <c r="E258" i="24"/>
  <c r="E254" i="24"/>
  <c r="E252" i="24"/>
  <c r="E236" i="24"/>
  <c r="E232" i="24"/>
  <c r="E230" i="24"/>
  <c r="E235" i="24"/>
  <c r="E234" i="24"/>
  <c r="E233" i="24"/>
  <c r="E231" i="24"/>
  <c r="E213" i="24"/>
  <c r="E209" i="24"/>
  <c r="E207" i="24"/>
  <c r="E212" i="24"/>
  <c r="E210" i="24"/>
  <c r="E208" i="24"/>
  <c r="E211" i="24"/>
  <c r="E202" i="24"/>
  <c r="E198" i="24"/>
  <c r="E196" i="24"/>
  <c r="E201" i="24"/>
  <c r="E200" i="24"/>
  <c r="E199" i="24"/>
  <c r="E197" i="24"/>
  <c r="E359" i="24"/>
  <c r="E355" i="24"/>
  <c r="E353" i="24"/>
  <c r="E358" i="24"/>
  <c r="E357" i="24"/>
  <c r="E356" i="24"/>
  <c r="E354" i="24"/>
  <c r="E303" i="24"/>
  <c r="E299" i="24"/>
  <c r="E297" i="24"/>
  <c r="E302" i="24"/>
  <c r="E301" i="24"/>
  <c r="E300" i="24"/>
  <c r="E298" i="24"/>
  <c r="E247" i="24"/>
  <c r="E243" i="24"/>
  <c r="E241" i="24"/>
  <c r="E246" i="24"/>
  <c r="E245" i="24"/>
  <c r="E244" i="24"/>
  <c r="E242" i="24"/>
  <c r="E225" i="24"/>
  <c r="E221" i="24"/>
  <c r="E219" i="24"/>
  <c r="E224" i="24"/>
  <c r="E223" i="24"/>
  <c r="E222" i="24"/>
  <c r="E220" i="24"/>
  <c r="E191" i="24"/>
  <c r="E187" i="24"/>
  <c r="E185" i="24"/>
  <c r="E190" i="24"/>
  <c r="E189" i="24"/>
  <c r="E188" i="24"/>
  <c r="E186" i="24"/>
  <c r="AH33" i="68"/>
  <c r="AH33" i="67"/>
  <c r="AH33" i="64"/>
  <c r="AH33" i="66"/>
  <c r="AG33" i="64"/>
  <c r="AG33" i="66"/>
  <c r="AG33" i="67"/>
  <c r="AG33" i="68"/>
  <c r="AR62" i="66"/>
  <c r="AR62" i="64"/>
  <c r="AR62" i="68"/>
  <c r="AR62" i="67"/>
  <c r="AO61" i="66"/>
  <c r="AO61" i="68"/>
  <c r="AO61" i="64"/>
  <c r="AO61" i="67"/>
  <c r="AN61" i="66"/>
  <c r="AN61" i="64"/>
  <c r="AN61" i="68"/>
  <c r="AN61" i="67"/>
  <c r="W33" i="68"/>
  <c r="W33" i="64"/>
  <c r="W33" i="67"/>
  <c r="W33" i="66"/>
  <c r="AQ61" i="68"/>
  <c r="AQ61" i="66"/>
  <c r="AQ61" i="67"/>
  <c r="AQ61" i="64"/>
  <c r="K33" i="64"/>
  <c r="K33" i="67"/>
  <c r="K33" i="68"/>
  <c r="K33" i="66"/>
  <c r="AS64" i="64"/>
  <c r="AS64" i="67"/>
  <c r="AS64" i="66"/>
  <c r="AS64" i="68"/>
  <c r="AW64" i="66"/>
  <c r="AW64" i="67"/>
  <c r="AW64" i="64"/>
  <c r="AW64" i="68"/>
  <c r="AM65" i="68"/>
  <c r="AM65" i="66"/>
  <c r="AM65" i="67"/>
  <c r="AM65" i="64"/>
  <c r="AB33" i="66"/>
  <c r="AB33" i="68"/>
  <c r="AB33" i="64"/>
  <c r="AB33" i="67"/>
  <c r="AR65" i="66"/>
  <c r="AR65" i="67"/>
  <c r="AR65" i="68"/>
  <c r="AR65" i="64"/>
  <c r="AT65" i="67"/>
  <c r="AT65" i="64"/>
  <c r="AT65" i="68"/>
  <c r="AT65" i="66"/>
  <c r="AO62" i="64"/>
  <c r="AO62" i="67"/>
  <c r="AO62" i="68"/>
  <c r="AO62" i="66"/>
  <c r="N12" i="18"/>
  <c r="AE33" i="68"/>
  <c r="AE33" i="64"/>
  <c r="AE33" i="66"/>
  <c r="AE33" i="67"/>
  <c r="L33" i="66"/>
  <c r="L33" i="68"/>
  <c r="L33" i="64"/>
  <c r="L33" i="67"/>
  <c r="AS33" i="67"/>
  <c r="AS33" i="68"/>
  <c r="AS33" i="66"/>
  <c r="AS33" i="64"/>
  <c r="AL64" i="68"/>
  <c r="AL64" i="66"/>
  <c r="AL64" i="64"/>
  <c r="AL64" i="67"/>
  <c r="AR64" i="66"/>
  <c r="AR64" i="67"/>
  <c r="AR64" i="64"/>
  <c r="AR64" i="68"/>
  <c r="AA33" i="68"/>
  <c r="AA33" i="66"/>
  <c r="AA33" i="67"/>
  <c r="AA33" i="64"/>
  <c r="AS62" i="64"/>
  <c r="AS62" i="66"/>
  <c r="AS62" i="67"/>
  <c r="AS62" i="68"/>
  <c r="AM62" i="67"/>
  <c r="AM62" i="66"/>
  <c r="AM62" i="64"/>
  <c r="AM62" i="68"/>
  <c r="AP65" i="64"/>
  <c r="AP65" i="67"/>
  <c r="AP65" i="68"/>
  <c r="AP65" i="66"/>
  <c r="X33" i="66"/>
  <c r="X33" i="67"/>
  <c r="X33" i="68"/>
  <c r="X33" i="64"/>
  <c r="AV61" i="64"/>
  <c r="AV61" i="67"/>
  <c r="AV61" i="68"/>
  <c r="AV61" i="66"/>
  <c r="AQ65" i="68"/>
  <c r="AQ65" i="66"/>
  <c r="AQ65" i="67"/>
  <c r="AQ65" i="64"/>
  <c r="AU62" i="68"/>
  <c r="AU62" i="66"/>
  <c r="AU62" i="67"/>
  <c r="AU62" i="64"/>
  <c r="AU65" i="67"/>
  <c r="AU65" i="68"/>
  <c r="AU65" i="66"/>
  <c r="AU65" i="64"/>
  <c r="AT64" i="66"/>
  <c r="AT64" i="64"/>
  <c r="AT64" i="67"/>
  <c r="AT64" i="68"/>
  <c r="BM7" i="68"/>
  <c r="U46" i="68" s="1"/>
  <c r="BS21" i="64"/>
  <c r="BY13" i="67"/>
  <c r="BM51" i="66"/>
  <c r="BY21" i="66"/>
  <c r="BS13" i="64"/>
  <c r="BM7" i="66"/>
  <c r="K46" i="66" s="1"/>
  <c r="BM7" i="64"/>
  <c r="E46" i="64" s="1"/>
  <c r="BM7" i="67"/>
  <c r="BM28" i="67" s="1"/>
  <c r="BM21" i="67"/>
  <c r="BM44" i="67"/>
  <c r="BM13" i="68"/>
  <c r="Q33" i="66"/>
  <c r="Q33" i="68"/>
  <c r="Q33" i="64"/>
  <c r="Q33" i="67"/>
  <c r="E27" i="67"/>
  <c r="E27" i="66"/>
  <c r="E27" i="68"/>
  <c r="E27" i="64"/>
  <c r="AX64" i="68"/>
  <c r="AX64" i="66"/>
  <c r="AX64" i="67"/>
  <c r="AX64" i="64"/>
  <c r="AR33" i="64"/>
  <c r="AR33" i="66"/>
  <c r="AR33" i="67"/>
  <c r="AR33" i="68"/>
  <c r="O33" i="66"/>
  <c r="O33" i="64"/>
  <c r="O33" i="68"/>
  <c r="O33" i="67"/>
  <c r="AU57" i="67"/>
  <c r="AU57" i="64"/>
  <c r="E65" i="68"/>
  <c r="AU57" i="68"/>
  <c r="AU57" i="66"/>
  <c r="AT62" i="67"/>
  <c r="AT62" i="66"/>
  <c r="AT62" i="64"/>
  <c r="AT62" i="68"/>
  <c r="E64" i="64"/>
  <c r="E64" i="67"/>
  <c r="E64" i="68"/>
  <c r="E64" i="66"/>
  <c r="AS65" i="67"/>
  <c r="AS65" i="64"/>
  <c r="AS65" i="66"/>
  <c r="AS65" i="68"/>
  <c r="AW65" i="68"/>
  <c r="AW65" i="66"/>
  <c r="AW65" i="64"/>
  <c r="AW65" i="67"/>
  <c r="AO64" i="64"/>
  <c r="AO64" i="68"/>
  <c r="AO64" i="66"/>
  <c r="AO64" i="67"/>
  <c r="V33" i="67"/>
  <c r="V33" i="66"/>
  <c r="V33" i="68"/>
  <c r="V33" i="64"/>
  <c r="AT61" i="66"/>
  <c r="AT61" i="68"/>
  <c r="AT61" i="67"/>
  <c r="AT61" i="64"/>
  <c r="D33" i="64"/>
  <c r="D33" i="66"/>
  <c r="D33" i="67"/>
  <c r="D33" i="68"/>
  <c r="R33" i="67"/>
  <c r="R33" i="64"/>
  <c r="R33" i="68"/>
  <c r="R33" i="66"/>
  <c r="N33" i="64"/>
  <c r="N33" i="66"/>
  <c r="N33" i="68"/>
  <c r="N33" i="67"/>
  <c r="AN64" i="66"/>
  <c r="AN64" i="68"/>
  <c r="AN64" i="64"/>
  <c r="AN64" i="67"/>
  <c r="AM61" i="66"/>
  <c r="AM61" i="68"/>
  <c r="AM61" i="64"/>
  <c r="AM61" i="67"/>
  <c r="AC33" i="67"/>
  <c r="AC33" i="66"/>
  <c r="AC33" i="68"/>
  <c r="AC33" i="64"/>
  <c r="AS61" i="66"/>
  <c r="AS61" i="67"/>
  <c r="AS61" i="68"/>
  <c r="AS61" i="64"/>
  <c r="AN65" i="66"/>
  <c r="AN65" i="64"/>
  <c r="AN65" i="68"/>
  <c r="AN65" i="67"/>
  <c r="AR61" i="64"/>
  <c r="AR61" i="66"/>
  <c r="AR61" i="67"/>
  <c r="AR61" i="68"/>
  <c r="Z33" i="68"/>
  <c r="Z33" i="66"/>
  <c r="Z33" i="67"/>
  <c r="Z33" i="64"/>
  <c r="AW62" i="66"/>
  <c r="AW62" i="67"/>
  <c r="AW62" i="64"/>
  <c r="AW62" i="68"/>
  <c r="AU64" i="67"/>
  <c r="AU64" i="66"/>
  <c r="AU64" i="68"/>
  <c r="AU64" i="64"/>
  <c r="D42" i="67"/>
  <c r="D42" i="66"/>
  <c r="D42" i="68"/>
  <c r="D42" i="64"/>
  <c r="AG69" i="67"/>
  <c r="AG69" i="66"/>
  <c r="AG69" i="64"/>
  <c r="AG69" i="68"/>
  <c r="AQ5" i="64"/>
  <c r="AQ5" i="68"/>
  <c r="AQ5" i="67"/>
  <c r="AQ5" i="66"/>
  <c r="E59" i="66"/>
  <c r="E59" i="67"/>
  <c r="E59" i="68"/>
  <c r="E59" i="64"/>
  <c r="AN62" i="64"/>
  <c r="AN62" i="67"/>
  <c r="AN62" i="68"/>
  <c r="AN62" i="66"/>
  <c r="AL61" i="66"/>
  <c r="AL61" i="67"/>
  <c r="AL61" i="68"/>
  <c r="AL61" i="64"/>
  <c r="AQ62" i="68"/>
  <c r="AQ62" i="66"/>
  <c r="AQ62" i="64"/>
  <c r="AQ62" i="67"/>
  <c r="BO7" i="64"/>
  <c r="BO35" i="64" s="1"/>
  <c r="BU21" i="67"/>
  <c r="BO51" i="68"/>
  <c r="BO7" i="66"/>
  <c r="BA46" i="66" s="1"/>
  <c r="CA21" i="68"/>
  <c r="BO13" i="67"/>
  <c r="BU13" i="67"/>
  <c r="BO21" i="64"/>
  <c r="BO7" i="67"/>
  <c r="BO35" i="67" s="1"/>
  <c r="BO44" i="67"/>
  <c r="BO7" i="68"/>
  <c r="BA46" i="68" s="1"/>
  <c r="CA13" i="68"/>
  <c r="AV65" i="64"/>
  <c r="AV65" i="66"/>
  <c r="AV65" i="68"/>
  <c r="AV65" i="67"/>
  <c r="AX62" i="66"/>
  <c r="AX62" i="67"/>
  <c r="AX62" i="68"/>
  <c r="AX62" i="64"/>
  <c r="J33" i="68"/>
  <c r="J33" i="67"/>
  <c r="J33" i="66"/>
  <c r="J33" i="64"/>
  <c r="E63" i="64"/>
  <c r="E63" i="67"/>
  <c r="E63" i="68"/>
  <c r="E63" i="66"/>
  <c r="AL62" i="66"/>
  <c r="AL62" i="67"/>
  <c r="AL62" i="64"/>
  <c r="AL62" i="68"/>
  <c r="U33" i="67"/>
  <c r="U33" i="64"/>
  <c r="U33" i="66"/>
  <c r="U33" i="68"/>
  <c r="M33" i="68"/>
  <c r="M33" i="67"/>
  <c r="M33" i="66"/>
  <c r="M33" i="64"/>
  <c r="AL65" i="64"/>
  <c r="AL65" i="67"/>
  <c r="AL65" i="68"/>
  <c r="AL65" i="66"/>
  <c r="P33" i="66"/>
  <c r="P33" i="64"/>
  <c r="P33" i="68"/>
  <c r="P33" i="67"/>
  <c r="AU61" i="66"/>
  <c r="AU61" i="68"/>
  <c r="AU61" i="64"/>
  <c r="AU61" i="67"/>
  <c r="AP62" i="66"/>
  <c r="AP62" i="67"/>
  <c r="AP62" i="68"/>
  <c r="AP62" i="64"/>
  <c r="AT33" i="68"/>
  <c r="AT33" i="67"/>
  <c r="AT33" i="66"/>
  <c r="AT33" i="64"/>
  <c r="AQ64" i="66"/>
  <c r="AQ64" i="68"/>
  <c r="AQ64" i="64"/>
  <c r="AQ64" i="67"/>
  <c r="AV64" i="68"/>
  <c r="AV64" i="67"/>
  <c r="AV64" i="64"/>
  <c r="AV64" i="66"/>
  <c r="AX33" i="67"/>
  <c r="AX33" i="64"/>
  <c r="AX33" i="68"/>
  <c r="AX33" i="66"/>
  <c r="AM64" i="66"/>
  <c r="AM64" i="68"/>
  <c r="AM64" i="67"/>
  <c r="AM64" i="64"/>
  <c r="AV62" i="66"/>
  <c r="AV62" i="67"/>
  <c r="AV62" i="68"/>
  <c r="AV62" i="64"/>
  <c r="E61" i="67"/>
  <c r="E61" i="64"/>
  <c r="E61" i="66"/>
  <c r="E61" i="68"/>
  <c r="AX65" i="64"/>
  <c r="AX65" i="66"/>
  <c r="AX65" i="67"/>
  <c r="AX65" i="68"/>
  <c r="E60" i="64"/>
  <c r="E60" i="67"/>
  <c r="E60" i="68"/>
  <c r="E60" i="66"/>
  <c r="AQ33" i="66"/>
  <c r="AQ33" i="67"/>
  <c r="AQ33" i="68"/>
  <c r="AQ33" i="64"/>
  <c r="D57" i="66"/>
  <c r="D57" i="67"/>
  <c r="D57" i="64"/>
  <c r="D57" i="68"/>
  <c r="AP61" i="68"/>
  <c r="AP61" i="67"/>
  <c r="AP61" i="64"/>
  <c r="AP61" i="66"/>
  <c r="I1" i="67"/>
  <c r="I1" i="68"/>
  <c r="I1" i="66"/>
  <c r="I1" i="64"/>
  <c r="C69" i="64"/>
  <c r="C69" i="67"/>
  <c r="C69" i="66"/>
  <c r="C69" i="68"/>
  <c r="AP64" i="67"/>
  <c r="AP64" i="64"/>
  <c r="AP64" i="68"/>
  <c r="AP64" i="66"/>
  <c r="T33" i="64"/>
  <c r="T33" i="68"/>
  <c r="T33" i="66"/>
  <c r="T33" i="67"/>
  <c r="F115" i="20"/>
  <c r="BD1" i="64"/>
  <c r="AO65" i="66"/>
  <c r="AO65" i="67"/>
  <c r="AO65" i="68"/>
  <c r="AO65" i="64"/>
  <c r="AX61" i="66"/>
  <c r="AX61" i="68"/>
  <c r="AX61" i="64"/>
  <c r="AX61" i="67"/>
  <c r="AW61" i="67"/>
  <c r="AW61" i="68"/>
  <c r="AW61" i="64"/>
  <c r="AW61" i="66"/>
  <c r="AF33" i="66"/>
  <c r="AF33" i="68"/>
  <c r="AF33" i="64"/>
  <c r="AF33" i="67"/>
  <c r="E3" i="67"/>
  <c r="E3" i="68"/>
  <c r="E3" i="64"/>
  <c r="E3" i="66"/>
  <c r="E62" i="64"/>
  <c r="E62" i="67"/>
  <c r="E62" i="68"/>
  <c r="E62" i="66"/>
  <c r="BN13" i="64"/>
  <c r="BZ13" i="67"/>
  <c r="BN7" i="66"/>
  <c r="AA46" i="66" s="1"/>
  <c r="BN7" i="68"/>
  <c r="BN35" i="68" s="1"/>
  <c r="BN44" i="66"/>
  <c r="BN7" i="64"/>
  <c r="F46" i="64" s="1"/>
  <c r="BN7" i="67"/>
  <c r="AZ46" i="67" s="1"/>
  <c r="BT13" i="68"/>
  <c r="BT21" i="66"/>
  <c r="BN51" i="67"/>
  <c r="BZ21" i="64"/>
  <c r="BN21" i="64"/>
  <c r="H31" i="18"/>
  <c r="B230" i="69"/>
  <c r="B122" i="69"/>
  <c r="A147" i="55"/>
  <c r="A284" i="55"/>
  <c r="A50" i="55"/>
  <c r="A228" i="55"/>
  <c r="B221" i="69"/>
  <c r="A170" i="55"/>
  <c r="B186" i="69"/>
  <c r="B160" i="69"/>
  <c r="A41" i="55"/>
  <c r="A20" i="55"/>
  <c r="B161" i="69"/>
  <c r="A288" i="55"/>
  <c r="A273" i="55"/>
  <c r="B3" i="69"/>
  <c r="B90" i="69"/>
  <c r="A257" i="55"/>
  <c r="B40" i="69"/>
  <c r="B62" i="69"/>
  <c r="A137" i="55"/>
  <c r="A282" i="55"/>
  <c r="A226" i="55"/>
  <c r="A221" i="55"/>
  <c r="A286" i="55"/>
  <c r="B53" i="69"/>
  <c r="B204" i="69"/>
  <c r="A215" i="55"/>
  <c r="A162" i="55"/>
  <c r="B163" i="69"/>
  <c r="B59" i="69"/>
  <c r="A71" i="55"/>
  <c r="B70" i="69"/>
  <c r="B208" i="69"/>
  <c r="A52" i="55"/>
  <c r="B226" i="69"/>
  <c r="B212" i="69"/>
  <c r="A163" i="55"/>
  <c r="B55" i="69"/>
  <c r="B106" i="69"/>
  <c r="A231" i="55"/>
  <c r="A202" i="55"/>
  <c r="A46" i="55"/>
  <c r="B215" i="69"/>
  <c r="B210" i="69"/>
  <c r="A37" i="55"/>
  <c r="A229" i="55"/>
  <c r="B112" i="69"/>
  <c r="B95" i="69"/>
  <c r="A66" i="55"/>
  <c r="B205" i="69"/>
  <c r="B206" i="69"/>
  <c r="A57" i="55"/>
  <c r="A18" i="55"/>
  <c r="B39" i="69"/>
  <c r="B124" i="69"/>
  <c r="B156" i="69"/>
  <c r="B46" i="69"/>
  <c r="B129" i="69"/>
  <c r="B35" i="69"/>
  <c r="A227" i="55"/>
  <c r="A55" i="55"/>
  <c r="A189" i="55"/>
  <c r="B94" i="69"/>
  <c r="A61" i="55"/>
  <c r="B183" i="69"/>
  <c r="B181" i="69"/>
  <c r="A36" i="55"/>
  <c r="A19" i="55"/>
  <c r="B115" i="69"/>
  <c r="B75" i="69"/>
  <c r="A13" i="55"/>
  <c r="A75" i="55"/>
  <c r="B79" i="69"/>
  <c r="B127" i="69"/>
  <c r="A166" i="55"/>
  <c r="A186" i="55"/>
  <c r="A245" i="55"/>
  <c r="A35" i="55"/>
  <c r="B78" i="69"/>
  <c r="B225" i="69"/>
  <c r="B65" i="69"/>
  <c r="B126" i="69"/>
  <c r="A164" i="55"/>
  <c r="B197" i="69"/>
  <c r="A220" i="55"/>
  <c r="B51" i="69"/>
  <c r="B176" i="69"/>
  <c r="B192" i="69"/>
  <c r="A267" i="55"/>
  <c r="B68" i="69"/>
  <c r="A161" i="55"/>
  <c r="A274" i="55"/>
  <c r="B43" i="69"/>
  <c r="A264" i="55"/>
  <c r="A144" i="55"/>
  <c r="A188" i="55"/>
  <c r="A160" i="55"/>
  <c r="A192" i="55"/>
  <c r="B184" i="69"/>
  <c r="A169" i="55"/>
  <c r="B34" i="69"/>
  <c r="B52" i="69"/>
  <c r="B80" i="69"/>
  <c r="B166" i="69"/>
  <c r="A283" i="55"/>
  <c r="A193" i="55"/>
  <c r="B121" i="69"/>
  <c r="A252" i="55"/>
  <c r="B171" i="69"/>
  <c r="A133" i="55"/>
  <c r="B81" i="69"/>
  <c r="B165" i="69"/>
  <c r="S34" i="18"/>
  <c r="A5" i="55"/>
  <c r="B141" i="69"/>
  <c r="A51" i="55"/>
  <c r="B97" i="69"/>
  <c r="A31" i="55"/>
  <c r="A219" i="55"/>
  <c r="A14" i="55"/>
  <c r="B28" i="69"/>
  <c r="A42" i="55"/>
  <c r="A70" i="55"/>
  <c r="B188" i="69"/>
  <c r="B117" i="69"/>
  <c r="B152" i="69"/>
  <c r="B19" i="69"/>
  <c r="B217" i="69"/>
  <c r="B41" i="69"/>
  <c r="A82" i="55"/>
  <c r="A102" i="55"/>
  <c r="B5" i="69"/>
  <c r="B93" i="69"/>
  <c r="B220" i="69"/>
  <c r="A248" i="55"/>
  <c r="A8" i="55"/>
  <c r="A142" i="55"/>
  <c r="A7" i="55"/>
  <c r="A148" i="55"/>
  <c r="B66" i="69"/>
  <c r="A135" i="55"/>
  <c r="A165" i="55"/>
  <c r="B136" i="69"/>
  <c r="A262" i="55"/>
  <c r="B118" i="69"/>
  <c r="B151" i="69"/>
  <c r="A180" i="55"/>
  <c r="A174" i="55"/>
  <c r="A236" i="55"/>
  <c r="A247" i="55"/>
  <c r="B104" i="69"/>
  <c r="B213" i="69"/>
  <c r="A211" i="55"/>
  <c r="B16" i="69"/>
  <c r="A69" i="55"/>
  <c r="B228" i="69"/>
  <c r="A48" i="55"/>
  <c r="A210" i="55"/>
  <c r="B56" i="69"/>
  <c r="A177" i="55"/>
  <c r="B14" i="69"/>
  <c r="A183" i="55"/>
  <c r="A176" i="55"/>
  <c r="B137" i="69"/>
  <c r="A24" i="55"/>
  <c r="B227" i="69"/>
  <c r="A58" i="55"/>
  <c r="B211" i="69"/>
  <c r="A224" i="55"/>
  <c r="A187" i="55"/>
  <c r="B231" i="69"/>
  <c r="A141" i="55"/>
  <c r="B133" i="69"/>
  <c r="B47" i="69"/>
  <c r="A16" i="55"/>
  <c r="A25" i="55"/>
  <c r="B50" i="69"/>
  <c r="A32" i="55"/>
  <c r="B201" i="69"/>
  <c r="B128" i="69"/>
  <c r="A29" i="55"/>
  <c r="A277" i="55"/>
  <c r="B168" i="69"/>
  <c r="A136" i="55"/>
  <c r="A237" i="55"/>
  <c r="A40" i="55"/>
  <c r="A4" i="55"/>
  <c r="A250" i="55"/>
  <c r="B9" i="69"/>
  <c r="A243" i="55"/>
  <c r="A232" i="55"/>
  <c r="B107" i="69"/>
  <c r="B91" i="69"/>
  <c r="A173" i="55"/>
  <c r="B69" i="69"/>
  <c r="A151" i="55"/>
  <c r="A249" i="55"/>
  <c r="B24" i="69"/>
  <c r="B25" i="69"/>
  <c r="A208" i="55"/>
  <c r="S36" i="18"/>
  <c r="B153" i="69"/>
  <c r="B88" i="69"/>
  <c r="B74" i="69"/>
  <c r="B77" i="69"/>
  <c r="B67" i="69"/>
  <c r="A184" i="55"/>
  <c r="B32" i="69"/>
  <c r="B214" i="69"/>
  <c r="B162" i="69"/>
  <c r="A234" i="55"/>
  <c r="B44" i="69"/>
  <c r="B102" i="69"/>
  <c r="B196" i="69"/>
  <c r="A132" i="55"/>
  <c r="A218" i="55"/>
  <c r="A123" i="55"/>
  <c r="B193" i="69"/>
  <c r="B10" i="69"/>
  <c r="A268" i="55"/>
  <c r="A240" i="55"/>
  <c r="A172" i="55"/>
  <c r="B100" i="69"/>
  <c r="A206" i="55"/>
  <c r="B105" i="69"/>
  <c r="B175" i="69"/>
  <c r="A80" i="55"/>
  <c r="A279" i="55"/>
  <c r="A130" i="55"/>
  <c r="B72" i="69"/>
  <c r="A145" i="55"/>
  <c r="A167" i="55"/>
  <c r="B20" i="69"/>
  <c r="A39" i="55"/>
  <c r="B135" i="69"/>
  <c r="A138" i="55"/>
  <c r="B178" i="69"/>
  <c r="B48" i="69"/>
  <c r="B232" i="69"/>
  <c r="B147" i="69"/>
  <c r="B31" i="69"/>
  <c r="A269" i="55"/>
  <c r="A33" i="55"/>
  <c r="B119" i="69"/>
  <c r="A17" i="55"/>
  <c r="B123" i="69"/>
  <c r="B120" i="69"/>
  <c r="A11" i="55"/>
  <c r="A214" i="55"/>
  <c r="A68" i="55"/>
  <c r="A150" i="55"/>
  <c r="B87" i="69"/>
  <c r="B216" i="69"/>
  <c r="B142" i="69"/>
  <c r="B131" i="69"/>
  <c r="B71" i="69"/>
  <c r="B138" i="69"/>
  <c r="A253" i="55"/>
  <c r="A23" i="55"/>
  <c r="B61" i="69"/>
  <c r="B180" i="69"/>
  <c r="B139" i="69"/>
  <c r="A216" i="55"/>
  <c r="B98" i="69"/>
  <c r="A79" i="55"/>
  <c r="B200" i="69"/>
  <c r="A280" i="55"/>
  <c r="A287" i="55"/>
  <c r="B224" i="69"/>
  <c r="A129" i="55"/>
  <c r="B194" i="69"/>
  <c r="B157" i="69"/>
  <c r="B174" i="69"/>
  <c r="B45" i="69"/>
  <c r="A191" i="55"/>
  <c r="A185" i="55"/>
  <c r="B111" i="69"/>
  <c r="B7" i="69"/>
  <c r="A205" i="55"/>
  <c r="A128" i="55"/>
  <c r="A104" i="55"/>
  <c r="B82" i="69"/>
  <c r="A246" i="55"/>
  <c r="A56" i="55"/>
  <c r="B110" i="69"/>
  <c r="A44" i="55"/>
  <c r="B96" i="69"/>
  <c r="B29" i="69"/>
  <c r="A101" i="55"/>
  <c r="A271" i="55"/>
  <c r="B30" i="69"/>
  <c r="B191" i="69"/>
  <c r="B179" i="69"/>
  <c r="B222" i="69"/>
  <c r="B187" i="69"/>
  <c r="A251" i="55"/>
  <c r="A244" i="55"/>
  <c r="A266" i="55"/>
  <c r="A22" i="55"/>
  <c r="B116" i="69"/>
  <c r="A182" i="55"/>
  <c r="B27" i="69"/>
  <c r="B89" i="69"/>
  <c r="B125" i="69"/>
  <c r="B2" i="69"/>
  <c r="B113" i="69"/>
  <c r="A146" i="55"/>
  <c r="B149" i="69"/>
  <c r="B190" i="69"/>
  <c r="B49" i="69"/>
  <c r="B209" i="69"/>
  <c r="B86" i="69"/>
  <c r="B3" i="20"/>
  <c r="B58" i="69"/>
  <c r="A171" i="55"/>
  <c r="A275" i="55"/>
  <c r="A125" i="55"/>
  <c r="A140" i="55"/>
  <c r="S11" i="18"/>
  <c r="B17" i="69"/>
  <c r="S12" i="18"/>
  <c r="B1" i="8"/>
  <c r="A43" i="55"/>
  <c r="B169" i="69"/>
  <c r="A261" i="55"/>
  <c r="B63" i="69"/>
  <c r="A272" i="55"/>
  <c r="B177" i="69"/>
  <c r="A255" i="55"/>
  <c r="A121" i="55"/>
  <c r="A67" i="55"/>
  <c r="A27" i="55"/>
  <c r="B33" i="69"/>
  <c r="A12" i="55"/>
  <c r="A9" i="55"/>
  <c r="A21" i="55"/>
  <c r="A213" i="55"/>
  <c r="B164" i="69"/>
  <c r="B84" i="69"/>
  <c r="A270" i="55"/>
  <c r="A242" i="55"/>
  <c r="B158" i="69"/>
  <c r="B15" i="69"/>
  <c r="A241" i="55"/>
  <c r="A285" i="55"/>
  <c r="A100" i="55"/>
  <c r="B182" i="69"/>
  <c r="B42" i="69"/>
  <c r="B12" i="69"/>
  <c r="B57" i="69"/>
  <c r="A134" i="55"/>
  <c r="B155" i="69"/>
  <c r="A53" i="55"/>
  <c r="A238" i="55"/>
  <c r="B76" i="69"/>
  <c r="A301" i="55"/>
  <c r="B21" i="69"/>
  <c r="A222" i="55"/>
  <c r="A190" i="55"/>
  <c r="A149" i="55"/>
  <c r="B73" i="69"/>
  <c r="B233" i="69"/>
  <c r="B185" i="69"/>
  <c r="A47" i="55"/>
  <c r="A217" i="55"/>
  <c r="B203" i="69"/>
  <c r="A235" i="55"/>
  <c r="B173" i="69"/>
  <c r="A276" i="55"/>
  <c r="B189" i="69"/>
  <c r="A258" i="55"/>
  <c r="B4" i="69"/>
  <c r="B92" i="69"/>
  <c r="B99" i="69"/>
  <c r="B219" i="69"/>
  <c r="A49" i="55"/>
  <c r="J12" i="18"/>
  <c r="A60" i="55"/>
  <c r="A38" i="55"/>
  <c r="B20" i="18"/>
  <c r="B11" i="69"/>
  <c r="A212" i="55"/>
  <c r="A10" i="55"/>
  <c r="B132" i="69"/>
  <c r="B229" i="69"/>
  <c r="A230" i="55"/>
  <c r="A73" i="55"/>
  <c r="B101" i="69"/>
  <c r="A139" i="55"/>
  <c r="A26" i="55"/>
  <c r="A127" i="55"/>
  <c r="A6" i="55"/>
  <c r="B54" i="69"/>
  <c r="A200" i="55"/>
  <c r="A65" i="55"/>
  <c r="A72" i="55"/>
  <c r="B146" i="69"/>
  <c r="A103" i="55"/>
  <c r="A34" i="55"/>
  <c r="A233" i="55"/>
  <c r="A45" i="55"/>
  <c r="B170" i="69"/>
  <c r="A259" i="55"/>
  <c r="B140" i="69"/>
  <c r="A263" i="55"/>
  <c r="B103" i="69"/>
  <c r="B6" i="69"/>
  <c r="B159" i="69"/>
  <c r="A181" i="55"/>
  <c r="A254" i="55"/>
  <c r="B150" i="69"/>
  <c r="A265" i="55"/>
  <c r="A143" i="55"/>
  <c r="A126" i="55"/>
  <c r="B26" i="69"/>
  <c r="A203" i="55"/>
  <c r="B198" i="69"/>
  <c r="B172" i="69"/>
  <c r="A54" i="55"/>
  <c r="A59" i="55"/>
  <c r="A122" i="55"/>
  <c r="A124" i="55"/>
  <c r="B108" i="69"/>
  <c r="B22" i="69"/>
  <c r="B234" i="69"/>
  <c r="B23" i="69"/>
  <c r="B64" i="69"/>
  <c r="A256" i="55"/>
  <c r="B154" i="69"/>
  <c r="B167" i="69"/>
  <c r="B85" i="69"/>
  <c r="B207" i="69"/>
  <c r="A74" i="55"/>
  <c r="A64" i="55"/>
  <c r="B13" i="69"/>
  <c r="B202" i="69"/>
  <c r="B235" i="69"/>
  <c r="B223" i="69"/>
  <c r="B36" i="69"/>
  <c r="B38" i="69"/>
  <c r="B144" i="69"/>
  <c r="B195" i="69"/>
  <c r="A201" i="55"/>
  <c r="B60" i="69"/>
  <c r="B109" i="69"/>
  <c r="A15" i="55"/>
  <c r="B37" i="69"/>
  <c r="A120" i="55"/>
  <c r="B145" i="69"/>
  <c r="A131" i="55"/>
  <c r="B130" i="69"/>
  <c r="A278" i="55"/>
  <c r="B8" i="69"/>
  <c r="A62" i="55"/>
  <c r="A223" i="55"/>
  <c r="B218" i="69"/>
  <c r="A78" i="55"/>
  <c r="A204" i="55"/>
  <c r="A28" i="55"/>
  <c r="B199" i="69"/>
  <c r="A81" i="55"/>
  <c r="A225" i="55"/>
  <c r="B83" i="69"/>
  <c r="A152" i="55"/>
  <c r="A260" i="55"/>
  <c r="A63" i="55"/>
  <c r="A207" i="55"/>
  <c r="A175" i="55"/>
  <c r="A168" i="55"/>
  <c r="B148" i="69"/>
  <c r="A209" i="55"/>
  <c r="A281" i="55"/>
  <c r="O10" i="20"/>
  <c r="F2" i="18"/>
  <c r="E73" i="8"/>
  <c r="T23" i="18"/>
  <c r="C315" i="24"/>
  <c r="C361" i="24"/>
  <c r="C282" i="24"/>
  <c r="B20" i="8"/>
  <c r="D22" i="8"/>
  <c r="D19" i="8"/>
  <c r="C259" i="24"/>
  <c r="C248" i="24"/>
  <c r="N20" i="18"/>
  <c r="S28" i="18"/>
  <c r="T28" i="18"/>
  <c r="J2" i="18"/>
  <c r="B71" i="8"/>
  <c r="L30" i="18"/>
  <c r="Z34" i="18"/>
  <c r="C215" i="24"/>
  <c r="C50" i="8"/>
  <c r="W18" i="18"/>
  <c r="B134" i="69"/>
  <c r="D37" i="8"/>
  <c r="C12" i="18"/>
  <c r="W34" i="18"/>
  <c r="AC23" i="18"/>
  <c r="C293" i="24"/>
  <c r="C203" i="24"/>
  <c r="D20" i="8"/>
  <c r="C12" i="24"/>
  <c r="B50" i="8"/>
  <c r="C327" i="24"/>
  <c r="C51" i="69"/>
  <c r="C64" i="69"/>
  <c r="C144" i="69"/>
  <c r="C50" i="69"/>
  <c r="C48" i="69"/>
  <c r="C68" i="69"/>
  <c r="C54" i="69"/>
  <c r="C62" i="69"/>
  <c r="C71" i="69"/>
  <c r="C56" i="69"/>
  <c r="C52" i="69"/>
  <c r="C58" i="69"/>
  <c r="C63" i="69"/>
  <c r="C70" i="69"/>
  <c r="C67" i="69"/>
  <c r="C66" i="69"/>
  <c r="C60" i="69"/>
  <c r="C59" i="69"/>
  <c r="C65" i="69"/>
  <c r="C53" i="69"/>
  <c r="C49" i="69"/>
  <c r="C69" i="69"/>
  <c r="C55" i="69"/>
  <c r="C57" i="69"/>
  <c r="C61" i="69"/>
  <c r="W12" i="18"/>
  <c r="Y18" i="18"/>
  <c r="K20" i="18"/>
  <c r="V2" i="18"/>
  <c r="AB2" i="18"/>
  <c r="H20" i="18"/>
  <c r="Q2" i="18"/>
  <c r="AB23" i="18"/>
  <c r="J14" i="18"/>
  <c r="C2" i="18"/>
  <c r="C14" i="18"/>
  <c r="T34" i="18"/>
  <c r="U12" i="18"/>
  <c r="Y2" i="18"/>
  <c r="V23" i="18"/>
  <c r="Z12" i="18"/>
  <c r="Y28" i="18"/>
  <c r="N2" i="18"/>
  <c r="I2" i="18"/>
  <c r="AB12" i="18"/>
  <c r="AA28" i="18"/>
  <c r="D2" i="18"/>
  <c r="B25" i="8"/>
  <c r="D10" i="8"/>
  <c r="B9" i="8"/>
  <c r="B17" i="8"/>
  <c r="D13" i="8"/>
  <c r="B4" i="8"/>
  <c r="B12" i="8"/>
  <c r="D21" i="8"/>
  <c r="D3" i="8"/>
  <c r="B36" i="8"/>
  <c r="E17" i="8"/>
  <c r="F33" i="8"/>
  <c r="B64" i="8"/>
  <c r="I10" i="8"/>
  <c r="B49" i="8"/>
  <c r="B30" i="8"/>
  <c r="J2" i="8"/>
  <c r="S33" i="18"/>
  <c r="E20" i="18"/>
  <c r="S2" i="18"/>
  <c r="AB28" i="18"/>
  <c r="I20" i="18"/>
  <c r="U18" i="18"/>
  <c r="M20" i="18"/>
  <c r="AA23" i="18"/>
  <c r="W23" i="18"/>
  <c r="F20" i="18"/>
  <c r="D20" i="18"/>
  <c r="Y23" i="18"/>
  <c r="AA18" i="18"/>
  <c r="L2" i="18"/>
  <c r="B2" i="8"/>
  <c r="B67" i="8"/>
  <c r="D51" i="8"/>
  <c r="B28" i="8"/>
  <c r="G14" i="8"/>
  <c r="B5" i="8"/>
  <c r="B21" i="8"/>
  <c r="B23" i="8"/>
  <c r="B33" i="8"/>
  <c r="E66" i="8"/>
  <c r="B19" i="8"/>
  <c r="D33" i="8"/>
  <c r="E65" i="8"/>
  <c r="C51" i="8"/>
  <c r="B13" i="8"/>
  <c r="C36" i="8"/>
  <c r="B18" i="8"/>
  <c r="B3" i="8"/>
  <c r="B34" i="8"/>
  <c r="B69" i="8"/>
  <c r="H10" i="8"/>
  <c r="E33" i="8"/>
  <c r="E51" i="8"/>
  <c r="B22" i="8"/>
  <c r="B15" i="8"/>
  <c r="D18" i="8"/>
  <c r="B66" i="8"/>
  <c r="B10" i="8"/>
  <c r="H9" i="8"/>
  <c r="J1" i="8"/>
  <c r="B72" i="8"/>
  <c r="B14" i="8"/>
  <c r="C27" i="8"/>
  <c r="B27" i="8"/>
  <c r="B70" i="8"/>
  <c r="C16" i="24"/>
  <c r="C68" i="24"/>
  <c r="C349" i="24"/>
  <c r="C34" i="24"/>
  <c r="D12" i="24"/>
  <c r="C48" i="24"/>
  <c r="C20" i="24"/>
  <c r="C192" i="24"/>
  <c r="C67" i="24"/>
  <c r="C93" i="24"/>
  <c r="C54" i="24"/>
  <c r="C25" i="24"/>
  <c r="C82" i="24"/>
  <c r="C270" i="24"/>
  <c r="C64" i="24"/>
  <c r="C181" i="24"/>
  <c r="C180" i="24"/>
  <c r="C51" i="24"/>
  <c r="C304" i="24"/>
  <c r="C63" i="24"/>
  <c r="C69" i="24"/>
  <c r="C360" i="24"/>
  <c r="L3" i="24"/>
  <c r="C62" i="24"/>
  <c r="C28" i="24"/>
  <c r="C70" i="24"/>
  <c r="D21" i="24"/>
  <c r="C338" i="24"/>
  <c r="C66" i="24"/>
  <c r="L2" i="24"/>
  <c r="C22" i="24"/>
  <c r="C237" i="24"/>
  <c r="C3" i="24"/>
  <c r="L4" i="24"/>
  <c r="C138" i="24"/>
  <c r="C56" i="24"/>
  <c r="C115" i="24"/>
  <c r="C9" i="24"/>
  <c r="C19" i="24"/>
  <c r="C160" i="24"/>
  <c r="C316" i="24"/>
  <c r="C104" i="24"/>
  <c r="C37" i="24"/>
  <c r="D380" i="24"/>
  <c r="C364" i="24"/>
  <c r="C18" i="24"/>
  <c r="C13" i="24"/>
  <c r="C15" i="24"/>
  <c r="C171" i="24"/>
  <c r="C58" i="24"/>
  <c r="E9" i="24"/>
  <c r="C127" i="24"/>
  <c r="C149" i="24"/>
  <c r="A9" i="24"/>
  <c r="C214" i="24"/>
  <c r="C14" i="24"/>
  <c r="C271" i="24"/>
  <c r="C17" i="24"/>
  <c r="C363" i="24"/>
  <c r="D20" i="24"/>
  <c r="C31" i="24"/>
  <c r="C65" i="24"/>
  <c r="C2" i="24"/>
  <c r="C39" i="24"/>
  <c r="O9" i="20"/>
  <c r="F9" i="20"/>
  <c r="K10" i="20"/>
  <c r="H10" i="20"/>
  <c r="D10" i="20"/>
  <c r="H9" i="20"/>
  <c r="AB3" i="20"/>
  <c r="C126" i="24"/>
  <c r="C45" i="24"/>
  <c r="C61" i="24"/>
  <c r="L7" i="24"/>
  <c r="C362" i="24"/>
  <c r="L69" i="24"/>
  <c r="B65" i="8"/>
  <c r="I9" i="8"/>
  <c r="B29" i="8"/>
  <c r="B26" i="8"/>
  <c r="B68" i="8"/>
  <c r="B63" i="8"/>
  <c r="F51" i="8"/>
  <c r="C33" i="8"/>
  <c r="B31" i="8"/>
  <c r="B24" i="8"/>
  <c r="B6" i="8"/>
  <c r="C365" i="24"/>
  <c r="C226" i="24"/>
  <c r="T12" i="18"/>
  <c r="L20" i="18"/>
  <c r="E2" i="18"/>
  <c r="P2" i="18"/>
  <c r="X12" i="18"/>
  <c r="C20" i="18"/>
  <c r="X18" i="18"/>
  <c r="X2" i="18"/>
  <c r="V34" i="18"/>
  <c r="S23" i="18"/>
  <c r="H2" i="18"/>
  <c r="Z18" i="18"/>
  <c r="U2" i="18"/>
  <c r="AC12" i="18"/>
  <c r="U28" i="18"/>
  <c r="V28" i="18"/>
  <c r="U34" i="18"/>
  <c r="M2" i="18"/>
  <c r="Z2" i="18"/>
  <c r="AA34" i="18"/>
  <c r="AB18" i="18"/>
  <c r="AC28" i="18"/>
  <c r="J20" i="18"/>
  <c r="Z23" i="18"/>
  <c r="R2" i="18"/>
  <c r="V18" i="18"/>
  <c r="O20" i="18"/>
  <c r="T2" i="18"/>
  <c r="O2" i="18"/>
  <c r="K2" i="18"/>
  <c r="G20" i="18"/>
  <c r="V12" i="18"/>
  <c r="AA2" i="18"/>
  <c r="U23" i="18"/>
  <c r="X23" i="18"/>
  <c r="W28" i="18"/>
  <c r="AC18" i="18"/>
  <c r="Y12" i="18"/>
  <c r="T18" i="18"/>
  <c r="Z28" i="18"/>
  <c r="C11" i="18"/>
  <c r="S18" i="18"/>
  <c r="W2" i="18"/>
  <c r="X28" i="18"/>
  <c r="AA12" i="18"/>
  <c r="G2" i="18"/>
  <c r="F86" i="20" l="1"/>
  <c r="F136" i="20"/>
  <c r="F134" i="20"/>
  <c r="D14" i="8"/>
  <c r="F17" i="8"/>
  <c r="X6" i="18"/>
  <c r="D65" i="8"/>
  <c r="G72" i="8" s="1"/>
  <c r="D15" i="8"/>
  <c r="D52" i="68"/>
  <c r="D52" i="66"/>
  <c r="D52" i="64"/>
  <c r="D52" i="67"/>
  <c r="F314" i="20"/>
  <c r="S5" i="18"/>
  <c r="C22" i="18"/>
  <c r="C41" i="18"/>
  <c r="L41" i="18"/>
  <c r="L32" i="18"/>
  <c r="S8" i="18"/>
  <c r="X5" i="18"/>
  <c r="Y41" i="18"/>
  <c r="H23" i="18"/>
  <c r="E2" i="24"/>
  <c r="O5" i="20"/>
  <c r="AB8" i="18"/>
  <c r="L34" i="18"/>
  <c r="B52" i="8"/>
  <c r="C64" i="8"/>
  <c r="C72" i="8" s="1"/>
  <c r="C30" i="18"/>
  <c r="C7" i="18"/>
  <c r="D6" i="20"/>
  <c r="C4" i="18"/>
  <c r="C4" i="24"/>
  <c r="D5" i="20"/>
  <c r="AB5" i="18"/>
  <c r="O6" i="20"/>
  <c r="E3" i="24"/>
  <c r="C31" i="18"/>
  <c r="L23" i="18"/>
  <c r="AB6" i="18"/>
  <c r="C37" i="8"/>
  <c r="S6" i="18"/>
  <c r="C23" i="18"/>
  <c r="J23" i="18"/>
  <c r="L33" i="18"/>
  <c r="C42" i="18"/>
  <c r="D5" i="68"/>
  <c r="D5" i="67"/>
  <c r="F11" i="20"/>
  <c r="D5" i="64"/>
  <c r="D5" i="66"/>
  <c r="F53" i="20"/>
  <c r="D31" i="67"/>
  <c r="D31" i="68"/>
  <c r="D31" i="64"/>
  <c r="D31" i="66"/>
  <c r="D18" i="66"/>
  <c r="D18" i="68"/>
  <c r="D18" i="67"/>
  <c r="F30" i="20"/>
  <c r="D18" i="64"/>
  <c r="C24" i="24"/>
  <c r="D38" i="24"/>
  <c r="D69" i="24"/>
  <c r="D360" i="24"/>
  <c r="D61" i="24"/>
  <c r="B10" i="20"/>
  <c r="E69" i="24"/>
  <c r="E360" i="24"/>
  <c r="E38" i="24"/>
  <c r="E20" i="24"/>
  <c r="E12" i="24"/>
  <c r="E61" i="24"/>
  <c r="E21" i="24"/>
  <c r="E37" i="24"/>
  <c r="F10" i="20"/>
  <c r="C23" i="24"/>
  <c r="D37" i="24"/>
  <c r="D10" i="64"/>
  <c r="F19" i="20"/>
  <c r="D10" i="68"/>
  <c r="D10" i="66"/>
  <c r="D10" i="67"/>
  <c r="D29" i="64"/>
  <c r="F45" i="20"/>
  <c r="D29" i="67"/>
  <c r="D29" i="68"/>
  <c r="D29" i="66"/>
  <c r="C70" i="70"/>
  <c r="F54" i="20"/>
  <c r="F42" i="20"/>
  <c r="F50" i="20"/>
  <c r="F99" i="20"/>
  <c r="F130" i="20"/>
  <c r="F49" i="20"/>
  <c r="C29" i="70"/>
  <c r="F147" i="20"/>
  <c r="F131" i="20"/>
  <c r="F105" i="20"/>
  <c r="F33" i="20"/>
  <c r="F20" i="20"/>
  <c r="F70" i="20"/>
  <c r="F123" i="20"/>
  <c r="F116" i="20"/>
  <c r="C109" i="70"/>
  <c r="C43" i="70"/>
  <c r="F84" i="20"/>
  <c r="F155" i="20"/>
  <c r="F83" i="20"/>
  <c r="C38" i="70"/>
  <c r="F67" i="20"/>
  <c r="F24" i="20"/>
  <c r="F92" i="20"/>
  <c r="F150" i="20"/>
  <c r="F85" i="20"/>
  <c r="F27" i="20"/>
  <c r="F126" i="20"/>
  <c r="F21" i="20"/>
  <c r="F112" i="20"/>
  <c r="F144" i="20"/>
  <c r="F44" i="20"/>
  <c r="F15" i="20"/>
  <c r="F37" i="20"/>
  <c r="F38" i="20"/>
  <c r="F135" i="20"/>
  <c r="F55" i="20"/>
  <c r="F82" i="20"/>
  <c r="F98" i="20"/>
  <c r="F80" i="20"/>
  <c r="F91" i="20"/>
  <c r="F59" i="20"/>
  <c r="F153" i="20"/>
  <c r="F29" i="20"/>
  <c r="F69" i="20"/>
  <c r="F101" i="20"/>
  <c r="F89" i="20"/>
  <c r="F121" i="20"/>
  <c r="F107" i="20"/>
  <c r="F137" i="20"/>
  <c r="F73" i="20"/>
  <c r="F57" i="20"/>
  <c r="F128" i="20"/>
  <c r="F100" i="20"/>
  <c r="F152" i="20"/>
  <c r="F139" i="20"/>
  <c r="F146" i="20"/>
  <c r="F66" i="20"/>
  <c r="F141" i="20"/>
  <c r="F60" i="20"/>
  <c r="F118" i="20"/>
  <c r="F102" i="20"/>
  <c r="F52" i="20"/>
  <c r="C48" i="70"/>
  <c r="F51" i="20"/>
  <c r="C47" i="70"/>
  <c r="F43" i="20"/>
  <c r="C40" i="70"/>
  <c r="F46" i="20"/>
  <c r="C42" i="70"/>
  <c r="F48" i="20"/>
  <c r="C44" i="70"/>
  <c r="F39" i="20"/>
  <c r="F34" i="20"/>
  <c r="F22" i="20"/>
  <c r="F36" i="20"/>
  <c r="F124" i="20"/>
  <c r="F35" i="20"/>
  <c r="F87" i="20"/>
  <c r="F151" i="20"/>
  <c r="F68" i="20"/>
  <c r="F71" i="20"/>
  <c r="F103" i="20"/>
  <c r="F62" i="20"/>
  <c r="F119" i="20"/>
  <c r="F125" i="20"/>
  <c r="C21" i="70"/>
  <c r="F12" i="20"/>
  <c r="F17" i="20"/>
  <c r="F304" i="20"/>
  <c r="C299" i="70"/>
  <c r="F294" i="20"/>
  <c r="C289" i="70"/>
  <c r="F175" i="20"/>
  <c r="C170" i="70"/>
  <c r="F284" i="20"/>
  <c r="C279" i="70"/>
  <c r="F226" i="20"/>
  <c r="C221" i="70"/>
  <c r="F224" i="20"/>
  <c r="C219" i="70"/>
  <c r="F317" i="20"/>
  <c r="C311" i="70"/>
  <c r="F244" i="20"/>
  <c r="C239" i="70"/>
  <c r="F245" i="20"/>
  <c r="C240" i="70"/>
  <c r="F246" i="20"/>
  <c r="C241" i="70"/>
  <c r="F255" i="20"/>
  <c r="C250" i="70"/>
  <c r="F184" i="20"/>
  <c r="C179" i="70"/>
  <c r="F205" i="20"/>
  <c r="C200" i="70"/>
  <c r="F276" i="20"/>
  <c r="C271" i="70"/>
  <c r="F164" i="20"/>
  <c r="C159" i="70"/>
  <c r="F254" i="20"/>
  <c r="C249" i="70"/>
  <c r="F165" i="20"/>
  <c r="C160" i="70"/>
  <c r="F160" i="20"/>
  <c r="C155" i="70"/>
  <c r="F159" i="20"/>
  <c r="C154" i="70"/>
  <c r="F191" i="20"/>
  <c r="C186" i="70"/>
  <c r="F193" i="20"/>
  <c r="C188" i="70"/>
  <c r="F212" i="20"/>
  <c r="C207" i="70"/>
  <c r="F258" i="20"/>
  <c r="C253" i="70"/>
  <c r="F257" i="20"/>
  <c r="C252" i="70"/>
  <c r="F310" i="20"/>
  <c r="C305" i="70"/>
  <c r="F309" i="20"/>
  <c r="C304" i="70"/>
  <c r="F171" i="20"/>
  <c r="C166" i="70"/>
  <c r="F173" i="20"/>
  <c r="C168" i="70"/>
  <c r="F182" i="20"/>
  <c r="C177" i="70"/>
  <c r="F198" i="20"/>
  <c r="C193" i="70"/>
  <c r="F197" i="20"/>
  <c r="C192" i="70"/>
  <c r="F219" i="20"/>
  <c r="C214" i="70"/>
  <c r="F221" i="20"/>
  <c r="C216" i="70"/>
  <c r="F231" i="20"/>
  <c r="C226" i="70"/>
  <c r="F233" i="20"/>
  <c r="C228" i="70"/>
  <c r="F242" i="20"/>
  <c r="C237" i="70"/>
  <c r="F248" i="20"/>
  <c r="C243" i="70"/>
  <c r="F247" i="20"/>
  <c r="C242" i="70"/>
  <c r="F270" i="20"/>
  <c r="C265" i="70"/>
  <c r="F269" i="20"/>
  <c r="C264" i="70"/>
  <c r="F282" i="20"/>
  <c r="C277" i="70"/>
  <c r="F283" i="20"/>
  <c r="C278" i="70"/>
  <c r="F288" i="20"/>
  <c r="C283" i="70"/>
  <c r="F298" i="20"/>
  <c r="C293" i="70"/>
  <c r="F297" i="20"/>
  <c r="C292" i="70"/>
  <c r="F305" i="20"/>
  <c r="C300" i="70"/>
  <c r="F295" i="20"/>
  <c r="C290" i="70"/>
  <c r="F196" i="20"/>
  <c r="C191" i="70"/>
  <c r="F296" i="20"/>
  <c r="C291" i="70"/>
  <c r="F306" i="20"/>
  <c r="C301" i="70"/>
  <c r="F286" i="20"/>
  <c r="C281" i="70"/>
  <c r="F256" i="20"/>
  <c r="C251" i="70"/>
  <c r="F275" i="20"/>
  <c r="C270" i="70"/>
  <c r="F215" i="20"/>
  <c r="C210" i="70"/>
  <c r="F206" i="20"/>
  <c r="C201" i="70"/>
  <c r="F216" i="20"/>
  <c r="C211" i="70"/>
  <c r="F161" i="20"/>
  <c r="C156" i="70"/>
  <c r="F163" i="20"/>
  <c r="C158" i="70"/>
  <c r="F192" i="20"/>
  <c r="C187" i="70"/>
  <c r="F208" i="20"/>
  <c r="C203" i="70"/>
  <c r="F207" i="20"/>
  <c r="C202" i="70"/>
  <c r="F260" i="20"/>
  <c r="C255" i="70"/>
  <c r="F259" i="20"/>
  <c r="C254" i="70"/>
  <c r="F311" i="20"/>
  <c r="C306" i="70"/>
  <c r="F313" i="20"/>
  <c r="C308" i="70"/>
  <c r="F172" i="20"/>
  <c r="C167" i="70"/>
  <c r="F181" i="20"/>
  <c r="C176" i="70"/>
  <c r="F177" i="20"/>
  <c r="C172" i="70"/>
  <c r="F200" i="20"/>
  <c r="C195" i="70"/>
  <c r="F199" i="20"/>
  <c r="C194" i="70"/>
  <c r="F223" i="20"/>
  <c r="C218" i="70"/>
  <c r="F222" i="20"/>
  <c r="C217" i="70"/>
  <c r="F232" i="20"/>
  <c r="C227" i="70"/>
  <c r="F238" i="20"/>
  <c r="C233" i="70"/>
  <c r="F237" i="20"/>
  <c r="C232" i="70"/>
  <c r="F250" i="20"/>
  <c r="C245" i="70"/>
  <c r="F249" i="20"/>
  <c r="C244" i="70"/>
  <c r="F271" i="20"/>
  <c r="C266" i="70"/>
  <c r="F273" i="20"/>
  <c r="C268" i="70"/>
  <c r="F280" i="20"/>
  <c r="C275" i="70"/>
  <c r="F293" i="20"/>
  <c r="C288" i="70"/>
  <c r="F290" i="20"/>
  <c r="C285" i="70"/>
  <c r="F300" i="20"/>
  <c r="C295" i="70"/>
  <c r="F299" i="20"/>
  <c r="C294" i="70"/>
  <c r="F96" i="20"/>
  <c r="C91" i="70"/>
  <c r="F140" i="20"/>
  <c r="C135" i="70"/>
  <c r="F61" i="20"/>
  <c r="C56" i="70"/>
  <c r="F77" i="20"/>
  <c r="C72" i="70"/>
  <c r="F93" i="20"/>
  <c r="C88" i="70"/>
  <c r="F109" i="20"/>
  <c r="C104" i="70"/>
  <c r="F64" i="20"/>
  <c r="C59" i="70"/>
  <c r="F214" i="20"/>
  <c r="C209" i="70"/>
  <c r="F234" i="20"/>
  <c r="C229" i="70"/>
  <c r="F174" i="20"/>
  <c r="C169" i="70"/>
  <c r="F166" i="20"/>
  <c r="C161" i="70"/>
  <c r="F156" i="20"/>
  <c r="C151" i="70"/>
  <c r="F315" i="20"/>
  <c r="C309" i="70"/>
  <c r="F266" i="20"/>
  <c r="C261" i="70"/>
  <c r="F316" i="20"/>
  <c r="C310" i="70"/>
  <c r="F274" i="20"/>
  <c r="C269" i="70"/>
  <c r="F162" i="20"/>
  <c r="C157" i="70"/>
  <c r="F188" i="20"/>
  <c r="C183" i="70"/>
  <c r="F187" i="20"/>
  <c r="C182" i="70"/>
  <c r="F210" i="20"/>
  <c r="C205" i="70"/>
  <c r="F209" i="20"/>
  <c r="C204" i="70"/>
  <c r="F261" i="20"/>
  <c r="C256" i="70"/>
  <c r="F263" i="20"/>
  <c r="C258" i="70"/>
  <c r="F312" i="20"/>
  <c r="C307" i="70"/>
  <c r="F168" i="20"/>
  <c r="C163" i="70"/>
  <c r="F167" i="20"/>
  <c r="C162" i="70"/>
  <c r="F178" i="20"/>
  <c r="C173" i="70"/>
  <c r="F179" i="20"/>
  <c r="C174" i="70"/>
  <c r="F201" i="20"/>
  <c r="C196" i="70"/>
  <c r="F203" i="20"/>
  <c r="C198" i="70"/>
  <c r="F220" i="20"/>
  <c r="C215" i="70"/>
  <c r="F228" i="20"/>
  <c r="C223" i="70"/>
  <c r="F227" i="20"/>
  <c r="C222" i="70"/>
  <c r="F240" i="20"/>
  <c r="C235" i="70"/>
  <c r="F239" i="20"/>
  <c r="C234" i="70"/>
  <c r="F251" i="20"/>
  <c r="C246" i="70"/>
  <c r="F253" i="20"/>
  <c r="C248" i="70"/>
  <c r="F272" i="20"/>
  <c r="C267" i="70"/>
  <c r="F281" i="20"/>
  <c r="C276" i="70"/>
  <c r="F277" i="20"/>
  <c r="C272" i="70"/>
  <c r="F287" i="20"/>
  <c r="C282" i="70"/>
  <c r="F291" i="20"/>
  <c r="C286" i="70"/>
  <c r="F301" i="20"/>
  <c r="C296" i="70"/>
  <c r="F303" i="20"/>
  <c r="C298" i="70"/>
  <c r="F108" i="20"/>
  <c r="C103" i="70"/>
  <c r="F65" i="20"/>
  <c r="C60" i="70"/>
  <c r="F81" i="20"/>
  <c r="C76" i="70"/>
  <c r="F97" i="20"/>
  <c r="C92" i="70"/>
  <c r="F113" i="20"/>
  <c r="C108" i="70"/>
  <c r="F129" i="20"/>
  <c r="C124" i="70"/>
  <c r="F145" i="20"/>
  <c r="C140" i="70"/>
  <c r="F76" i="20"/>
  <c r="C71" i="70"/>
  <c r="F132" i="20"/>
  <c r="C127" i="70"/>
  <c r="F58" i="20"/>
  <c r="C53" i="70"/>
  <c r="F74" i="20"/>
  <c r="C69" i="70"/>
  <c r="F90" i="20"/>
  <c r="C85" i="70"/>
  <c r="F106" i="20"/>
  <c r="C101" i="70"/>
  <c r="F122" i="20"/>
  <c r="C117" i="70"/>
  <c r="F138" i="20"/>
  <c r="C133" i="70"/>
  <c r="F154" i="20"/>
  <c r="C149" i="70"/>
  <c r="F56" i="20"/>
  <c r="C51" i="70"/>
  <c r="F104" i="20"/>
  <c r="C99" i="70"/>
  <c r="F148" i="20"/>
  <c r="C143" i="70"/>
  <c r="F63" i="20"/>
  <c r="C58" i="70"/>
  <c r="F79" i="20"/>
  <c r="C74" i="70"/>
  <c r="F95" i="20"/>
  <c r="C90" i="70"/>
  <c r="F111" i="20"/>
  <c r="C106" i="70"/>
  <c r="F127" i="20"/>
  <c r="C122" i="70"/>
  <c r="F143" i="20"/>
  <c r="C138" i="70"/>
  <c r="F235" i="20"/>
  <c r="C230" i="70"/>
  <c r="F176" i="20"/>
  <c r="C171" i="70"/>
  <c r="F195" i="20"/>
  <c r="C190" i="70"/>
  <c r="F285" i="20"/>
  <c r="C280" i="70"/>
  <c r="F236" i="20"/>
  <c r="C231" i="70"/>
  <c r="F186" i="20"/>
  <c r="C181" i="70"/>
  <c r="F264" i="20"/>
  <c r="C259" i="70"/>
  <c r="F194" i="20"/>
  <c r="C189" i="70"/>
  <c r="F265" i="20"/>
  <c r="C260" i="70"/>
  <c r="F204" i="20"/>
  <c r="C199" i="70"/>
  <c r="F225" i="20"/>
  <c r="C220" i="70"/>
  <c r="F185" i="20"/>
  <c r="C180" i="70"/>
  <c r="F318" i="20"/>
  <c r="C312" i="70"/>
  <c r="F319" i="20"/>
  <c r="C313" i="70"/>
  <c r="F158" i="20"/>
  <c r="C153" i="70"/>
  <c r="F157" i="20"/>
  <c r="C152" i="70"/>
  <c r="F190" i="20"/>
  <c r="C185" i="70"/>
  <c r="F189" i="20"/>
  <c r="C184" i="70"/>
  <c r="F211" i="20"/>
  <c r="C206" i="70"/>
  <c r="F213" i="20"/>
  <c r="C208" i="70"/>
  <c r="F262" i="20"/>
  <c r="C257" i="70"/>
  <c r="F308" i="20"/>
  <c r="C303" i="70"/>
  <c r="F307" i="20"/>
  <c r="C302" i="70"/>
  <c r="F170" i="20"/>
  <c r="C165" i="70"/>
  <c r="F169" i="20"/>
  <c r="C164" i="70"/>
  <c r="F180" i="20"/>
  <c r="C175" i="70"/>
  <c r="F183" i="20"/>
  <c r="C178" i="70"/>
  <c r="F202" i="20"/>
  <c r="C197" i="70"/>
  <c r="F217" i="20"/>
  <c r="C212" i="70"/>
  <c r="F218" i="20"/>
  <c r="C213" i="70"/>
  <c r="F230" i="20"/>
  <c r="C225" i="70"/>
  <c r="F229" i="20"/>
  <c r="C224" i="70"/>
  <c r="F241" i="20"/>
  <c r="C236" i="70"/>
  <c r="F243" i="20"/>
  <c r="C238" i="70"/>
  <c r="F252" i="20"/>
  <c r="C247" i="70"/>
  <c r="F268" i="20"/>
  <c r="C263" i="70"/>
  <c r="F267" i="20"/>
  <c r="C262" i="70"/>
  <c r="F278" i="20"/>
  <c r="C273" i="70"/>
  <c r="F279" i="20"/>
  <c r="C274" i="70"/>
  <c r="F289" i="20"/>
  <c r="C284" i="70"/>
  <c r="F292" i="20"/>
  <c r="C287" i="70"/>
  <c r="F302" i="20"/>
  <c r="C297" i="70"/>
  <c r="F72" i="20"/>
  <c r="C67" i="70"/>
  <c r="F120" i="20"/>
  <c r="C115" i="70"/>
  <c r="F117" i="20"/>
  <c r="C112" i="70"/>
  <c r="F133" i="20"/>
  <c r="C128" i="70"/>
  <c r="F149" i="20"/>
  <c r="C144" i="70"/>
  <c r="F88" i="20"/>
  <c r="C83" i="70"/>
  <c r="F78" i="20"/>
  <c r="C73" i="70"/>
  <c r="F94" i="20"/>
  <c r="C89" i="70"/>
  <c r="F110" i="20"/>
  <c r="C105" i="70"/>
  <c r="F142" i="20"/>
  <c r="C137" i="70"/>
  <c r="F31" i="20"/>
  <c r="F25" i="20"/>
  <c r="F23" i="20"/>
  <c r="F40" i="20"/>
  <c r="F28" i="20"/>
  <c r="F26" i="20"/>
  <c r="F16" i="20"/>
  <c r="F13" i="20"/>
  <c r="O46" i="66"/>
  <c r="F14" i="20"/>
  <c r="F18" i="20"/>
  <c r="BS21" i="66"/>
  <c r="BS21" i="67"/>
  <c r="BS21" i="68"/>
  <c r="BM44" i="68"/>
  <c r="BM44" i="64"/>
  <c r="CA21" i="67"/>
  <c r="O46" i="68"/>
  <c r="BA46" i="67"/>
  <c r="BM35" i="68"/>
  <c r="BM28" i="68"/>
  <c r="BY13" i="64"/>
  <c r="BM44" i="66"/>
  <c r="BD1" i="67"/>
  <c r="Z46" i="68"/>
  <c r="E46" i="68"/>
  <c r="BO35" i="66"/>
  <c r="BE61" i="68"/>
  <c r="BE61" i="66"/>
  <c r="BE61" i="64"/>
  <c r="BD1" i="68"/>
  <c r="CA13" i="66"/>
  <c r="BD1" i="66"/>
  <c r="CA13" i="67"/>
  <c r="BE61" i="67"/>
  <c r="BU21" i="68"/>
  <c r="AE46" i="68"/>
  <c r="BO44" i="68"/>
  <c r="AY46" i="68"/>
  <c r="BO44" i="64"/>
  <c r="BV13" i="64"/>
  <c r="CA13" i="64"/>
  <c r="BO44" i="66"/>
  <c r="CA21" i="64"/>
  <c r="BS13" i="66"/>
  <c r="AY46" i="64"/>
  <c r="AE46" i="67"/>
  <c r="K46" i="68"/>
  <c r="CA21" i="66"/>
  <c r="AE46" i="66"/>
  <c r="F46" i="66"/>
  <c r="BO13" i="68"/>
  <c r="BT13" i="67"/>
  <c r="E65" i="67"/>
  <c r="BU13" i="66"/>
  <c r="BM51" i="68"/>
  <c r="U46" i="64"/>
  <c r="BO13" i="64"/>
  <c r="BN44" i="67"/>
  <c r="Z46" i="64"/>
  <c r="E65" i="66"/>
  <c r="BO13" i="66"/>
  <c r="BN44" i="68"/>
  <c r="AE46" i="64"/>
  <c r="E65" i="64"/>
  <c r="BM35" i="64"/>
  <c r="BU21" i="64"/>
  <c r="K46" i="64"/>
  <c r="BU21" i="66"/>
  <c r="O46" i="64"/>
  <c r="BM28" i="64"/>
  <c r="BT13" i="64"/>
  <c r="BY13" i="66"/>
  <c r="BM28" i="66"/>
  <c r="BY13" i="68"/>
  <c r="BM35" i="66"/>
  <c r="E46" i="66"/>
  <c r="AY46" i="66"/>
  <c r="Z46" i="66"/>
  <c r="BM13" i="67"/>
  <c r="U46" i="66"/>
  <c r="BM13" i="66"/>
  <c r="BM13" i="64"/>
  <c r="BT21" i="67"/>
  <c r="BO21" i="68"/>
  <c r="BM51" i="67"/>
  <c r="K46" i="67"/>
  <c r="BU13" i="68"/>
  <c r="BU13" i="64"/>
  <c r="BM35" i="67"/>
  <c r="BO51" i="66"/>
  <c r="U46" i="67"/>
  <c r="BO51" i="64"/>
  <c r="E46" i="67"/>
  <c r="BO51" i="67"/>
  <c r="O46" i="67"/>
  <c r="AY46" i="67"/>
  <c r="BM51" i="64"/>
  <c r="Z46" i="67"/>
  <c r="BY21" i="67"/>
  <c r="BT21" i="64"/>
  <c r="BT21" i="68"/>
  <c r="BY21" i="68"/>
  <c r="L46" i="67"/>
  <c r="BL7" i="68"/>
  <c r="BL28" i="68" s="1"/>
  <c r="BN44" i="64"/>
  <c r="BX21" i="64"/>
  <c r="BM21" i="64"/>
  <c r="BP44" i="66"/>
  <c r="BO21" i="67"/>
  <c r="BO21" i="66"/>
  <c r="BZ21" i="68"/>
  <c r="CB21" i="66"/>
  <c r="BP7" i="64"/>
  <c r="BB46" i="64" s="1"/>
  <c r="BZ21" i="67"/>
  <c r="BN28" i="67"/>
  <c r="BP7" i="68"/>
  <c r="BP35" i="68" s="1"/>
  <c r="BV21" i="67"/>
  <c r="BN13" i="67"/>
  <c r="BP13" i="64"/>
  <c r="BS13" i="67"/>
  <c r="CB13" i="66"/>
  <c r="BP7" i="67"/>
  <c r="BP35" i="67" s="1"/>
  <c r="BA46" i="64"/>
  <c r="BS13" i="68"/>
  <c r="BP21" i="64"/>
  <c r="BN13" i="66"/>
  <c r="BP7" i="66"/>
  <c r="BB46" i="66" s="1"/>
  <c r="BN35" i="67"/>
  <c r="P46" i="66"/>
  <c r="BN28" i="68"/>
  <c r="L46" i="64"/>
  <c r="V46" i="66"/>
  <c r="BL7" i="64"/>
  <c r="BL35" i="64" s="1"/>
  <c r="BR21" i="67"/>
  <c r="BM21" i="68"/>
  <c r="BN35" i="66"/>
  <c r="P46" i="64"/>
  <c r="BN51" i="66"/>
  <c r="BY21" i="64"/>
  <c r="BN51" i="68"/>
  <c r="BM21" i="66"/>
  <c r="AF46" i="66"/>
  <c r="AA46" i="64"/>
  <c r="BN51" i="64"/>
  <c r="BL51" i="64"/>
  <c r="BN28" i="66"/>
  <c r="AF46" i="67"/>
  <c r="BL13" i="66"/>
  <c r="L46" i="66"/>
  <c r="AZ46" i="66"/>
  <c r="BL7" i="67"/>
  <c r="BL28" i="67" s="1"/>
  <c r="AZ46" i="64"/>
  <c r="V46" i="68"/>
  <c r="BN21" i="68"/>
  <c r="AF46" i="68"/>
  <c r="D72" i="8"/>
  <c r="BZ13" i="68"/>
  <c r="F46" i="68"/>
  <c r="AF46" i="64"/>
  <c r="BN21" i="67"/>
  <c r="BZ13" i="64"/>
  <c r="AZ46" i="68"/>
  <c r="V46" i="64"/>
  <c r="BZ13" i="66"/>
  <c r="AA46" i="68"/>
  <c r="BN28" i="64"/>
  <c r="BO35" i="68"/>
  <c r="BN21" i="66"/>
  <c r="L46" i="68"/>
  <c r="Q20" i="66"/>
  <c r="BT13" i="66"/>
  <c r="D20" i="64"/>
  <c r="BZ21" i="66"/>
  <c r="BN13" i="68"/>
  <c r="AA46" i="67"/>
  <c r="P46" i="67"/>
  <c r="BX13" i="68"/>
  <c r="BL7" i="66"/>
  <c r="BL35" i="66" s="1"/>
  <c r="BR13" i="67"/>
  <c r="P46" i="68"/>
  <c r="BN35" i="64"/>
  <c r="F46" i="67"/>
  <c r="V46" i="67"/>
  <c r="G8" i="64"/>
  <c r="H8" i="64"/>
  <c r="E79" i="64" s="1"/>
  <c r="J8" i="64"/>
  <c r="I8" i="64"/>
  <c r="E80" i="64" s="1"/>
  <c r="D8" i="64"/>
  <c r="E8" i="64"/>
  <c r="F8" i="64"/>
  <c r="D8" i="66"/>
  <c r="I8" i="66"/>
  <c r="E80" i="66" s="1"/>
  <c r="E8" i="66"/>
  <c r="F8" i="66"/>
  <c r="J8" i="66"/>
  <c r="G8" i="66"/>
  <c r="H8" i="66"/>
  <c r="E79" i="66" s="1"/>
  <c r="D8" i="67"/>
  <c r="G8" i="67"/>
  <c r="I8" i="67"/>
  <c r="E80" i="67" s="1"/>
  <c r="J8" i="67"/>
  <c r="E8" i="67"/>
  <c r="F8" i="67"/>
  <c r="H8" i="67"/>
  <c r="E79" i="67" s="1"/>
  <c r="E8" i="68"/>
  <c r="G8" i="68"/>
  <c r="D8" i="68"/>
  <c r="I8" i="68"/>
  <c r="E80" i="68" s="1"/>
  <c r="H8" i="68"/>
  <c r="E79" i="68" s="1"/>
  <c r="J8" i="68"/>
  <c r="F8" i="68"/>
  <c r="BP51" i="67"/>
  <c r="BP51" i="64"/>
  <c r="BP51" i="68"/>
  <c r="BP51" i="66"/>
  <c r="BV13" i="67"/>
  <c r="BL44" i="64"/>
  <c r="BL44" i="67"/>
  <c r="BL44" i="66"/>
  <c r="BL44" i="68"/>
  <c r="C49" i="8"/>
  <c r="C42" i="24"/>
  <c r="Q10" i="20"/>
  <c r="G9" i="20"/>
  <c r="I10" i="20"/>
  <c r="AB10" i="20"/>
  <c r="S10" i="20"/>
  <c r="A1" i="48"/>
  <c r="C71" i="24"/>
  <c r="B9" i="24"/>
  <c r="M10" i="20"/>
  <c r="F8" i="24" l="1"/>
  <c r="D12" i="66"/>
  <c r="C29" i="24"/>
  <c r="C26" i="24"/>
  <c r="C41" i="24"/>
  <c r="C30" i="24"/>
  <c r="G64" i="8"/>
  <c r="C36" i="24"/>
  <c r="D41" i="20"/>
  <c r="O12" i="68"/>
  <c r="D40" i="20"/>
  <c r="C47" i="24"/>
  <c r="C60" i="24"/>
  <c r="D36" i="20"/>
  <c r="C53" i="24"/>
  <c r="C27" i="24"/>
  <c r="C55" i="24"/>
  <c r="D43" i="20"/>
  <c r="D37" i="20"/>
  <c r="D38" i="20"/>
  <c r="D42" i="20"/>
  <c r="F72" i="8"/>
  <c r="F64" i="8"/>
  <c r="C59" i="24"/>
  <c r="D33" i="20"/>
  <c r="C35" i="24"/>
  <c r="C50" i="24"/>
  <c r="D32" i="20"/>
  <c r="D34" i="20"/>
  <c r="O12" i="67"/>
  <c r="D12" i="67"/>
  <c r="D23" i="20"/>
  <c r="C46" i="24"/>
  <c r="C33" i="24"/>
  <c r="C32" i="24"/>
  <c r="D26" i="20"/>
  <c r="D29" i="20"/>
  <c r="C57" i="24"/>
  <c r="C49" i="24"/>
  <c r="D44" i="20"/>
  <c r="C40" i="24"/>
  <c r="D39" i="20"/>
  <c r="D22" i="20"/>
  <c r="C44" i="24"/>
  <c r="D21" i="20"/>
  <c r="D35" i="20"/>
  <c r="D25" i="20"/>
  <c r="D28" i="20"/>
  <c r="D24" i="20"/>
  <c r="C43" i="24"/>
  <c r="C52" i="24"/>
  <c r="D12" i="64"/>
  <c r="O12" i="66"/>
  <c r="D31" i="20"/>
  <c r="D27" i="20"/>
  <c r="O12" i="64"/>
  <c r="D12" i="68"/>
  <c r="D20" i="20"/>
  <c r="BV13" i="66"/>
  <c r="BV13" i="68"/>
  <c r="AX46" i="68"/>
  <c r="BL35" i="68"/>
  <c r="BV21" i="64"/>
  <c r="BV21" i="66"/>
  <c r="D20" i="68"/>
  <c r="CB21" i="68"/>
  <c r="D20" i="67"/>
  <c r="BP21" i="68"/>
  <c r="BP21" i="67"/>
  <c r="BP21" i="66"/>
  <c r="AX46" i="66"/>
  <c r="BL35" i="67"/>
  <c r="AX46" i="67"/>
  <c r="BB46" i="68"/>
  <c r="D20" i="66"/>
  <c r="AX46" i="64"/>
  <c r="BP44" i="68"/>
  <c r="BV21" i="68"/>
  <c r="CB13" i="68"/>
  <c r="BP44" i="67"/>
  <c r="BL13" i="64"/>
  <c r="BL21" i="66"/>
  <c r="J22" i="66" s="1"/>
  <c r="BL21" i="64"/>
  <c r="I22" i="64" s="1"/>
  <c r="BL21" i="67"/>
  <c r="J22" i="67" s="1"/>
  <c r="Q20" i="67"/>
  <c r="Q20" i="68"/>
  <c r="BL21" i="68"/>
  <c r="J22" i="68" s="1"/>
  <c r="BP44" i="64"/>
  <c r="BL13" i="67"/>
  <c r="BB46" i="67"/>
  <c r="BL13" i="68"/>
  <c r="BP35" i="66"/>
  <c r="CB13" i="67"/>
  <c r="BR21" i="64"/>
  <c r="BX21" i="68"/>
  <c r="CB13" i="64"/>
  <c r="BP13" i="67"/>
  <c r="BL28" i="64"/>
  <c r="BR21" i="68"/>
  <c r="BX21" i="66"/>
  <c r="BP13" i="68"/>
  <c r="BR21" i="66"/>
  <c r="BP13" i="66"/>
  <c r="BL51" i="66"/>
  <c r="BL51" i="68"/>
  <c r="BP35" i="64"/>
  <c r="BX21" i="67"/>
  <c r="BL51" i="67"/>
  <c r="CB21" i="67"/>
  <c r="Q20" i="64"/>
  <c r="CB21" i="64"/>
  <c r="BX13" i="67"/>
  <c r="BX13" i="64"/>
  <c r="BX13" i="66"/>
  <c r="H82" i="67"/>
  <c r="BL28" i="66"/>
  <c r="BR13" i="68"/>
  <c r="BR13" i="64"/>
  <c r="BR13" i="66"/>
  <c r="H82" i="66"/>
  <c r="H82" i="68"/>
  <c r="A8" i="67"/>
  <c r="I82" i="67" s="1"/>
  <c r="A8" i="66"/>
  <c r="I82" i="66" s="1"/>
  <c r="H82" i="64"/>
  <c r="A8" i="68"/>
  <c r="I82" i="68" s="1"/>
  <c r="BL8" i="68"/>
  <c r="BM8" i="68"/>
  <c r="BM8" i="66"/>
  <c r="BL8" i="66"/>
  <c r="BM8" i="64"/>
  <c r="BL8" i="64"/>
  <c r="BL8" i="67"/>
  <c r="BM8" i="67"/>
  <c r="A8" i="64"/>
  <c r="I82" i="64" s="1"/>
  <c r="S14" i="68"/>
  <c r="R14" i="68"/>
  <c r="O14" i="68"/>
  <c r="P14" i="68"/>
  <c r="K84" i="68" s="1"/>
  <c r="Q14" i="68"/>
  <c r="R36" i="67"/>
  <c r="T38" i="67"/>
  <c r="AH38" i="67"/>
  <c r="F38" i="67"/>
  <c r="AY38" i="67" s="1"/>
  <c r="AC40" i="67"/>
  <c r="P36" i="67"/>
  <c r="D38" i="67"/>
  <c r="X36" i="67"/>
  <c r="D36" i="67"/>
  <c r="T40" i="67"/>
  <c r="AB38" i="67"/>
  <c r="N40" i="67"/>
  <c r="BB40" i="67" s="1"/>
  <c r="AE38" i="67"/>
  <c r="AE40" i="67"/>
  <c r="R40" i="67"/>
  <c r="U40" i="67"/>
  <c r="F40" i="67"/>
  <c r="AY40" i="67" s="1"/>
  <c r="J36" i="67"/>
  <c r="Z40" i="67"/>
  <c r="L40" i="67"/>
  <c r="D40" i="67"/>
  <c r="W40" i="67"/>
  <c r="M36" i="67"/>
  <c r="AA40" i="67"/>
  <c r="Z38" i="67"/>
  <c r="T36" i="67"/>
  <c r="E36" i="67"/>
  <c r="V40" i="67"/>
  <c r="N38" i="67"/>
  <c r="BB38" i="67" s="1"/>
  <c r="L36" i="67"/>
  <c r="W36" i="67"/>
  <c r="U36" i="67"/>
  <c r="J38" i="67"/>
  <c r="N36" i="67"/>
  <c r="AE36" i="67"/>
  <c r="J40" i="67"/>
  <c r="E40" i="67"/>
  <c r="AX40" i="67" s="1"/>
  <c r="AG36" i="67"/>
  <c r="E38" i="67"/>
  <c r="AX38" i="67" s="1"/>
  <c r="AG40" i="67"/>
  <c r="BE40" i="67" s="1"/>
  <c r="V36" i="67"/>
  <c r="Q36" i="67"/>
  <c r="G36" i="67"/>
  <c r="U38" i="67"/>
  <c r="R38" i="67"/>
  <c r="AC36" i="67"/>
  <c r="AA36" i="67"/>
  <c r="K40" i="67"/>
  <c r="AF38" i="67"/>
  <c r="BD38" i="67" s="1"/>
  <c r="K36" i="67"/>
  <c r="AC38" i="67"/>
  <c r="G38" i="67"/>
  <c r="AZ38" i="67" s="1"/>
  <c r="AF40" i="67"/>
  <c r="BD40" i="67" s="1"/>
  <c r="K38" i="67"/>
  <c r="AB40" i="67"/>
  <c r="H36" i="67"/>
  <c r="Z36" i="67"/>
  <c r="P38" i="67"/>
  <c r="P40" i="67"/>
  <c r="X38" i="67"/>
  <c r="G40" i="67"/>
  <c r="AZ40" i="67" s="1"/>
  <c r="AB36" i="67"/>
  <c r="Q38" i="67"/>
  <c r="AH40" i="67"/>
  <c r="F36" i="67"/>
  <c r="H38" i="67"/>
  <c r="Q40" i="67"/>
  <c r="X40" i="67"/>
  <c r="AF36" i="67"/>
  <c r="AH36" i="67"/>
  <c r="AG38" i="67"/>
  <c r="BE38" i="67" s="1"/>
  <c r="H40" i="67"/>
  <c r="L38" i="67"/>
  <c r="M40" i="67"/>
  <c r="BA40" i="67" s="1"/>
  <c r="W38" i="67"/>
  <c r="AA38" i="67"/>
  <c r="M38" i="67"/>
  <c r="BA38" i="67" s="1"/>
  <c r="V38" i="67"/>
  <c r="D14" i="67"/>
  <c r="E14" i="67"/>
  <c r="F14" i="67"/>
  <c r="H14" i="67"/>
  <c r="G14" i="67"/>
  <c r="N29" i="64"/>
  <c r="O29" i="64"/>
  <c r="E101" i="64" s="1"/>
  <c r="L29" i="64"/>
  <c r="R29" i="64"/>
  <c r="P29" i="64"/>
  <c r="E102" i="64" s="1"/>
  <c r="M29" i="64"/>
  <c r="Q29" i="64"/>
  <c r="U22" i="68"/>
  <c r="X22" i="68"/>
  <c r="K96" i="68" s="1"/>
  <c r="T22" i="68"/>
  <c r="K92" i="68" s="1"/>
  <c r="W22" i="68"/>
  <c r="V22" i="68"/>
  <c r="Q22" i="68"/>
  <c r="S22" i="68"/>
  <c r="R22" i="68"/>
  <c r="W52" i="67"/>
  <c r="E141" i="67" s="1"/>
  <c r="V52" i="67"/>
  <c r="U52" i="67"/>
  <c r="X52" i="67"/>
  <c r="E142" i="67" s="1"/>
  <c r="Y52" i="67"/>
  <c r="Y52" i="64"/>
  <c r="X52" i="64"/>
  <c r="E142" i="64" s="1"/>
  <c r="W52" i="64"/>
  <c r="E141" i="64" s="1"/>
  <c r="U52" i="64"/>
  <c r="V52" i="64"/>
  <c r="G36" i="68"/>
  <c r="P36" i="68"/>
  <c r="K40" i="68"/>
  <c r="V36" i="68"/>
  <c r="V40" i="68"/>
  <c r="U36" i="68"/>
  <c r="K38" i="68"/>
  <c r="AG38" i="68"/>
  <c r="BE38" i="68" s="1"/>
  <c r="AA38" i="68"/>
  <c r="R40" i="68"/>
  <c r="AH38" i="68"/>
  <c r="AG40" i="68"/>
  <c r="BE40" i="68" s="1"/>
  <c r="N38" i="68"/>
  <c r="BB38" i="68" s="1"/>
  <c r="N40" i="68"/>
  <c r="BB40" i="68" s="1"/>
  <c r="E36" i="68"/>
  <c r="AH40" i="68"/>
  <c r="Z36" i="68"/>
  <c r="AB36" i="68"/>
  <c r="N36" i="68"/>
  <c r="H38" i="68"/>
  <c r="Q40" i="68"/>
  <c r="M40" i="68"/>
  <c r="BA40" i="68" s="1"/>
  <c r="G38" i="68"/>
  <c r="AZ38" i="68" s="1"/>
  <c r="AH36" i="68"/>
  <c r="D38" i="68"/>
  <c r="F36" i="68"/>
  <c r="U40" i="68"/>
  <c r="U38" i="68"/>
  <c r="Z40" i="68"/>
  <c r="AB38" i="68"/>
  <c r="AG36" i="68"/>
  <c r="AA36" i="68"/>
  <c r="AC40" i="68"/>
  <c r="AF38" i="68"/>
  <c r="BD38" i="68" s="1"/>
  <c r="E38" i="68"/>
  <c r="AX38" i="68" s="1"/>
  <c r="AC38" i="68"/>
  <c r="W36" i="68"/>
  <c r="AE40" i="68"/>
  <c r="E40" i="68"/>
  <c r="AX40" i="68" s="1"/>
  <c r="G40" i="68"/>
  <c r="AZ40" i="68" s="1"/>
  <c r="J38" i="68"/>
  <c r="V38" i="68"/>
  <c r="J36" i="68"/>
  <c r="J40" i="68"/>
  <c r="Q38" i="68"/>
  <c r="L38" i="68"/>
  <c r="X36" i="68"/>
  <c r="D40" i="68"/>
  <c r="H36" i="68"/>
  <c r="AC36" i="68"/>
  <c r="Z38" i="68"/>
  <c r="W38" i="68"/>
  <c r="AB40" i="68"/>
  <c r="X40" i="68"/>
  <c r="X38" i="68"/>
  <c r="T36" i="68"/>
  <c r="F40" i="68"/>
  <c r="AY40" i="68" s="1"/>
  <c r="L40" i="68"/>
  <c r="AE36" i="68"/>
  <c r="AF36" i="68"/>
  <c r="L36" i="68"/>
  <c r="Q36" i="68"/>
  <c r="AA40" i="68"/>
  <c r="K36" i="68"/>
  <c r="AE38" i="68"/>
  <c r="H40" i="68"/>
  <c r="M36" i="68"/>
  <c r="R38" i="68"/>
  <c r="AF40" i="68"/>
  <c r="BD40" i="68" s="1"/>
  <c r="F38" i="68"/>
  <c r="AY38" i="68" s="1"/>
  <c r="T40" i="68"/>
  <c r="R36" i="68"/>
  <c r="P40" i="68"/>
  <c r="M38" i="68"/>
  <c r="BA38" i="68" s="1"/>
  <c r="T38" i="68"/>
  <c r="P38" i="68"/>
  <c r="W40" i="68"/>
  <c r="D36" i="68"/>
  <c r="H22" i="67"/>
  <c r="D22" i="67"/>
  <c r="F22" i="67"/>
  <c r="K22" i="67"/>
  <c r="E22" i="67"/>
  <c r="G22" i="67"/>
  <c r="G14" i="66"/>
  <c r="F14" i="66"/>
  <c r="H14" i="66"/>
  <c r="D14" i="66"/>
  <c r="E14" i="66"/>
  <c r="E14" i="68"/>
  <c r="D14" i="68"/>
  <c r="F14" i="68"/>
  <c r="H14" i="68"/>
  <c r="G14" i="68"/>
  <c r="T36" i="64"/>
  <c r="AH38" i="64"/>
  <c r="V38" i="64"/>
  <c r="T40" i="64"/>
  <c r="G40" i="64"/>
  <c r="AZ40" i="64" s="1"/>
  <c r="R36" i="64"/>
  <c r="D40" i="64"/>
  <c r="D38" i="64"/>
  <c r="U38" i="64"/>
  <c r="AF38" i="64"/>
  <c r="BD38" i="64" s="1"/>
  <c r="K38" i="64"/>
  <c r="AG40" i="64"/>
  <c r="BE40" i="64" s="1"/>
  <c r="AA38" i="64"/>
  <c r="G36" i="64"/>
  <c r="R40" i="64"/>
  <c r="V36" i="64"/>
  <c r="AC36" i="64"/>
  <c r="L36" i="64"/>
  <c r="Z40" i="64"/>
  <c r="K40" i="64"/>
  <c r="G38" i="64"/>
  <c r="AZ38" i="64" s="1"/>
  <c r="AF36" i="64"/>
  <c r="P36" i="64"/>
  <c r="AF40" i="64"/>
  <c r="BD40" i="64" s="1"/>
  <c r="H36" i="64"/>
  <c r="U36" i="64"/>
  <c r="T38" i="64"/>
  <c r="AH36" i="64"/>
  <c r="D36" i="64"/>
  <c r="W40" i="64"/>
  <c r="J38" i="64"/>
  <c r="F36" i="64"/>
  <c r="Q36" i="64"/>
  <c r="H40" i="64"/>
  <c r="V40" i="64"/>
  <c r="W36" i="64"/>
  <c r="AA40" i="64"/>
  <c r="AC38" i="64"/>
  <c r="Q40" i="64"/>
  <c r="Z38" i="64"/>
  <c r="AG36" i="64"/>
  <c r="AE38" i="64"/>
  <c r="AE40" i="64"/>
  <c r="H38" i="64"/>
  <c r="P38" i="64"/>
  <c r="AA36" i="64"/>
  <c r="Q38" i="64"/>
  <c r="X38" i="64"/>
  <c r="AH40" i="64"/>
  <c r="U40" i="64"/>
  <c r="E36" i="64"/>
  <c r="F40" i="64"/>
  <c r="AY40" i="64" s="1"/>
  <c r="W38" i="64"/>
  <c r="AE36" i="64"/>
  <c r="X40" i="64"/>
  <c r="AB40" i="64"/>
  <c r="M38" i="64"/>
  <c r="BA38" i="64" s="1"/>
  <c r="AB38" i="64"/>
  <c r="J36" i="64"/>
  <c r="K36" i="64"/>
  <c r="AG38" i="64"/>
  <c r="BE38" i="64" s="1"/>
  <c r="M36" i="64"/>
  <c r="R38" i="64"/>
  <c r="N36" i="64"/>
  <c r="F38" i="64"/>
  <c r="AY38" i="64" s="1"/>
  <c r="N38" i="64"/>
  <c r="BB38" i="64" s="1"/>
  <c r="M40" i="64"/>
  <c r="BA40" i="64" s="1"/>
  <c r="Z36" i="64"/>
  <c r="J40" i="64"/>
  <c r="E38" i="64"/>
  <c r="AX38" i="64" s="1"/>
  <c r="L38" i="64"/>
  <c r="P40" i="64"/>
  <c r="X36" i="64"/>
  <c r="AC40" i="64"/>
  <c r="E40" i="64"/>
  <c r="AX40" i="64" s="1"/>
  <c r="N40" i="64"/>
  <c r="BB40" i="64" s="1"/>
  <c r="AB36" i="64"/>
  <c r="L40" i="64"/>
  <c r="X22" i="66"/>
  <c r="K96" i="66" s="1"/>
  <c r="Q22" i="66"/>
  <c r="V22" i="66"/>
  <c r="S22" i="66"/>
  <c r="R22" i="66"/>
  <c r="T22" i="66"/>
  <c r="K92" i="66" s="1"/>
  <c r="U22" i="66"/>
  <c r="W22" i="66"/>
  <c r="U22" i="67"/>
  <c r="Q22" i="67"/>
  <c r="V22" i="67"/>
  <c r="X22" i="67"/>
  <c r="K96" i="67" s="1"/>
  <c r="R22" i="67"/>
  <c r="W22" i="67"/>
  <c r="T22" i="67"/>
  <c r="K92" i="67" s="1"/>
  <c r="S22" i="67"/>
  <c r="Q29" i="68"/>
  <c r="O29" i="68"/>
  <c r="E101" i="68" s="1"/>
  <c r="N29" i="68"/>
  <c r="P29" i="68"/>
  <c r="E102" i="68" s="1"/>
  <c r="M29" i="68"/>
  <c r="R29" i="68"/>
  <c r="L29" i="68"/>
  <c r="G22" i="64"/>
  <c r="D22" i="64"/>
  <c r="E22" i="64"/>
  <c r="H22" i="64"/>
  <c r="F22" i="64"/>
  <c r="K22" i="64"/>
  <c r="F22" i="66"/>
  <c r="G22" i="66"/>
  <c r="D22" i="66"/>
  <c r="E22" i="66"/>
  <c r="K22" i="66"/>
  <c r="H22" i="66"/>
  <c r="S14" i="64"/>
  <c r="Q14" i="64"/>
  <c r="O14" i="64"/>
  <c r="P14" i="64"/>
  <c r="K84" i="64" s="1"/>
  <c r="R14" i="64"/>
  <c r="V38" i="66"/>
  <c r="Z36" i="66"/>
  <c r="K36" i="66"/>
  <c r="J38" i="66"/>
  <c r="U36" i="66"/>
  <c r="W40" i="66"/>
  <c r="F36" i="66"/>
  <c r="Z40" i="66"/>
  <c r="T40" i="66"/>
  <c r="AA36" i="66"/>
  <c r="AE40" i="66"/>
  <c r="G40" i="66"/>
  <c r="AZ40" i="66" s="1"/>
  <c r="AC40" i="66"/>
  <c r="X38" i="66"/>
  <c r="AG38" i="66"/>
  <c r="BE38" i="66" s="1"/>
  <c r="L40" i="66"/>
  <c r="AF40" i="66"/>
  <c r="BD40" i="66" s="1"/>
  <c r="J40" i="66"/>
  <c r="R36" i="66"/>
  <c r="J36" i="66"/>
  <c r="G36" i="66"/>
  <c r="AE36" i="66"/>
  <c r="AB38" i="66"/>
  <c r="P38" i="66"/>
  <c r="K38" i="66"/>
  <c r="H40" i="66"/>
  <c r="AB36" i="66"/>
  <c r="E36" i="66"/>
  <c r="Q40" i="66"/>
  <c r="R38" i="66"/>
  <c r="AC38" i="66"/>
  <c r="AF36" i="66"/>
  <c r="M36" i="66"/>
  <c r="G38" i="66"/>
  <c r="AZ38" i="66" s="1"/>
  <c r="D40" i="66"/>
  <c r="W38" i="66"/>
  <c r="Q36" i="66"/>
  <c r="L38" i="66"/>
  <c r="H38" i="66"/>
  <c r="H36" i="66"/>
  <c r="AB40" i="66"/>
  <c r="AA38" i="66"/>
  <c r="F40" i="66"/>
  <c r="AY40" i="66" s="1"/>
  <c r="AH38" i="66"/>
  <c r="AH36" i="66"/>
  <c r="F38" i="66"/>
  <c r="AY38" i="66" s="1"/>
  <c r="Q38" i="66"/>
  <c r="U38" i="66"/>
  <c r="AF38" i="66"/>
  <c r="BD38" i="66" s="1"/>
  <c r="N36" i="66"/>
  <c r="T38" i="66"/>
  <c r="P40" i="66"/>
  <c r="AG40" i="66"/>
  <c r="BE40" i="66" s="1"/>
  <c r="D38" i="66"/>
  <c r="R40" i="66"/>
  <c r="AG36" i="66"/>
  <c r="U40" i="66"/>
  <c r="W36" i="66"/>
  <c r="E38" i="66"/>
  <c r="AX38" i="66" s="1"/>
  <c r="K40" i="66"/>
  <c r="X36" i="66"/>
  <c r="T36" i="66"/>
  <c r="V40" i="66"/>
  <c r="M38" i="66"/>
  <c r="BA38" i="66" s="1"/>
  <c r="N40" i="66"/>
  <c r="BB40" i="66" s="1"/>
  <c r="AE38" i="66"/>
  <c r="P36" i="66"/>
  <c r="E40" i="66"/>
  <c r="AX40" i="66" s="1"/>
  <c r="AC36" i="66"/>
  <c r="D36" i="66"/>
  <c r="AH40" i="66"/>
  <c r="Z38" i="66"/>
  <c r="L36" i="66"/>
  <c r="V36" i="66"/>
  <c r="AA40" i="66"/>
  <c r="X40" i="66"/>
  <c r="N38" i="66"/>
  <c r="BB38" i="66" s="1"/>
  <c r="M40" i="66"/>
  <c r="BA40" i="66" s="1"/>
  <c r="N29" i="67"/>
  <c r="L29" i="67"/>
  <c r="R29" i="67"/>
  <c r="M29" i="67"/>
  <c r="O29" i="67"/>
  <c r="E101" i="67" s="1"/>
  <c r="P29" i="67"/>
  <c r="E102" i="67" s="1"/>
  <c r="Q29" i="67"/>
  <c r="D14" i="64"/>
  <c r="G14" i="64"/>
  <c r="E14" i="64"/>
  <c r="H14" i="64"/>
  <c r="F14" i="64"/>
  <c r="Q14" i="66"/>
  <c r="S14" i="66"/>
  <c r="O14" i="66"/>
  <c r="P14" i="66"/>
  <c r="K84" i="66" s="1"/>
  <c r="R14" i="66"/>
  <c r="S14" i="67"/>
  <c r="Q14" i="67"/>
  <c r="O14" i="67"/>
  <c r="R14" i="67"/>
  <c r="P14" i="67"/>
  <c r="K84" i="67" s="1"/>
  <c r="P29" i="66"/>
  <c r="E102" i="66" s="1"/>
  <c r="M29" i="66"/>
  <c r="L29" i="66"/>
  <c r="O29" i="66"/>
  <c r="E101" i="66" s="1"/>
  <c r="N29" i="66"/>
  <c r="R29" i="66"/>
  <c r="Q29" i="66"/>
  <c r="Q22" i="64"/>
  <c r="T22" i="64"/>
  <c r="K92" i="64" s="1"/>
  <c r="W22" i="64"/>
  <c r="V22" i="64"/>
  <c r="U22" i="64"/>
  <c r="X22" i="64"/>
  <c r="K96" i="64" s="1"/>
  <c r="S22" i="64"/>
  <c r="R22" i="64"/>
  <c r="V52" i="66"/>
  <c r="W52" i="66"/>
  <c r="E141" i="66" s="1"/>
  <c r="U52" i="66"/>
  <c r="Y52" i="66"/>
  <c r="X52" i="66"/>
  <c r="E142" i="66" s="1"/>
  <c r="V52" i="68"/>
  <c r="W52" i="68"/>
  <c r="E141" i="68" s="1"/>
  <c r="X52" i="68"/>
  <c r="E142" i="68" s="1"/>
  <c r="Y52" i="68"/>
  <c r="U52" i="68"/>
  <c r="H22" i="68"/>
  <c r="E22" i="68"/>
  <c r="D22" i="68"/>
  <c r="K22" i="68"/>
  <c r="F22" i="68"/>
  <c r="G22" i="68"/>
  <c r="I22" i="67" l="1"/>
  <c r="A22" i="67" s="1"/>
  <c r="I97" i="67" s="1"/>
  <c r="I22" i="68"/>
  <c r="AI22" i="68" s="1"/>
  <c r="I22" i="66"/>
  <c r="AI22" i="66" s="1"/>
  <c r="J22" i="64"/>
  <c r="AJ22" i="64" s="1"/>
  <c r="A14" i="18"/>
  <c r="BP8" i="67"/>
  <c r="BO8" i="67"/>
  <c r="BO8" i="64"/>
  <c r="BP8" i="64"/>
  <c r="BP8" i="66"/>
  <c r="BO8" i="66"/>
  <c r="BP8" i="68"/>
  <c r="BO8" i="68"/>
  <c r="R45" i="68"/>
  <c r="T178" i="64"/>
  <c r="AA45" i="64"/>
  <c r="AC14" i="68"/>
  <c r="U177" i="68"/>
  <c r="L45" i="68"/>
  <c r="AH22" i="68"/>
  <c r="AH22" i="66"/>
  <c r="K45" i="68"/>
  <c r="U176" i="68"/>
  <c r="AH45" i="68"/>
  <c r="H104" i="64"/>
  <c r="U179" i="64"/>
  <c r="AD14" i="68"/>
  <c r="AC14" i="66"/>
  <c r="AF22" i="67"/>
  <c r="T177" i="68"/>
  <c r="AA45" i="68"/>
  <c r="V45" i="68"/>
  <c r="AB14" i="67"/>
  <c r="AA45" i="67"/>
  <c r="AJ22" i="68"/>
  <c r="H104" i="67"/>
  <c r="T178" i="66"/>
  <c r="AB45" i="66"/>
  <c r="K45" i="66"/>
  <c r="AF22" i="64"/>
  <c r="H104" i="68"/>
  <c r="AB14" i="68"/>
  <c r="U178" i="68"/>
  <c r="L45" i="67"/>
  <c r="U178" i="67"/>
  <c r="AE22" i="68"/>
  <c r="W45" i="66"/>
  <c r="AC14" i="64"/>
  <c r="AB14" i="64"/>
  <c r="E45" i="64"/>
  <c r="AX36" i="64"/>
  <c r="BC40" i="64"/>
  <c r="U181" i="64" s="1"/>
  <c r="U180" i="64"/>
  <c r="T176" i="64"/>
  <c r="P45" i="64"/>
  <c r="S177" i="64"/>
  <c r="O47" i="64"/>
  <c r="J84" i="66"/>
  <c r="E84" i="66" s="1"/>
  <c r="AA14" i="66"/>
  <c r="AG22" i="67"/>
  <c r="J92" i="67"/>
  <c r="E92" i="67" s="1"/>
  <c r="AF45" i="68"/>
  <c r="BD36" i="68"/>
  <c r="BD45" i="68" s="1"/>
  <c r="BM40" i="68"/>
  <c r="BL40" i="68"/>
  <c r="U175" i="68"/>
  <c r="A40" i="68"/>
  <c r="G45" i="67"/>
  <c r="AZ36" i="67"/>
  <c r="AZ45" i="67" s="1"/>
  <c r="AE45" i="67"/>
  <c r="BC36" i="67"/>
  <c r="S180" i="67"/>
  <c r="AE47" i="67"/>
  <c r="E45" i="67"/>
  <c r="AX36" i="67"/>
  <c r="U179" i="67"/>
  <c r="BM38" i="67"/>
  <c r="T175" i="67"/>
  <c r="BL38" i="67"/>
  <c r="A38" i="67"/>
  <c r="R45" i="66"/>
  <c r="BC40" i="66"/>
  <c r="U181" i="66" s="1"/>
  <c r="U180" i="66"/>
  <c r="AY36" i="66"/>
  <c r="AY45" i="66" s="1"/>
  <c r="F45" i="66"/>
  <c r="AE22" i="66"/>
  <c r="AG22" i="66"/>
  <c r="J92" i="66"/>
  <c r="E92" i="66" s="1"/>
  <c r="BA36" i="64"/>
  <c r="BA45" i="64" s="1"/>
  <c r="M45" i="64"/>
  <c r="AE45" i="64"/>
  <c r="AE47" i="64"/>
  <c r="S180" i="64"/>
  <c r="BC36" i="64"/>
  <c r="BC38" i="64"/>
  <c r="T181" i="64" s="1"/>
  <c r="T180" i="64"/>
  <c r="L45" i="64"/>
  <c r="R45" i="64"/>
  <c r="T178" i="68"/>
  <c r="X45" i="68"/>
  <c r="AX36" i="68"/>
  <c r="E45" i="68"/>
  <c r="BM52" i="64"/>
  <c r="BL52" i="64"/>
  <c r="A52" i="64"/>
  <c r="I144" i="64" s="1"/>
  <c r="BR22" i="68"/>
  <c r="BS22" i="68"/>
  <c r="K89" i="68"/>
  <c r="J84" i="67"/>
  <c r="E84" i="67" s="1"/>
  <c r="AA14" i="67"/>
  <c r="AH45" i="67"/>
  <c r="AB45" i="67"/>
  <c r="K45" i="67"/>
  <c r="AC45" i="67"/>
  <c r="Q45" i="67"/>
  <c r="AG45" i="67"/>
  <c r="BE36" i="67"/>
  <c r="BE45" i="67" s="1"/>
  <c r="BB36" i="67"/>
  <c r="BB45" i="67" s="1"/>
  <c r="N45" i="67"/>
  <c r="T45" i="67"/>
  <c r="U47" i="67"/>
  <c r="S178" i="67"/>
  <c r="J45" i="67"/>
  <c r="S176" i="67"/>
  <c r="K47" i="67"/>
  <c r="BC40" i="67"/>
  <c r="U181" i="67" s="1"/>
  <c r="U180" i="67"/>
  <c r="O47" i="67"/>
  <c r="S177" i="67"/>
  <c r="P45" i="67"/>
  <c r="T178" i="67"/>
  <c r="BS14" i="68"/>
  <c r="BR14" i="68"/>
  <c r="AF22" i="68"/>
  <c r="H144" i="68"/>
  <c r="K89" i="64"/>
  <c r="BR22" i="64"/>
  <c r="BS22" i="64"/>
  <c r="BS14" i="67"/>
  <c r="BR14" i="67"/>
  <c r="A14" i="64"/>
  <c r="BL14" i="64"/>
  <c r="Z14" i="64"/>
  <c r="BM14" i="64"/>
  <c r="V45" i="66"/>
  <c r="E47" i="66"/>
  <c r="S175" i="66"/>
  <c r="A36" i="66"/>
  <c r="BL36" i="66"/>
  <c r="D45" i="66"/>
  <c r="BM36" i="66"/>
  <c r="BC38" i="66"/>
  <c r="T181" i="66" s="1"/>
  <c r="T180" i="66"/>
  <c r="T45" i="66"/>
  <c r="S178" i="66"/>
  <c r="U47" i="66"/>
  <c r="A38" i="66"/>
  <c r="BL38" i="66"/>
  <c r="BM38" i="66"/>
  <c r="T175" i="66"/>
  <c r="N45" i="66"/>
  <c r="BB36" i="66"/>
  <c r="BB45" i="66" s="1"/>
  <c r="AE47" i="66"/>
  <c r="S180" i="66"/>
  <c r="AE45" i="66"/>
  <c r="BC36" i="66"/>
  <c r="U176" i="66"/>
  <c r="AA45" i="66"/>
  <c r="Z47" i="66"/>
  <c r="S179" i="66"/>
  <c r="Z45" i="66"/>
  <c r="BS14" i="64"/>
  <c r="BR14" i="64"/>
  <c r="AF22" i="66"/>
  <c r="AH22" i="64"/>
  <c r="AG22" i="64"/>
  <c r="J92" i="64"/>
  <c r="E92" i="64" s="1"/>
  <c r="K47" i="64"/>
  <c r="S176" i="64"/>
  <c r="J45" i="64"/>
  <c r="BM40" i="64"/>
  <c r="U175" i="64"/>
  <c r="A40" i="64"/>
  <c r="BL40" i="64"/>
  <c r="S178" i="68"/>
  <c r="T45" i="68"/>
  <c r="U47" i="68"/>
  <c r="BL52" i="67"/>
  <c r="BM52" i="67"/>
  <c r="A52" i="67"/>
  <c r="I144" i="67" s="1"/>
  <c r="U177" i="67"/>
  <c r="W45" i="67"/>
  <c r="BA36" i="67"/>
  <c r="BA45" i="67" s="1"/>
  <c r="M45" i="67"/>
  <c r="P45" i="66"/>
  <c r="O47" i="66"/>
  <c r="S177" i="66"/>
  <c r="A40" i="66"/>
  <c r="BM40" i="66"/>
  <c r="BL40" i="66"/>
  <c r="U175" i="66"/>
  <c r="U45" i="64"/>
  <c r="AF45" i="64"/>
  <c r="BD36" i="64"/>
  <c r="BD45" i="64" s="1"/>
  <c r="G45" i="64"/>
  <c r="AZ36" i="64"/>
  <c r="AZ45" i="64" s="1"/>
  <c r="A14" i="66"/>
  <c r="BL14" i="66"/>
  <c r="BM14" i="66"/>
  <c r="Z14" i="66"/>
  <c r="AE22" i="67"/>
  <c r="AD22" i="67"/>
  <c r="J89" i="67"/>
  <c r="BA36" i="68"/>
  <c r="BA45" i="68" s="1"/>
  <c r="M45" i="68"/>
  <c r="BC36" i="68"/>
  <c r="S180" i="68"/>
  <c r="AE47" i="68"/>
  <c r="AE45" i="68"/>
  <c r="T179" i="68"/>
  <c r="J45" i="68"/>
  <c r="K47" i="68"/>
  <c r="S176" i="68"/>
  <c r="BE36" i="68"/>
  <c r="BE45" i="68" s="1"/>
  <c r="AG45" i="68"/>
  <c r="BB36" i="68"/>
  <c r="BB45" i="68" s="1"/>
  <c r="N45" i="68"/>
  <c r="T177" i="67"/>
  <c r="BM52" i="66"/>
  <c r="BL52" i="66"/>
  <c r="A52" i="66"/>
  <c r="I144" i="66" s="1"/>
  <c r="BR14" i="66"/>
  <c r="BS14" i="66"/>
  <c r="J92" i="68"/>
  <c r="E92" i="68" s="1"/>
  <c r="AG22" i="68"/>
  <c r="J96" i="68"/>
  <c r="E96" i="68" s="1"/>
  <c r="AK22" i="68"/>
  <c r="A52" i="68"/>
  <c r="I144" i="68" s="1"/>
  <c r="BL52" i="68"/>
  <c r="BM52" i="68"/>
  <c r="H144" i="66"/>
  <c r="H104" i="66"/>
  <c r="AD14" i="64"/>
  <c r="L45" i="66"/>
  <c r="AC45" i="66"/>
  <c r="X45" i="66"/>
  <c r="AH45" i="66"/>
  <c r="Q45" i="66"/>
  <c r="M45" i="66"/>
  <c r="BA36" i="66"/>
  <c r="BA45" i="66" s="1"/>
  <c r="G45" i="66"/>
  <c r="AZ36" i="66"/>
  <c r="AZ45" i="66" s="1"/>
  <c r="U178" i="66"/>
  <c r="U45" i="66"/>
  <c r="J89" i="66"/>
  <c r="AD22" i="66"/>
  <c r="AK22" i="64"/>
  <c r="J96" i="64"/>
  <c r="E96" i="64" s="1"/>
  <c r="AE22" i="64"/>
  <c r="AB45" i="64"/>
  <c r="X45" i="64"/>
  <c r="U176" i="64"/>
  <c r="T177" i="64"/>
  <c r="AG45" i="64"/>
  <c r="BE36" i="64"/>
  <c r="BE45" i="64" s="1"/>
  <c r="Q45" i="64"/>
  <c r="BL36" i="64"/>
  <c r="D45" i="64"/>
  <c r="A36" i="64"/>
  <c r="BM36" i="64"/>
  <c r="E47" i="64"/>
  <c r="S175" i="64"/>
  <c r="H45" i="64"/>
  <c r="AC45" i="64"/>
  <c r="T45" i="64"/>
  <c r="S178" i="64"/>
  <c r="U47" i="64"/>
  <c r="BM14" i="68"/>
  <c r="BL14" i="68"/>
  <c r="Z14" i="68"/>
  <c r="A14" i="68"/>
  <c r="AD14" i="66"/>
  <c r="AJ22" i="67"/>
  <c r="AH22" i="67"/>
  <c r="A36" i="68"/>
  <c r="BL36" i="68"/>
  <c r="D45" i="68"/>
  <c r="BM36" i="68"/>
  <c r="E47" i="68"/>
  <c r="S175" i="68"/>
  <c r="Q45" i="68"/>
  <c r="AC45" i="68"/>
  <c r="BC40" i="68"/>
  <c r="U181" i="68" s="1"/>
  <c r="U180" i="68"/>
  <c r="F45" i="68"/>
  <c r="AY36" i="68"/>
  <c r="AY45" i="68" s="1"/>
  <c r="AB45" i="68"/>
  <c r="U45" i="68"/>
  <c r="P45" i="68"/>
  <c r="S177" i="68"/>
  <c r="O47" i="68"/>
  <c r="H144" i="67"/>
  <c r="AC14" i="67"/>
  <c r="A14" i="67"/>
  <c r="BM14" i="67"/>
  <c r="Z14" i="67"/>
  <c r="BL14" i="67"/>
  <c r="BD36" i="67"/>
  <c r="BD45" i="67" s="1"/>
  <c r="AF45" i="67"/>
  <c r="F45" i="67"/>
  <c r="AY36" i="67"/>
  <c r="AY45" i="67" s="1"/>
  <c r="S179" i="67"/>
  <c r="Z47" i="67"/>
  <c r="Z45" i="67"/>
  <c r="V45" i="67"/>
  <c r="T176" i="67"/>
  <c r="T179" i="67"/>
  <c r="BL40" i="67"/>
  <c r="U175" i="67"/>
  <c r="A40" i="67"/>
  <c r="BM40" i="67"/>
  <c r="BC38" i="67"/>
  <c r="T181" i="67" s="1"/>
  <c r="T180" i="67"/>
  <c r="E47" i="67"/>
  <c r="BM36" i="67"/>
  <c r="D45" i="67"/>
  <c r="A36" i="67"/>
  <c r="S175" i="67"/>
  <c r="BL36" i="67"/>
  <c r="R45" i="67"/>
  <c r="AD22" i="68"/>
  <c r="J89" i="68"/>
  <c r="BL29" i="66"/>
  <c r="A29" i="66"/>
  <c r="I104" i="66" s="1"/>
  <c r="BM29" i="66"/>
  <c r="AA14" i="64"/>
  <c r="J84" i="64"/>
  <c r="E84" i="64" s="1"/>
  <c r="BM29" i="67"/>
  <c r="A29" i="67"/>
  <c r="I104" i="67" s="1"/>
  <c r="BL29" i="67"/>
  <c r="T179" i="66"/>
  <c r="BE36" i="66"/>
  <c r="BE45" i="66" s="1"/>
  <c r="AG45" i="66"/>
  <c r="U177" i="66"/>
  <c r="H45" i="66"/>
  <c r="AF45" i="66"/>
  <c r="BD36" i="66"/>
  <c r="BD45" i="66" s="1"/>
  <c r="E45" i="66"/>
  <c r="AX36" i="66"/>
  <c r="T177" i="66"/>
  <c r="S176" i="66"/>
  <c r="J45" i="66"/>
  <c r="K47" i="66"/>
  <c r="U179" i="66"/>
  <c r="T176" i="66"/>
  <c r="AK22" i="66"/>
  <c r="J96" i="66"/>
  <c r="E96" i="66" s="1"/>
  <c r="AJ22" i="66"/>
  <c r="AI22" i="64"/>
  <c r="AD22" i="64"/>
  <c r="J89" i="64"/>
  <c r="A29" i="68"/>
  <c r="I104" i="68" s="1"/>
  <c r="BM29" i="68"/>
  <c r="BL29" i="68"/>
  <c r="BS22" i="67"/>
  <c r="K89" i="67"/>
  <c r="BR22" i="67"/>
  <c r="K89" i="66"/>
  <c r="BR22" i="66"/>
  <c r="BS22" i="66"/>
  <c r="U177" i="64"/>
  <c r="S179" i="64"/>
  <c r="Z45" i="64"/>
  <c r="Z47" i="64"/>
  <c r="BB36" i="64"/>
  <c r="BB45" i="64" s="1"/>
  <c r="N45" i="64"/>
  <c r="K45" i="64"/>
  <c r="T179" i="64"/>
  <c r="W45" i="64"/>
  <c r="AY36" i="64"/>
  <c r="AY45" i="64" s="1"/>
  <c r="F45" i="64"/>
  <c r="AH45" i="64"/>
  <c r="V45" i="64"/>
  <c r="BL38" i="64"/>
  <c r="BM38" i="64"/>
  <c r="A38" i="64"/>
  <c r="T175" i="64"/>
  <c r="U178" i="64"/>
  <c r="AA14" i="68"/>
  <c r="J84" i="68"/>
  <c r="E84" i="68" s="1"/>
  <c r="AB14" i="66"/>
  <c r="J96" i="67"/>
  <c r="E96" i="67" s="1"/>
  <c r="AK22" i="67"/>
  <c r="BC38" i="68"/>
  <c r="T181" i="68" s="1"/>
  <c r="T180" i="68"/>
  <c r="H45" i="68"/>
  <c r="T176" i="68"/>
  <c r="W45" i="68"/>
  <c r="U179" i="68"/>
  <c r="T175" i="68"/>
  <c r="A38" i="68"/>
  <c r="BM38" i="68"/>
  <c r="BL38" i="68"/>
  <c r="Z45" i="68"/>
  <c r="Z47" i="68"/>
  <c r="S179" i="68"/>
  <c r="G45" i="68"/>
  <c r="AZ36" i="68"/>
  <c r="AZ45" i="68" s="1"/>
  <c r="H144" i="64"/>
  <c r="BM29" i="64"/>
  <c r="BL29" i="64"/>
  <c r="A29" i="64"/>
  <c r="I104" i="64" s="1"/>
  <c r="AD14" i="67"/>
  <c r="H45" i="67"/>
  <c r="U176" i="67"/>
  <c r="U45" i="67"/>
  <c r="X45" i="67"/>
  <c r="AS8" i="64" l="1"/>
  <c r="AS8" i="67"/>
  <c r="AI22" i="67"/>
  <c r="BY22" i="67" s="1"/>
  <c r="BL22" i="67"/>
  <c r="BM22" i="67"/>
  <c r="BO22" i="67" s="1"/>
  <c r="A22" i="68"/>
  <c r="I97" i="68" s="1"/>
  <c r="BM22" i="64"/>
  <c r="BP22" i="64" s="1"/>
  <c r="BL22" i="64"/>
  <c r="A22" i="64"/>
  <c r="I97" i="64" s="1"/>
  <c r="BL22" i="66"/>
  <c r="BM22" i="68"/>
  <c r="BO22" i="68" s="1"/>
  <c r="BL22" i="68"/>
  <c r="A22" i="66"/>
  <c r="I97" i="66" s="1"/>
  <c r="BM22" i="66"/>
  <c r="BP22" i="66" s="1"/>
  <c r="AS8" i="66"/>
  <c r="AS8" i="68"/>
  <c r="A17" i="18"/>
  <c r="E89" i="68"/>
  <c r="G145" i="68" s="1"/>
  <c r="G146" i="68" s="1"/>
  <c r="A42" i="67"/>
  <c r="D61" i="67" s="1"/>
  <c r="BC45" i="64"/>
  <c r="BC45" i="67"/>
  <c r="BL45" i="67"/>
  <c r="BL45" i="68"/>
  <c r="BL45" i="66"/>
  <c r="AS38" i="68"/>
  <c r="AB158" i="68" s="1"/>
  <c r="BP38" i="68"/>
  <c r="BO38" i="68"/>
  <c r="H88" i="68"/>
  <c r="AC47" i="64"/>
  <c r="AB47" i="64"/>
  <c r="BU22" i="66"/>
  <c r="BV22" i="66"/>
  <c r="BY22" i="68"/>
  <c r="BX22" i="68"/>
  <c r="AS36" i="68"/>
  <c r="BO36" i="68"/>
  <c r="BP36" i="68"/>
  <c r="BM45" i="68"/>
  <c r="BO29" i="64"/>
  <c r="BP29" i="64"/>
  <c r="BY22" i="64"/>
  <c r="BX22" i="64"/>
  <c r="H88" i="64"/>
  <c r="AS36" i="67"/>
  <c r="BO36" i="67"/>
  <c r="BP36" i="67"/>
  <c r="BM45" i="67"/>
  <c r="AS40" i="67"/>
  <c r="AB159" i="67" s="1"/>
  <c r="BP40" i="67"/>
  <c r="BO40" i="67"/>
  <c r="BY14" i="67"/>
  <c r="BX14" i="67"/>
  <c r="BP14" i="68"/>
  <c r="BO14" i="68"/>
  <c r="BO36" i="64"/>
  <c r="BM45" i="64"/>
  <c r="BP36" i="64"/>
  <c r="E89" i="66"/>
  <c r="H97" i="66" s="1"/>
  <c r="H88" i="67"/>
  <c r="R47" i="66"/>
  <c r="Q47" i="66"/>
  <c r="M47" i="64"/>
  <c r="N47" i="64"/>
  <c r="AG47" i="66"/>
  <c r="AH47" i="66"/>
  <c r="BO38" i="66"/>
  <c r="BP38" i="66"/>
  <c r="AS38" i="66" s="1"/>
  <c r="AB158" i="66" s="1"/>
  <c r="BM45" i="66"/>
  <c r="BO36" i="66"/>
  <c r="AS36" i="66" s="1"/>
  <c r="BP36" i="66"/>
  <c r="BY14" i="64"/>
  <c r="BX14" i="64"/>
  <c r="M47" i="67"/>
  <c r="N47" i="67"/>
  <c r="W47" i="67"/>
  <c r="X47" i="67"/>
  <c r="BO52" i="64"/>
  <c r="BP52" i="64"/>
  <c r="AS52" i="64" s="1"/>
  <c r="AH47" i="64"/>
  <c r="AG47" i="64"/>
  <c r="AS38" i="67"/>
  <c r="AB158" i="67" s="1"/>
  <c r="BP38" i="67"/>
  <c r="BO38" i="67"/>
  <c r="AG47" i="67"/>
  <c r="AH47" i="67"/>
  <c r="AS40" i="68"/>
  <c r="AB159" i="68" s="1"/>
  <c r="BO40" i="68"/>
  <c r="BP40" i="68"/>
  <c r="BP29" i="66"/>
  <c r="BO29" i="66"/>
  <c r="H47" i="67"/>
  <c r="G47" i="67"/>
  <c r="AB47" i="67"/>
  <c r="AC47" i="67"/>
  <c r="BO14" i="67"/>
  <c r="BP14" i="67"/>
  <c r="R47" i="68"/>
  <c r="Q47" i="68"/>
  <c r="H47" i="68"/>
  <c r="G47" i="68"/>
  <c r="A42" i="68"/>
  <c r="I88" i="68"/>
  <c r="X47" i="64"/>
  <c r="W47" i="64"/>
  <c r="A42" i="64"/>
  <c r="BC45" i="68"/>
  <c r="I88" i="66"/>
  <c r="AS40" i="66"/>
  <c r="AB159" i="66" s="1"/>
  <c r="BP40" i="66"/>
  <c r="BO40" i="66"/>
  <c r="BO52" i="67"/>
  <c r="BP52" i="67"/>
  <c r="AS52" i="67" s="1"/>
  <c r="AS40" i="64"/>
  <c r="AB159" i="64" s="1"/>
  <c r="BP40" i="64"/>
  <c r="BO40" i="64"/>
  <c r="BC45" i="66"/>
  <c r="BO45" i="66"/>
  <c r="BP45" i="66"/>
  <c r="G47" i="66"/>
  <c r="H47" i="66"/>
  <c r="BV14" i="68"/>
  <c r="BU14" i="68"/>
  <c r="R47" i="67"/>
  <c r="Q47" i="67"/>
  <c r="AX45" i="64"/>
  <c r="AY47" i="64"/>
  <c r="S181" i="64"/>
  <c r="I88" i="67"/>
  <c r="L161" i="67"/>
  <c r="BY14" i="68"/>
  <c r="BX14" i="68"/>
  <c r="BO45" i="64"/>
  <c r="BP45" i="64"/>
  <c r="BX22" i="66"/>
  <c r="BY22" i="66"/>
  <c r="BV14" i="66"/>
  <c r="BU14" i="66"/>
  <c r="BO52" i="66"/>
  <c r="BP52" i="66"/>
  <c r="E89" i="67"/>
  <c r="H97" i="67" s="1"/>
  <c r="BX14" i="66"/>
  <c r="BY14" i="66"/>
  <c r="AC47" i="66"/>
  <c r="AB47" i="66"/>
  <c r="I88" i="64"/>
  <c r="BV14" i="67"/>
  <c r="BU14" i="67"/>
  <c r="BU22" i="64"/>
  <c r="BV22" i="64"/>
  <c r="BV22" i="68"/>
  <c r="BU22" i="68"/>
  <c r="AX45" i="68"/>
  <c r="AY47" i="68"/>
  <c r="S181" i="68"/>
  <c r="AX45" i="67"/>
  <c r="AY47" i="67"/>
  <c r="S181" i="67"/>
  <c r="H88" i="66"/>
  <c r="AB47" i="68"/>
  <c r="AC47" i="68"/>
  <c r="AS38" i="64"/>
  <c r="AB158" i="64" s="1"/>
  <c r="BO38" i="64"/>
  <c r="BP38" i="64"/>
  <c r="BV22" i="67"/>
  <c r="BU22" i="67"/>
  <c r="BO29" i="68"/>
  <c r="BP29" i="68"/>
  <c r="AS29" i="68" s="1"/>
  <c r="E89" i="64"/>
  <c r="H97" i="64" s="1"/>
  <c r="N47" i="66"/>
  <c r="M47" i="66"/>
  <c r="AX45" i="66"/>
  <c r="S181" i="66"/>
  <c r="AY47" i="66"/>
  <c r="BO29" i="67"/>
  <c r="BP29" i="67"/>
  <c r="BO45" i="67"/>
  <c r="BP45" i="67"/>
  <c r="BO45" i="68"/>
  <c r="BP45" i="68"/>
  <c r="G47" i="64"/>
  <c r="H47" i="64"/>
  <c r="BL45" i="64"/>
  <c r="BO52" i="68"/>
  <c r="BP52" i="68"/>
  <c r="N47" i="68"/>
  <c r="M47" i="68"/>
  <c r="AG47" i="68"/>
  <c r="AH47" i="68"/>
  <c r="BO14" i="66"/>
  <c r="BP14" i="66"/>
  <c r="W47" i="68"/>
  <c r="X47" i="68"/>
  <c r="BV14" i="64"/>
  <c r="BU14" i="64"/>
  <c r="X47" i="66"/>
  <c r="W47" i="66"/>
  <c r="A42" i="66"/>
  <c r="BO14" i="64"/>
  <c r="BP14" i="64"/>
  <c r="L16" i="64" s="1"/>
  <c r="Q47" i="64"/>
  <c r="R47" i="64"/>
  <c r="W16" i="66" l="1"/>
  <c r="AS29" i="64"/>
  <c r="BX22" i="67"/>
  <c r="L161" i="68"/>
  <c r="D61" i="64"/>
  <c r="BP22" i="67"/>
  <c r="L161" i="64"/>
  <c r="BO22" i="64"/>
  <c r="O24" i="64" s="1"/>
  <c r="BP22" i="68"/>
  <c r="O24" i="68" s="1"/>
  <c r="D61" i="66"/>
  <c r="L161" i="66"/>
  <c r="BO22" i="66"/>
  <c r="O24" i="66" s="1"/>
  <c r="W16" i="64"/>
  <c r="AS52" i="68"/>
  <c r="W16" i="67"/>
  <c r="AS52" i="66"/>
  <c r="L16" i="68"/>
  <c r="AS29" i="67"/>
  <c r="L16" i="66"/>
  <c r="AB24" i="68"/>
  <c r="AB24" i="67"/>
  <c r="AB24" i="64"/>
  <c r="W16" i="68"/>
  <c r="L16" i="67"/>
  <c r="AS29" i="66"/>
  <c r="AB24" i="66"/>
  <c r="O24" i="67"/>
  <c r="AS36" i="64"/>
  <c r="AT42" i="64" s="1"/>
  <c r="F146" i="68"/>
  <c r="F145" i="68"/>
  <c r="AB48" i="64"/>
  <c r="AB149" i="64" s="1"/>
  <c r="Q48" i="64"/>
  <c r="AB147" i="64" s="1"/>
  <c r="E145" i="68"/>
  <c r="H97" i="68"/>
  <c r="L159" i="68" s="1"/>
  <c r="W48" i="67"/>
  <c r="AB148" i="67" s="1"/>
  <c r="Q48" i="67"/>
  <c r="AB147" i="67" s="1"/>
  <c r="G48" i="68"/>
  <c r="AB145" i="68" s="1"/>
  <c r="G48" i="67"/>
  <c r="AB145" i="67" s="1"/>
  <c r="AG48" i="66"/>
  <c r="AB150" i="66" s="1"/>
  <c r="Q48" i="66"/>
  <c r="AB147" i="66" s="1"/>
  <c r="W48" i="66"/>
  <c r="AB148" i="66" s="1"/>
  <c r="AB48" i="67"/>
  <c r="AB149" i="67" s="1"/>
  <c r="M48" i="67"/>
  <c r="AB146" i="67" s="1"/>
  <c r="W48" i="68"/>
  <c r="AB148" i="68" s="1"/>
  <c r="G48" i="64"/>
  <c r="AB145" i="64" s="1"/>
  <c r="AG48" i="67"/>
  <c r="AB150" i="67" s="1"/>
  <c r="M48" i="68"/>
  <c r="AB146" i="68" s="1"/>
  <c r="AB48" i="66"/>
  <c r="AB149" i="66" s="1"/>
  <c r="G48" i="66"/>
  <c r="AB145" i="66" s="1"/>
  <c r="W48" i="64"/>
  <c r="AB148" i="64" s="1"/>
  <c r="AG48" i="64"/>
  <c r="AB150" i="64" s="1"/>
  <c r="Q48" i="68"/>
  <c r="AB147" i="68" s="1"/>
  <c r="AG48" i="68"/>
  <c r="AB150" i="68" s="1"/>
  <c r="AB48" i="68"/>
  <c r="AB149" i="68" s="1"/>
  <c r="M48" i="64"/>
  <c r="AB146" i="64" s="1"/>
  <c r="M48" i="66"/>
  <c r="AB146" i="66" s="1"/>
  <c r="I138" i="67"/>
  <c r="AX47" i="66"/>
  <c r="L166" i="64"/>
  <c r="F146" i="66"/>
  <c r="F145" i="66"/>
  <c r="L159" i="64"/>
  <c r="L166" i="67"/>
  <c r="E145" i="66"/>
  <c r="AX47" i="64"/>
  <c r="G145" i="67"/>
  <c r="G146" i="67" s="1"/>
  <c r="G145" i="66"/>
  <c r="G146" i="66" s="1"/>
  <c r="L151" i="66"/>
  <c r="AX47" i="67"/>
  <c r="F146" i="67"/>
  <c r="L151" i="67"/>
  <c r="L151" i="68"/>
  <c r="I138" i="68"/>
  <c r="L166" i="68"/>
  <c r="G145" i="64"/>
  <c r="G146" i="64" s="1"/>
  <c r="CB22" i="64"/>
  <c r="CA22" i="64"/>
  <c r="L159" i="67"/>
  <c r="CA14" i="64"/>
  <c r="CB14" i="64"/>
  <c r="AB157" i="66"/>
  <c r="AB167" i="66" s="1"/>
  <c r="AD167" i="66" s="1"/>
  <c r="AT42" i="66"/>
  <c r="AS45" i="66"/>
  <c r="F145" i="67"/>
  <c r="AB157" i="67"/>
  <c r="AB167" i="67" s="1"/>
  <c r="AD167" i="67" s="1"/>
  <c r="AT42" i="67"/>
  <c r="AS45" i="67"/>
  <c r="E145" i="64"/>
  <c r="CA22" i="68"/>
  <c r="CB22" i="68"/>
  <c r="BA47" i="68"/>
  <c r="BB47" i="68"/>
  <c r="CB22" i="66"/>
  <c r="CA22" i="66"/>
  <c r="CB22" i="67"/>
  <c r="CA22" i="67"/>
  <c r="CA14" i="67"/>
  <c r="CB14" i="67"/>
  <c r="F146" i="64"/>
  <c r="I138" i="66"/>
  <c r="L166" i="66"/>
  <c r="BB47" i="66"/>
  <c r="BA47" i="66"/>
  <c r="D61" i="68"/>
  <c r="BB47" i="67"/>
  <c r="BA47" i="67"/>
  <c r="AX47" i="68"/>
  <c r="CB14" i="66"/>
  <c r="CA14" i="66"/>
  <c r="CB14" i="68"/>
  <c r="CA14" i="68"/>
  <c r="BA47" i="64"/>
  <c r="BB47" i="64"/>
  <c r="L151" i="64"/>
  <c r="I138" i="64"/>
  <c r="E145" i="67"/>
  <c r="L159" i="66"/>
  <c r="F145" i="64"/>
  <c r="AB157" i="68"/>
  <c r="AB167" i="68" s="1"/>
  <c r="AD167" i="68" s="1"/>
  <c r="AT42" i="68"/>
  <c r="AS45" i="68"/>
  <c r="K164" i="66" l="1"/>
  <c r="L167" i="66" s="1"/>
  <c r="Y197" i="67"/>
  <c r="AS22" i="68"/>
  <c r="AS14" i="66"/>
  <c r="AS14" i="67"/>
  <c r="AS22" i="67"/>
  <c r="AS14" i="64"/>
  <c r="AS22" i="64"/>
  <c r="AS14" i="68"/>
  <c r="AS22" i="66"/>
  <c r="A18" i="18"/>
  <c r="AB157" i="64"/>
  <c r="AB167" i="64" s="1"/>
  <c r="AD167" i="64" s="1"/>
  <c r="L153" i="64" s="1"/>
  <c r="AS45" i="64"/>
  <c r="K164" i="64" s="1"/>
  <c r="E146" i="68"/>
  <c r="L150" i="68" s="1"/>
  <c r="E146" i="64"/>
  <c r="D60" i="64" s="1"/>
  <c r="E146" i="66"/>
  <c r="D60" i="66" s="1"/>
  <c r="E146" i="67"/>
  <c r="D60" i="67" s="1"/>
  <c r="AY64" i="66"/>
  <c r="BD48" i="66"/>
  <c r="BD48" i="64"/>
  <c r="AB151" i="64" s="1"/>
  <c r="BD48" i="67"/>
  <c r="BD48" i="68"/>
  <c r="AY64" i="68"/>
  <c r="AY61" i="66"/>
  <c r="AY61" i="67"/>
  <c r="AY61" i="64"/>
  <c r="Y197" i="66"/>
  <c r="L153" i="68"/>
  <c r="D63" i="68"/>
  <c r="AY61" i="68"/>
  <c r="L153" i="67"/>
  <c r="D63" i="67"/>
  <c r="K164" i="68"/>
  <c r="Y197" i="68"/>
  <c r="D63" i="66"/>
  <c r="L153" i="66"/>
  <c r="AY64" i="67"/>
  <c r="AY64" i="64"/>
  <c r="K164" i="67"/>
  <c r="J13" i="18" l="1"/>
  <c r="L164" i="66"/>
  <c r="L165" i="66"/>
  <c r="BB62" i="67"/>
  <c r="AB78" i="73" s="1"/>
  <c r="BB62" i="66"/>
  <c r="AB77" i="73" s="1"/>
  <c r="K158" i="67"/>
  <c r="L158" i="67" s="1"/>
  <c r="Y194" i="67"/>
  <c r="K158" i="66"/>
  <c r="L158" i="66" s="1"/>
  <c r="K158" i="68"/>
  <c r="L158" i="68" s="1"/>
  <c r="D60" i="68"/>
  <c r="Y194" i="68"/>
  <c r="BB62" i="68"/>
  <c r="K158" i="64"/>
  <c r="L158" i="64" s="1"/>
  <c r="Y194" i="66"/>
  <c r="A13" i="18"/>
  <c r="Y194" i="64"/>
  <c r="L150" i="67"/>
  <c r="D63" i="64"/>
  <c r="BB62" i="64"/>
  <c r="AB76" i="73" s="1"/>
  <c r="Y197" i="64"/>
  <c r="L168" i="66"/>
  <c r="AB197" i="66" s="1"/>
  <c r="L150" i="64"/>
  <c r="L150" i="66"/>
  <c r="A189" i="64"/>
  <c r="AB151" i="68"/>
  <c r="A189" i="68"/>
  <c r="AB151" i="67"/>
  <c r="A189" i="67"/>
  <c r="AB151" i="66"/>
  <c r="A189" i="66"/>
  <c r="L168" i="68"/>
  <c r="AB197" i="68" s="1"/>
  <c r="L165" i="68"/>
  <c r="L164" i="68"/>
  <c r="L167" i="68"/>
  <c r="AE152" i="64"/>
  <c r="AB152" i="64"/>
  <c r="AD152" i="64" s="1"/>
  <c r="L164" i="64"/>
  <c r="L165" i="64"/>
  <c r="L167" i="64"/>
  <c r="L165" i="67"/>
  <c r="L164" i="67"/>
  <c r="L168" i="67"/>
  <c r="AB197" i="67" s="1"/>
  <c r="L167" i="67"/>
  <c r="K149" i="68" l="1"/>
  <c r="L149" i="68" s="1"/>
  <c r="AB79" i="73"/>
  <c r="L13" i="18"/>
  <c r="K149" i="67"/>
  <c r="D64" i="67" s="1"/>
  <c r="L17" i="18"/>
  <c r="K149" i="66"/>
  <c r="L149" i="66" s="1"/>
  <c r="L16" i="18"/>
  <c r="K149" i="64"/>
  <c r="L154" i="64" s="1"/>
  <c r="L15" i="18"/>
  <c r="L160" i="68"/>
  <c r="L162" i="68" s="1"/>
  <c r="AB194" i="68" s="1"/>
  <c r="L160" i="66"/>
  <c r="L162" i="66" s="1"/>
  <c r="AB194" i="66" s="1"/>
  <c r="L160" i="64"/>
  <c r="L162" i="64" s="1"/>
  <c r="AB194" i="64" s="1"/>
  <c r="L160" i="67"/>
  <c r="L162" i="67" s="1"/>
  <c r="AB194" i="67" s="1"/>
  <c r="C13" i="18"/>
  <c r="L168" i="64"/>
  <c r="AB197" i="64" s="1"/>
  <c r="AE152" i="67"/>
  <c r="AB152" i="67"/>
  <c r="AD152" i="67" s="1"/>
  <c r="AE152" i="66"/>
  <c r="AB152" i="66"/>
  <c r="AD152" i="66" s="1"/>
  <c r="AE152" i="68"/>
  <c r="AB152" i="68"/>
  <c r="AD152" i="68" s="1"/>
  <c r="D62" i="64"/>
  <c r="L152" i="64"/>
  <c r="D64" i="68" l="1"/>
  <c r="D59" i="68"/>
  <c r="L154" i="68"/>
  <c r="L154" i="66"/>
  <c r="D59" i="66"/>
  <c r="D59" i="64"/>
  <c r="D64" i="66"/>
  <c r="L149" i="67"/>
  <c r="L154" i="67"/>
  <c r="D59" i="67"/>
  <c r="D64" i="64"/>
  <c r="L149" i="64"/>
  <c r="L155" i="64" s="1"/>
  <c r="D62" i="68"/>
  <c r="L152" i="68"/>
  <c r="D62" i="67"/>
  <c r="L152" i="67"/>
  <c r="L152" i="66"/>
  <c r="D62" i="66"/>
  <c r="L155" i="68" l="1"/>
  <c r="D65" i="68"/>
  <c r="BE62" i="68" s="1"/>
  <c r="AD79" i="73" s="1"/>
  <c r="N13" i="18"/>
  <c r="D65" i="64"/>
  <c r="BE62" i="64" s="1"/>
  <c r="L155" i="66"/>
  <c r="L155" i="67"/>
  <c r="D65" i="67"/>
  <c r="BE62" i="67" s="1"/>
  <c r="AD78" i="73" s="1"/>
  <c r="D65" i="66"/>
  <c r="BE62" i="66" s="1"/>
  <c r="AD77" i="73" s="1"/>
  <c r="L18" i="18"/>
  <c r="N18" i="18"/>
  <c r="N15" i="18" l="1"/>
  <c r="AD76" i="73"/>
  <c r="N16" i="18"/>
  <c r="N17" i="18"/>
  <c r="AB34" i="18" l="1"/>
  <c r="X34" i="18"/>
  <c r="C228" i="69"/>
  <c r="C304" i="69"/>
  <c r="C791" i="69"/>
  <c r="C199" i="69"/>
  <c r="C696" i="69"/>
  <c r="C194" i="69"/>
  <c r="C850" i="69"/>
  <c r="C338" i="69"/>
  <c r="C681" i="69"/>
  <c r="C730" i="69"/>
  <c r="C848" i="69"/>
  <c r="C564" i="69"/>
  <c r="C508" i="69"/>
  <c r="C244" i="69"/>
  <c r="C645" i="69"/>
  <c r="C1088" i="69"/>
  <c r="C1068" i="69"/>
  <c r="C256" i="69"/>
  <c r="C92" i="69"/>
  <c r="C1071" i="69"/>
  <c r="C239" i="69"/>
  <c r="C826" i="69"/>
  <c r="C221" i="69"/>
  <c r="C906" i="69"/>
  <c r="C514" i="69"/>
  <c r="C659" i="69"/>
  <c r="C1041" i="69"/>
  <c r="C766" i="69"/>
  <c r="C953" i="69"/>
  <c r="C952" i="69"/>
  <c r="C639" i="69"/>
  <c r="C657" i="69"/>
  <c r="C129" i="69"/>
  <c r="C321" i="69"/>
  <c r="C1085" i="69"/>
  <c r="C31" i="69"/>
  <c r="C991" i="69"/>
  <c r="C271" i="69"/>
  <c r="C720" i="69"/>
  <c r="C648" i="69"/>
  <c r="C264" i="69"/>
  <c r="C1037" i="69"/>
  <c r="C339" i="69"/>
  <c r="C150" i="69"/>
  <c r="C496" i="69"/>
  <c r="C328" i="69"/>
  <c r="C869" i="69"/>
  <c r="C868" i="69"/>
  <c r="C1108" i="69"/>
  <c r="C1045" i="69"/>
  <c r="C522" i="69"/>
  <c r="C1051" i="69"/>
  <c r="C937" i="69"/>
  <c r="C703" i="69"/>
  <c r="C13" i="69"/>
  <c r="C560" i="69"/>
  <c r="C567" i="69"/>
  <c r="C660" i="69"/>
  <c r="C658" i="69"/>
  <c r="C883" i="69"/>
  <c r="C354" i="69"/>
  <c r="C100" i="69"/>
  <c r="C909" i="69"/>
  <c r="C731" i="69"/>
  <c r="C1039" i="69"/>
  <c r="C1017" i="69"/>
  <c r="C702" i="69"/>
  <c r="C547" i="69"/>
  <c r="C1113" i="69"/>
  <c r="C170" i="69"/>
  <c r="C512" i="69"/>
  <c r="C1061" i="69"/>
  <c r="C203" i="69"/>
  <c r="C922" i="69"/>
  <c r="C340" i="69"/>
  <c r="C1081" i="69"/>
  <c r="C281" i="69"/>
  <c r="C542" i="69"/>
  <c r="C967" i="69"/>
  <c r="C135" i="69"/>
  <c r="C279" i="69"/>
  <c r="C988" i="69"/>
  <c r="C1096" i="69"/>
  <c r="C191" i="69"/>
  <c r="C895" i="69"/>
  <c r="C689" i="69"/>
  <c r="C225" i="69"/>
  <c r="C227" i="69"/>
  <c r="C155" i="69"/>
  <c r="C693" i="69"/>
  <c r="C29" i="69"/>
  <c r="C972" i="69"/>
  <c r="C886" i="69"/>
  <c r="C788" i="69"/>
  <c r="C628" i="69"/>
  <c r="C938" i="69"/>
  <c r="C196" i="69"/>
  <c r="C1083" i="69"/>
  <c r="C272" i="69"/>
  <c r="C1097" i="69"/>
  <c r="C182" i="69"/>
  <c r="C891" i="69"/>
  <c r="C541" i="69"/>
  <c r="C750" i="69"/>
  <c r="C856" i="69"/>
  <c r="C860" i="69"/>
  <c r="C1003" i="69"/>
  <c r="C352" i="69"/>
  <c r="C75" i="69"/>
  <c r="C152" i="69"/>
  <c r="C554" i="69"/>
  <c r="C4" i="69"/>
  <c r="C498" i="69"/>
  <c r="C585" i="69"/>
  <c r="C1070" i="69"/>
  <c r="C647" i="69"/>
  <c r="C1076" i="69"/>
  <c r="C1104" i="69"/>
  <c r="C652" i="69"/>
  <c r="C759" i="69"/>
  <c r="C298" i="69"/>
  <c r="C838" i="69"/>
  <c r="C1082" i="69"/>
  <c r="C748" i="69"/>
  <c r="C112" i="69"/>
  <c r="C563" i="69"/>
  <c r="C309" i="69"/>
  <c r="C491" i="69"/>
  <c r="C254" i="69"/>
  <c r="C1067" i="69"/>
  <c r="C266" i="69"/>
  <c r="C242" i="69"/>
  <c r="C947" i="69"/>
  <c r="C756" i="69"/>
  <c r="C245" i="69"/>
  <c r="C889" i="69"/>
  <c r="C553" i="69"/>
  <c r="C577" i="69"/>
  <c r="C332" i="69"/>
  <c r="C928" i="69"/>
  <c r="C96" i="69"/>
  <c r="C1042" i="69"/>
  <c r="C312" i="69"/>
  <c r="C709" i="69"/>
  <c r="C851" i="69"/>
  <c r="C896" i="69"/>
  <c r="C189" i="69"/>
  <c r="C888" i="69"/>
  <c r="C761" i="69"/>
  <c r="C670" i="69"/>
  <c r="C235" i="69"/>
  <c r="C205" i="69"/>
  <c r="C931" i="69"/>
  <c r="C862" i="69"/>
  <c r="C1018" i="69"/>
  <c r="C42" i="69"/>
  <c r="C866" i="69"/>
  <c r="C614" i="69"/>
  <c r="C1080" i="69"/>
  <c r="C1092" i="69"/>
  <c r="C524" i="69"/>
  <c r="C324" i="69"/>
  <c r="C548" i="69"/>
  <c r="C89" i="69"/>
  <c r="C723" i="69"/>
  <c r="C1000" i="69"/>
  <c r="C999" i="69"/>
  <c r="C855" i="69"/>
  <c r="C687" i="69"/>
  <c r="C877" i="69"/>
  <c r="C10" i="69"/>
  <c r="C749" i="69"/>
  <c r="C483" i="69"/>
  <c r="C327" i="69"/>
  <c r="C961" i="69"/>
  <c r="C1091" i="69"/>
  <c r="C915" i="69"/>
  <c r="C852" i="69"/>
  <c r="C592" i="69"/>
  <c r="C537" i="69"/>
  <c r="C926" i="69"/>
  <c r="C698" i="69"/>
  <c r="C940" i="69"/>
  <c r="C1103" i="69"/>
  <c r="C342" i="69"/>
  <c r="C1016" i="69"/>
  <c r="C1062" i="69"/>
  <c r="C832" i="69"/>
  <c r="C1032" i="69"/>
  <c r="C566" i="69"/>
  <c r="C622" i="69"/>
  <c r="C778" i="69"/>
  <c r="C204" i="69"/>
  <c r="C578" i="69"/>
  <c r="C583" i="69"/>
  <c r="C175" i="69"/>
  <c r="C213" i="69"/>
  <c r="C753" i="69"/>
  <c r="C885" i="69"/>
  <c r="C623" i="69"/>
  <c r="C728" i="69"/>
  <c r="C847" i="69"/>
  <c r="C713" i="69"/>
  <c r="C1055" i="69"/>
  <c r="C535" i="69"/>
  <c r="C920" i="69"/>
  <c r="C229" i="69"/>
  <c r="C765" i="69"/>
  <c r="C737" i="69"/>
  <c r="C594" i="69"/>
  <c r="C101" i="69"/>
  <c r="C230" i="69"/>
  <c r="C990" i="69"/>
  <c r="C30" i="69"/>
  <c r="C127" i="69"/>
  <c r="C501" i="69"/>
  <c r="C586" i="69"/>
  <c r="C958" i="69"/>
  <c r="C257" i="69"/>
  <c r="C1074" i="69"/>
  <c r="C284" i="69"/>
  <c r="C344" i="69"/>
  <c r="C487" i="69"/>
  <c r="C538" i="69"/>
  <c r="C708" i="69"/>
  <c r="C787" i="69"/>
  <c r="C665" i="69"/>
  <c r="C1064" i="69"/>
  <c r="C156" i="69"/>
  <c r="C867" i="69"/>
  <c r="C612" i="69"/>
  <c r="C25" i="69"/>
  <c r="C591" i="69"/>
  <c r="C739" i="69"/>
  <c r="C745" i="69"/>
  <c r="C674" i="69"/>
  <c r="C1087" i="69"/>
  <c r="C746" i="69"/>
  <c r="C777" i="69"/>
  <c r="C159" i="69"/>
  <c r="C773" i="69"/>
  <c r="C827" i="69"/>
  <c r="C212" i="69"/>
  <c r="C561" i="69"/>
  <c r="C901" i="69"/>
  <c r="C747" i="69"/>
  <c r="C587" i="69"/>
  <c r="C107" i="69"/>
  <c r="C185" i="69"/>
  <c r="C822" i="69"/>
  <c r="C1014" i="69"/>
  <c r="C336" i="69"/>
  <c r="C970" i="69"/>
  <c r="C278" i="69"/>
  <c r="C1049" i="69"/>
  <c r="C829" i="69"/>
  <c r="C830" i="69"/>
  <c r="C710" i="69"/>
  <c r="C116" i="69"/>
  <c r="C923" i="69"/>
  <c r="C128" i="69"/>
  <c r="C267" i="69"/>
  <c r="C729" i="69"/>
  <c r="C307" i="69"/>
  <c r="C604" i="69"/>
  <c r="C493" i="69"/>
  <c r="C768" i="69"/>
  <c r="C207" i="69"/>
  <c r="C989" i="69"/>
  <c r="C1012" i="69"/>
  <c r="C962" i="69"/>
  <c r="C34" i="69"/>
  <c r="C634" i="69"/>
  <c r="C632" i="69"/>
  <c r="C122" i="69"/>
  <c r="C918" i="69"/>
  <c r="C977" i="69"/>
  <c r="C718" i="69"/>
  <c r="C880" i="69"/>
  <c r="C123" i="69"/>
  <c r="C1057" i="69"/>
  <c r="C270" i="69"/>
  <c r="C760" i="69"/>
  <c r="C33" i="69"/>
  <c r="C335" i="69"/>
  <c r="C808" i="69"/>
  <c r="C181" i="69"/>
  <c r="C283" i="69"/>
  <c r="C275" i="69"/>
  <c r="C299" i="69"/>
  <c r="C814" i="69"/>
  <c r="C735" i="69"/>
  <c r="C302" i="69"/>
  <c r="C88" i="69"/>
  <c r="C666" i="69"/>
  <c r="C986" i="69"/>
  <c r="C311" i="69"/>
  <c r="C539" i="69"/>
  <c r="C801" i="69"/>
  <c r="C950" i="69"/>
  <c r="C346" i="69"/>
  <c r="C130" i="69"/>
  <c r="C610" i="69"/>
  <c r="C875" i="69"/>
  <c r="C243" i="69"/>
  <c r="C706" i="69"/>
  <c r="C1058" i="69"/>
  <c r="C246" i="69"/>
  <c r="C934" i="69"/>
  <c r="C707" i="69"/>
  <c r="C313" i="69"/>
  <c r="C37" i="69"/>
  <c r="C305" i="69"/>
  <c r="C690" i="69"/>
  <c r="C316" i="69"/>
  <c r="C499" i="69"/>
  <c r="C917" i="69"/>
  <c r="C200" i="69"/>
  <c r="C599" i="69"/>
  <c r="C1069" i="69"/>
  <c r="C44" i="69"/>
  <c r="C1101" i="69"/>
  <c r="C215" i="69"/>
  <c r="C323" i="69"/>
  <c r="C1004" i="69"/>
  <c r="C776" i="69"/>
  <c r="C15" i="69"/>
  <c r="C733" i="69"/>
  <c r="C1060" i="69"/>
  <c r="C581" i="69"/>
  <c r="C834" i="69"/>
  <c r="C167" i="69"/>
  <c r="C157" i="69"/>
  <c r="C724" i="69"/>
  <c r="C1078" i="69"/>
  <c r="C816" i="69"/>
  <c r="C813" i="69"/>
  <c r="C145" i="69"/>
  <c r="C675" i="69"/>
  <c r="C815" i="69"/>
  <c r="C987" i="69"/>
  <c r="C688" i="69"/>
  <c r="C325" i="69"/>
  <c r="C1013" i="69"/>
  <c r="C810" i="69"/>
  <c r="C488" i="69"/>
  <c r="C277" i="69"/>
  <c r="C136" i="69"/>
  <c r="C544" i="69"/>
  <c r="C131" i="69"/>
  <c r="C171" i="69"/>
  <c r="C701" i="69"/>
  <c r="C32" i="69"/>
  <c r="C120" i="69"/>
  <c r="C629" i="69"/>
  <c r="C222" i="69"/>
  <c r="C695" i="69"/>
  <c r="C97" i="69"/>
  <c r="C892" i="69"/>
  <c r="C518" i="69"/>
  <c r="C521" i="69"/>
  <c r="C76" i="69"/>
  <c r="C857" i="69"/>
  <c r="C1040" i="69"/>
  <c r="C209" i="69"/>
  <c r="C188" i="69"/>
  <c r="C662" i="69"/>
  <c r="C269" i="69"/>
  <c r="C725" i="69"/>
  <c r="C619" i="69"/>
  <c r="C919" i="69"/>
  <c r="C715" i="69"/>
  <c r="C224" i="69"/>
  <c r="C985" i="69"/>
  <c r="C676" i="69"/>
  <c r="C764" i="69"/>
  <c r="C259" i="69"/>
  <c r="C274" i="69"/>
  <c r="C800" i="69"/>
  <c r="C219" i="69"/>
  <c r="C1047" i="69"/>
  <c r="C286" i="69"/>
  <c r="C975" i="69"/>
  <c r="C626" i="69"/>
  <c r="C981" i="69"/>
  <c r="C301" i="69"/>
  <c r="C280" i="69"/>
  <c r="C593" i="69"/>
  <c r="C606" i="69"/>
  <c r="C84" i="69"/>
  <c r="C482" i="69"/>
  <c r="C1099" i="69"/>
  <c r="C234" i="69"/>
  <c r="C345" i="69"/>
  <c r="C1095" i="69"/>
  <c r="C939" i="69"/>
  <c r="C330" i="69"/>
  <c r="C572" i="69"/>
  <c r="C790" i="69"/>
  <c r="C502" i="69"/>
  <c r="C795" i="69"/>
  <c r="C250" i="69"/>
  <c r="C933" i="69"/>
  <c r="C217" i="69"/>
  <c r="C83" i="69"/>
  <c r="C804" i="69"/>
  <c r="C654" i="69"/>
  <c r="C871" i="69"/>
  <c r="C904" i="69"/>
  <c r="C1110" i="69"/>
  <c r="C699" i="69"/>
  <c r="C98" i="69"/>
  <c r="C882" i="69"/>
  <c r="C858" i="69"/>
  <c r="C1002" i="69"/>
  <c r="C201" i="69"/>
  <c r="C308" i="69"/>
  <c r="C1112" i="69"/>
  <c r="C837" i="69"/>
  <c r="C897" i="69"/>
  <c r="C979" i="69"/>
  <c r="C697" i="69"/>
  <c r="C929" i="69"/>
  <c r="C805" i="69"/>
  <c r="C679" i="69"/>
  <c r="C836" i="69"/>
  <c r="C775" i="69"/>
  <c r="C504" i="69"/>
  <c r="C1021" i="69"/>
  <c r="C582" i="69"/>
  <c r="C343" i="69"/>
  <c r="C1007" i="69"/>
  <c r="C817" i="69"/>
  <c r="C911" i="69"/>
  <c r="C574" i="69"/>
  <c r="C983" i="69"/>
  <c r="C625" i="69"/>
  <c r="C798" i="69"/>
  <c r="C757" i="69"/>
  <c r="C210" i="69"/>
  <c r="C864" i="69"/>
  <c r="C1033" i="69"/>
  <c r="C550" i="69"/>
  <c r="C1034" i="69"/>
  <c r="C803" i="69"/>
  <c r="C946" i="69"/>
  <c r="C6" i="69"/>
  <c r="C828" i="69"/>
  <c r="C314" i="69"/>
  <c r="C125" i="69"/>
  <c r="C684" i="69"/>
  <c r="C21" i="69"/>
  <c r="C849" i="69"/>
  <c r="C349" i="69"/>
  <c r="C526" i="69"/>
  <c r="C754" i="69"/>
  <c r="C1015" i="69"/>
  <c r="C640" i="69"/>
  <c r="C944" i="69"/>
  <c r="C613" i="69"/>
  <c r="C172" i="69"/>
  <c r="C290" i="69"/>
  <c r="C823" i="69"/>
  <c r="C214" i="69"/>
  <c r="C187" i="69"/>
  <c r="C331" i="69"/>
  <c r="C149" i="69"/>
  <c r="C843" i="69"/>
  <c r="C590" i="69"/>
  <c r="C571" i="69"/>
  <c r="C484" i="69"/>
  <c r="C348" i="69"/>
  <c r="C74" i="69"/>
  <c r="C140" i="69"/>
  <c r="C719" i="69"/>
  <c r="C758" i="69"/>
  <c r="C655" i="69"/>
  <c r="C611" i="69"/>
  <c r="C969" i="69"/>
  <c r="C562" i="69"/>
  <c r="C173" i="69"/>
  <c r="C318" i="69"/>
  <c r="C355" i="69"/>
  <c r="C980" i="69"/>
  <c r="C870" i="69"/>
  <c r="C337" i="69"/>
  <c r="C238" i="69"/>
  <c r="C995" i="69"/>
  <c r="C559" i="69"/>
  <c r="C1072" i="69"/>
  <c r="C505" i="69"/>
  <c r="C608" i="69"/>
  <c r="C781" i="69"/>
  <c r="C1006" i="69"/>
  <c r="C261" i="69"/>
  <c r="C763" i="69"/>
  <c r="C565" i="69"/>
  <c r="C43" i="69"/>
  <c r="C193" i="69"/>
  <c r="C601" i="69"/>
  <c r="C276" i="69"/>
  <c r="C575" i="69"/>
  <c r="C859" i="69"/>
  <c r="C249" i="69"/>
  <c r="C607" i="69"/>
  <c r="C584" i="69"/>
  <c r="C903" i="69"/>
  <c r="C273" i="69"/>
  <c r="C532" i="69"/>
  <c r="C111" i="69"/>
  <c r="C14" i="69"/>
  <c r="C87" i="69"/>
  <c r="C900" i="69"/>
  <c r="C555" i="69"/>
  <c r="C569" i="69"/>
  <c r="C186" i="69"/>
  <c r="C151" i="69"/>
  <c r="C73" i="69"/>
  <c r="C517" i="69"/>
  <c r="C350" i="69"/>
  <c r="C486" i="69"/>
  <c r="C588" i="69"/>
  <c r="C206" i="69"/>
  <c r="C540" i="69"/>
  <c r="C618" i="69"/>
  <c r="C260" i="69"/>
  <c r="C678" i="69"/>
  <c r="C291" i="69"/>
  <c r="C796" i="69"/>
  <c r="C680" i="69"/>
  <c r="C184" i="69"/>
  <c r="C134" i="69"/>
  <c r="C27" i="69"/>
  <c r="C1046" i="69"/>
  <c r="C741" i="69"/>
  <c r="C268" i="69"/>
  <c r="C705" i="69"/>
  <c r="C668" i="69"/>
  <c r="C79" i="69"/>
  <c r="C132" i="69"/>
  <c r="C913" i="69"/>
  <c r="C255" i="69"/>
  <c r="C306" i="69"/>
  <c r="C551" i="69"/>
  <c r="C497" i="69"/>
  <c r="C165" i="69"/>
  <c r="C968" i="69"/>
  <c r="C557" i="69"/>
  <c r="C190" i="69"/>
  <c r="C704" i="69"/>
  <c r="C1028" i="69"/>
  <c r="C941" i="69"/>
  <c r="C163" i="69"/>
  <c r="C109" i="69"/>
  <c r="C779" i="69"/>
  <c r="C930" i="69"/>
  <c r="C1077" i="69"/>
  <c r="C252" i="69"/>
  <c r="C825" i="69"/>
  <c r="C208" i="69"/>
  <c r="C104" i="69"/>
  <c r="C671" i="69"/>
  <c r="C683" i="69"/>
  <c r="C1022" i="69"/>
  <c r="C602" i="69"/>
  <c r="C523" i="69"/>
  <c r="C494" i="69"/>
  <c r="C119" i="69"/>
  <c r="C103" i="69"/>
  <c r="C90" i="69"/>
  <c r="C148" i="69"/>
  <c r="C334" i="69"/>
  <c r="C570" i="69"/>
  <c r="C948" i="69"/>
  <c r="C545" i="69"/>
  <c r="C673" i="69"/>
  <c r="C839" i="69"/>
  <c r="C525" i="69"/>
  <c r="C743" i="69"/>
  <c r="C812" i="69"/>
  <c r="C507" i="69"/>
  <c r="C38" i="69"/>
  <c r="C786" i="69"/>
  <c r="C616" i="69"/>
  <c r="C139" i="69"/>
  <c r="C1107" i="69"/>
  <c r="C643" i="69"/>
  <c r="C694" i="69"/>
  <c r="C99" i="69"/>
  <c r="C905" i="69"/>
  <c r="C137" i="69"/>
  <c r="C5" i="69"/>
  <c r="C717" i="69"/>
  <c r="C784" i="69"/>
  <c r="C833" i="69"/>
  <c r="C115" i="69"/>
  <c r="C258" i="69"/>
  <c r="C23" i="69"/>
  <c r="C943" i="69"/>
  <c r="C819" i="69"/>
  <c r="C711" i="69"/>
  <c r="C160" i="69"/>
  <c r="C982" i="69"/>
  <c r="C899" i="69"/>
  <c r="C300" i="69"/>
  <c r="C126" i="69"/>
  <c r="C47" i="69"/>
  <c r="C638" i="69"/>
  <c r="C811" i="69"/>
  <c r="C248" i="69"/>
  <c r="C536" i="69"/>
  <c r="C285" i="69"/>
  <c r="C1086" i="69"/>
  <c r="C963" i="69"/>
  <c r="C744" i="69"/>
  <c r="C876" i="69"/>
  <c r="C692" i="69"/>
  <c r="C142" i="69"/>
  <c r="C964" i="69"/>
  <c r="C534" i="69"/>
  <c r="C663" i="69"/>
  <c r="C503" i="69"/>
  <c r="C180" i="69"/>
  <c r="C91" i="69"/>
  <c r="C113" i="69"/>
  <c r="C978" i="69"/>
  <c r="C509" i="69"/>
  <c r="C865" i="69"/>
  <c r="C490" i="69"/>
  <c r="C154" i="69"/>
  <c r="C1010" i="69"/>
  <c r="C485" i="69"/>
  <c r="C329" i="69"/>
  <c r="C233" i="69"/>
  <c r="C738" i="69"/>
  <c r="C998" i="69"/>
  <c r="C247" i="69"/>
  <c r="C887" i="69"/>
  <c r="C1008" i="69"/>
  <c r="C646" i="69"/>
  <c r="C543" i="69"/>
  <c r="C597" i="69"/>
  <c r="C177" i="69"/>
  <c r="C1043" i="69"/>
  <c r="C288" i="69"/>
  <c r="C955" i="69"/>
  <c r="C752" i="69"/>
  <c r="C81" i="69"/>
  <c r="C11" i="69"/>
  <c r="C80" i="69"/>
  <c r="C516" i="69"/>
  <c r="C685" i="69"/>
  <c r="C910" i="69"/>
  <c r="C573" i="69"/>
  <c r="C226" i="69"/>
  <c r="C893" i="69"/>
  <c r="C971" i="69"/>
  <c r="C1009" i="69"/>
  <c r="C767" i="69"/>
  <c r="C844" i="69"/>
  <c r="C637" i="69"/>
  <c r="C240" i="69"/>
  <c r="C322" i="69"/>
  <c r="C621" i="69"/>
  <c r="C515" i="69"/>
  <c r="C691" i="69"/>
  <c r="C85" i="69"/>
  <c r="C924" i="69"/>
  <c r="C714" i="69"/>
  <c r="C105" i="69"/>
  <c r="C529" i="69"/>
  <c r="C861" i="69"/>
  <c r="C770" i="69"/>
  <c r="C1030" i="69"/>
  <c r="C799" i="69"/>
  <c r="C528" i="69"/>
  <c r="C742" i="69"/>
  <c r="C353" i="69"/>
  <c r="C16" i="69"/>
  <c r="C2" i="69"/>
  <c r="C624" i="69"/>
  <c r="C45" i="69"/>
  <c r="C951" i="69"/>
  <c r="C912" i="69"/>
  <c r="C656" i="69"/>
  <c r="C617" i="69"/>
  <c r="C1105" i="69"/>
  <c r="C1026" i="69"/>
  <c r="C642" i="69"/>
  <c r="C262" i="69"/>
  <c r="C293" i="69"/>
  <c r="C546" i="69"/>
  <c r="C716" i="69"/>
  <c r="C785" i="69"/>
  <c r="C251" i="69"/>
  <c r="C956" i="69"/>
  <c r="C168" i="69"/>
  <c r="C1019" i="69"/>
  <c r="C333" i="69"/>
  <c r="C533" i="69"/>
  <c r="C927" i="69"/>
  <c r="C712" i="69"/>
  <c r="C141" i="69"/>
  <c r="C108" i="69"/>
  <c r="C12" i="69"/>
  <c r="C1056" i="69"/>
  <c r="C46" i="69"/>
  <c r="C884" i="69"/>
  <c r="C1024" i="69"/>
  <c r="C124" i="69"/>
  <c r="C835" i="69"/>
  <c r="C568" i="69"/>
  <c r="C39" i="69"/>
  <c r="C500" i="69"/>
  <c r="C872" i="69"/>
  <c r="C595" i="69"/>
  <c r="C649" i="69"/>
  <c r="C806" i="69"/>
  <c r="C842" i="69"/>
  <c r="C620" i="69"/>
  <c r="C996" i="69"/>
  <c r="C1065" i="69"/>
  <c r="C973" i="69"/>
  <c r="C627" i="69"/>
  <c r="C782" i="69"/>
  <c r="C902" i="69"/>
  <c r="C510" i="69"/>
  <c r="C241" i="69"/>
  <c r="C992" i="69"/>
  <c r="C3" i="69"/>
  <c r="C840" i="69"/>
  <c r="C631" i="69"/>
  <c r="C19" i="69"/>
  <c r="C1054" i="69"/>
  <c r="C854" i="69"/>
  <c r="C1025" i="69"/>
  <c r="C317" i="69"/>
  <c r="C762" i="69"/>
  <c r="C630" i="69"/>
  <c r="C265" i="69"/>
  <c r="C667" i="69"/>
  <c r="C315" i="69"/>
  <c r="C22" i="69"/>
  <c r="C589" i="69"/>
  <c r="C223" i="69"/>
  <c r="C672" i="69"/>
  <c r="C93" i="69"/>
  <c r="C1038" i="69"/>
  <c r="C1111" i="69"/>
  <c r="C294" i="69"/>
  <c r="C1011" i="69"/>
  <c r="C1023" i="69"/>
  <c r="C192" i="69"/>
  <c r="C296" i="69"/>
  <c r="C740" i="69"/>
  <c r="C1084" i="69"/>
  <c r="C95" i="69"/>
  <c r="C1115" i="69"/>
  <c r="C721" i="69"/>
  <c r="C916" i="69"/>
  <c r="C907" i="69"/>
  <c r="C682" i="69"/>
  <c r="C792" i="69"/>
  <c r="C615" i="69"/>
  <c r="C506" i="69"/>
  <c r="C1102" i="69"/>
  <c r="C1031" i="69"/>
  <c r="C914" i="69"/>
  <c r="C873" i="69"/>
  <c r="C310" i="69"/>
  <c r="C511" i="69"/>
  <c r="C102" i="69"/>
  <c r="C320" i="69"/>
  <c r="C41" i="69"/>
  <c r="C821" i="69"/>
  <c r="C1100" i="69"/>
  <c r="C794" i="69"/>
  <c r="C894" i="69"/>
  <c r="C793" i="69"/>
  <c r="C237" i="69"/>
  <c r="C86" i="69"/>
  <c r="C669" i="69"/>
  <c r="C959" i="69"/>
  <c r="C661" i="69"/>
  <c r="C1093" i="69"/>
  <c r="C253" i="69"/>
  <c r="C297" i="69"/>
  <c r="C24" i="69"/>
  <c r="C527" i="69"/>
  <c r="C106" i="69"/>
  <c r="C802" i="69"/>
  <c r="C780" i="69"/>
  <c r="C769" i="69"/>
  <c r="C579" i="69"/>
  <c r="C960" i="69"/>
  <c r="C303" i="69"/>
  <c r="C942" i="69"/>
  <c r="C609" i="69"/>
  <c r="C1050" i="69"/>
  <c r="C633" i="69"/>
  <c r="C1094" i="69"/>
  <c r="C218" i="69"/>
  <c r="C549" i="69"/>
  <c r="C216" i="69"/>
  <c r="C178" i="69"/>
  <c r="C881" i="69"/>
  <c r="C664" i="69"/>
  <c r="C174" i="69"/>
  <c r="C774" i="69"/>
  <c r="C736" i="69"/>
  <c r="C1063" i="69"/>
  <c r="C556" i="69"/>
  <c r="C635" i="69"/>
  <c r="C1075" i="69"/>
  <c r="C1106" i="69"/>
  <c r="C605" i="69"/>
  <c r="C166" i="69"/>
  <c r="C530" i="69"/>
  <c r="C169" i="69"/>
  <c r="C845" i="69"/>
  <c r="C292" i="69"/>
  <c r="C700" i="69"/>
  <c r="C974" i="69"/>
  <c r="C110" i="69"/>
  <c r="C295" i="69"/>
  <c r="C197" i="69"/>
  <c r="C772" i="69"/>
  <c r="C558" i="69"/>
  <c r="C797" i="69"/>
  <c r="C984" i="69"/>
  <c r="C232" i="69"/>
  <c r="C1027" i="69"/>
  <c r="C40" i="69"/>
  <c r="C890" i="69"/>
  <c r="C653" i="69"/>
  <c r="C1020" i="69"/>
  <c r="C1029" i="69"/>
  <c r="C1114" i="69"/>
  <c r="C1089" i="69"/>
  <c r="C1079" i="69"/>
  <c r="C326" i="69"/>
  <c r="C202" i="69"/>
  <c r="C807" i="69"/>
  <c r="C231" i="69"/>
  <c r="C492" i="69"/>
  <c r="C965" i="69"/>
  <c r="C162" i="69"/>
  <c r="C727" i="69"/>
  <c r="C644" i="69"/>
  <c r="C341" i="69"/>
  <c r="C820" i="69"/>
  <c r="C17" i="69"/>
  <c r="C287" i="69"/>
  <c r="C846" i="69"/>
  <c r="C751" i="69"/>
  <c r="C954" i="69"/>
  <c r="C945" i="69"/>
  <c r="C853" i="69"/>
  <c r="C183" i="69"/>
  <c r="C495" i="69"/>
  <c r="C936" i="69"/>
  <c r="C726" i="69"/>
  <c r="C158" i="69"/>
  <c r="C513" i="69"/>
  <c r="C319" i="69"/>
  <c r="C576" i="69"/>
  <c r="C489" i="69"/>
  <c r="C1109" i="69"/>
  <c r="C289" i="69"/>
  <c r="C600" i="69"/>
  <c r="C347" i="69"/>
  <c r="C789" i="69"/>
  <c r="C1098" i="69"/>
  <c r="C1066" i="69"/>
  <c r="C1035" i="69"/>
  <c r="C1036" i="69"/>
  <c r="C651" i="69"/>
  <c r="C153" i="69"/>
  <c r="C356" i="69"/>
  <c r="C164" i="69"/>
  <c r="C993" i="69"/>
  <c r="C117" i="69"/>
  <c r="C1044" i="69"/>
  <c r="C351" i="69"/>
  <c r="C7" i="69"/>
  <c r="C908" i="69"/>
  <c r="C580" i="69"/>
  <c r="C94" i="69"/>
  <c r="C598" i="69"/>
  <c r="C26" i="69"/>
  <c r="C1090" i="69"/>
  <c r="C8" i="69"/>
  <c r="C520" i="69"/>
  <c r="C831" i="69"/>
  <c r="C263" i="69"/>
  <c r="C179" i="69"/>
  <c r="C28" i="69"/>
  <c r="C925" i="69"/>
  <c r="C783" i="69"/>
  <c r="C82" i="69"/>
  <c r="C997" i="69"/>
  <c r="C932" i="69"/>
  <c r="C874" i="69"/>
  <c r="C771" i="69"/>
  <c r="C976" i="69"/>
  <c r="C824" i="69"/>
  <c r="C734" i="69"/>
  <c r="C236" i="69"/>
  <c r="C78" i="69"/>
  <c r="C195" i="69"/>
  <c r="C755" i="69"/>
  <c r="C1116" i="69"/>
  <c r="C636" i="69"/>
  <c r="C531" i="69"/>
  <c r="C921" i="69"/>
  <c r="C966" i="69"/>
  <c r="C20" i="69"/>
  <c r="C1001" i="69"/>
  <c r="C898" i="69"/>
  <c r="C552" i="69"/>
  <c r="C146" i="69"/>
  <c r="C878" i="69"/>
  <c r="C1059" i="69"/>
  <c r="C147" i="69"/>
  <c r="C35" i="69"/>
  <c r="C36" i="69"/>
  <c r="C282" i="69"/>
  <c r="C72" i="69"/>
  <c r="C596" i="69"/>
  <c r="C198" i="69"/>
  <c r="C121" i="69"/>
  <c r="C9" i="69"/>
  <c r="C818" i="69"/>
  <c r="C650" i="69"/>
  <c r="C77" i="69"/>
  <c r="C1052" i="69"/>
  <c r="C722" i="69"/>
  <c r="C957" i="69"/>
  <c r="C641" i="69"/>
  <c r="C1053" i="69"/>
  <c r="C1073" i="69"/>
  <c r="C863" i="69"/>
  <c r="C1005" i="69"/>
  <c r="C118" i="69"/>
  <c r="C519" i="69"/>
  <c r="C994" i="69"/>
  <c r="C603" i="69"/>
  <c r="C161" i="69"/>
  <c r="C949" i="69"/>
  <c r="C138" i="69"/>
  <c r="C841" i="69"/>
  <c r="C809" i="69"/>
  <c r="C686" i="69"/>
  <c r="C732" i="69"/>
  <c r="C677" i="69"/>
  <c r="C176" i="69"/>
  <c r="C220" i="69"/>
  <c r="C211" i="69"/>
  <c r="C133" i="69"/>
  <c r="C879" i="69"/>
  <c r="C935" i="69"/>
  <c r="C1048" i="69"/>
</calcChain>
</file>

<file path=xl/sharedStrings.xml><?xml version="1.0" encoding="utf-8"?>
<sst xmlns="http://schemas.openxmlformats.org/spreadsheetml/2006/main" count="3574" uniqueCount="1203">
  <si>
    <t>6.2.2</t>
  </si>
  <si>
    <t>6.2.3</t>
  </si>
  <si>
    <t>6.2.4</t>
  </si>
  <si>
    <t>6.3</t>
  </si>
  <si>
    <t>6.3.2</t>
  </si>
  <si>
    <t xml:space="preserve">Dateneingabe zur Berichtserstellung  </t>
  </si>
  <si>
    <t>Epmath</t>
  </si>
  <si>
    <t>Kombinationsmöglichkeiten A-B-C</t>
  </si>
  <si>
    <t>Auftrag:</t>
  </si>
  <si>
    <t>Datum:</t>
  </si>
  <si>
    <t>x</t>
  </si>
  <si>
    <t>Auftragsgrund:</t>
  </si>
  <si>
    <t>Auditor:</t>
  </si>
  <si>
    <t>Abteilung:</t>
  </si>
  <si>
    <t>Lief.-Nr.:</t>
  </si>
  <si>
    <t>Prozessschritte:</t>
  </si>
  <si>
    <t>Prozessschritt-Nr.:</t>
  </si>
  <si>
    <t>Geschäftsführung:</t>
  </si>
  <si>
    <t>Straße:</t>
  </si>
  <si>
    <t>Werkleitung:</t>
  </si>
  <si>
    <t>Q-Management:</t>
  </si>
  <si>
    <t>Forschung/Entwicklung:</t>
  </si>
  <si>
    <t>Telefon-Nummer:</t>
  </si>
  <si>
    <t>Fax-Nummer:</t>
  </si>
  <si>
    <t>A</t>
  </si>
  <si>
    <t>Letzte Auditergebnisse / Zertifikate</t>
  </si>
  <si>
    <t>Datum</t>
  </si>
  <si>
    <t>Erste:</t>
  </si>
  <si>
    <t>Zweite:</t>
  </si>
  <si>
    <t>Dritte:</t>
  </si>
  <si>
    <t>E1</t>
  </si>
  <si>
    <t>E2</t>
  </si>
  <si>
    <t>E3</t>
  </si>
  <si>
    <t>Firma (Kurzform):</t>
  </si>
  <si>
    <t>Verteiler 1 Firma:</t>
  </si>
  <si>
    <t>Verteiler 2 Firma:</t>
  </si>
  <si>
    <t>Verteiler 3 Firma:</t>
  </si>
  <si>
    <t>1.:</t>
  </si>
  <si>
    <t>2.:</t>
  </si>
  <si>
    <t>B</t>
  </si>
  <si>
    <t>3.:</t>
  </si>
  <si>
    <t>C</t>
  </si>
  <si>
    <t>4.:</t>
  </si>
  <si>
    <t>5.:</t>
  </si>
  <si>
    <t>6.:</t>
  </si>
  <si>
    <t>7.:</t>
  </si>
  <si>
    <t>Feststellungen / Erfordernisse:</t>
  </si>
  <si>
    <t>EU1</t>
  </si>
  <si>
    <t>EU2</t>
  </si>
  <si>
    <t>EU3</t>
  </si>
  <si>
    <t>EU4</t>
  </si>
  <si>
    <t>Sofortmaßnahmen</t>
  </si>
  <si>
    <t>Teilnehmer:</t>
  </si>
  <si>
    <t>vom auditierten Bereich auszufüllen</t>
  </si>
  <si>
    <t>Ver-antwortung</t>
  </si>
  <si>
    <t>Prozesschritte</t>
  </si>
  <si>
    <t>2.1</t>
  </si>
  <si>
    <t>Fertigungsstätte (PLZ):</t>
  </si>
  <si>
    <t>Eu1-Eu3</t>
  </si>
  <si>
    <t>Entwicklung</t>
  </si>
  <si>
    <t>Serienfertigung</t>
  </si>
  <si>
    <t>5 Prozess Wirkungsgrad</t>
  </si>
  <si>
    <t>6.1.3</t>
  </si>
  <si>
    <t>6.1.4</t>
  </si>
  <si>
    <t>6.1.5</t>
  </si>
  <si>
    <t>6.2.5</t>
  </si>
  <si>
    <t>6.3.1</t>
  </si>
  <si>
    <t>6.3.3</t>
  </si>
  <si>
    <t>6.4.1</t>
  </si>
  <si>
    <t>6.4.3</t>
  </si>
  <si>
    <t>6.4.4</t>
  </si>
  <si>
    <t>6.5.1</t>
  </si>
  <si>
    <t>6.5.2</t>
  </si>
  <si>
    <t>6.6.2</t>
  </si>
  <si>
    <t>6.6.3</t>
  </si>
  <si>
    <t>6.6.4</t>
  </si>
  <si>
    <t>6.1.2</t>
  </si>
  <si>
    <t>Erfüllungsgrad:</t>
  </si>
  <si>
    <t>2  Arbeitsinhalte / Prozessablauf</t>
  </si>
  <si>
    <t>3 Prozess- unterstützung</t>
  </si>
  <si>
    <t>6 Prozess Ergebnis / Output</t>
  </si>
  <si>
    <t>Auswertungen der Unterelemente zur Prozessanalyse  (Mittelwert Stufen 1 - n)</t>
  </si>
  <si>
    <r>
      <t>E</t>
    </r>
    <r>
      <rPr>
        <b/>
        <vertAlign val="subscript"/>
        <sz val="10"/>
        <rFont val="Arial"/>
        <family val="2"/>
      </rPr>
      <t>u7</t>
    </r>
  </si>
  <si>
    <r>
      <t>E</t>
    </r>
    <r>
      <rPr>
        <b/>
        <vertAlign val="subscript"/>
        <sz val="10"/>
        <rFont val="Arial"/>
        <family val="2"/>
      </rPr>
      <t>u6</t>
    </r>
  </si>
  <si>
    <r>
      <t>E</t>
    </r>
    <r>
      <rPr>
        <b/>
        <vertAlign val="subscript"/>
        <sz val="10"/>
        <rFont val="Arial"/>
        <family val="2"/>
      </rPr>
      <t>u5</t>
    </r>
  </si>
  <si>
    <r>
      <t>E</t>
    </r>
    <r>
      <rPr>
        <b/>
        <vertAlign val="subscript"/>
        <sz val="10"/>
        <rFont val="Arial"/>
        <family val="2"/>
      </rPr>
      <t>u4</t>
    </r>
  </si>
  <si>
    <r>
      <t>E</t>
    </r>
    <r>
      <rPr>
        <b/>
        <vertAlign val="subscript"/>
        <sz val="10"/>
        <rFont val="Arial"/>
        <family val="2"/>
      </rPr>
      <t>u3</t>
    </r>
  </si>
  <si>
    <r>
      <t>E</t>
    </r>
    <r>
      <rPr>
        <b/>
        <vertAlign val="subscript"/>
        <sz val="10"/>
        <rFont val="Arial"/>
        <family val="2"/>
      </rPr>
      <t>u2</t>
    </r>
  </si>
  <si>
    <r>
      <t>E</t>
    </r>
    <r>
      <rPr>
        <b/>
        <vertAlign val="subscript"/>
        <sz val="10"/>
        <rFont val="Arial"/>
        <family val="2"/>
      </rPr>
      <t>u1</t>
    </r>
  </si>
  <si>
    <t>6.2.3*</t>
  </si>
  <si>
    <t>6.2.4*</t>
  </si>
  <si>
    <r>
      <t>E</t>
    </r>
    <r>
      <rPr>
        <b/>
        <vertAlign val="subscript"/>
        <sz val="9"/>
        <rFont val="Arial"/>
        <family val="2"/>
      </rPr>
      <t xml:space="preserve">PzP </t>
    </r>
  </si>
  <si>
    <t>Prozessschritt  1:</t>
  </si>
  <si>
    <t>Prozessschritt  2:</t>
  </si>
  <si>
    <t>Prozessschritt  3:</t>
  </si>
  <si>
    <t>5.1</t>
  </si>
  <si>
    <t>6.1</t>
  </si>
  <si>
    <t>Einstufung:</t>
  </si>
  <si>
    <r>
      <t>E</t>
    </r>
    <r>
      <rPr>
        <b/>
        <vertAlign val="subscript"/>
        <sz val="9"/>
        <rFont val="Arial"/>
        <family val="2"/>
      </rPr>
      <t xml:space="preserve">PdP </t>
    </r>
  </si>
  <si>
    <r>
      <t>E</t>
    </r>
    <r>
      <rPr>
        <b/>
        <vertAlign val="subscript"/>
        <sz val="9"/>
        <rFont val="Arial"/>
        <family val="2"/>
      </rPr>
      <t xml:space="preserve">PdR </t>
    </r>
  </si>
  <si>
    <r>
      <t>E</t>
    </r>
    <r>
      <rPr>
        <b/>
        <vertAlign val="subscript"/>
        <sz val="9"/>
        <rFont val="Arial"/>
        <family val="2"/>
      </rPr>
      <t xml:space="preserve">PzR </t>
    </r>
  </si>
  <si>
    <r>
      <t>E</t>
    </r>
    <r>
      <rPr>
        <b/>
        <vertAlign val="subscript"/>
        <sz val="9"/>
        <rFont val="Arial"/>
        <family val="2"/>
      </rPr>
      <t>1</t>
    </r>
  </si>
  <si>
    <r>
      <t>E</t>
    </r>
    <r>
      <rPr>
        <b/>
        <vertAlign val="subscript"/>
        <sz val="9"/>
        <rFont val="Arial"/>
        <family val="2"/>
      </rPr>
      <t>2</t>
    </r>
  </si>
  <si>
    <r>
      <t>E</t>
    </r>
    <r>
      <rPr>
        <b/>
        <vertAlign val="subscript"/>
        <sz val="9"/>
        <rFont val="Arial"/>
        <family val="2"/>
      </rPr>
      <t>3</t>
    </r>
  </si>
  <si>
    <r>
      <t>E</t>
    </r>
    <r>
      <rPr>
        <b/>
        <vertAlign val="subscript"/>
        <sz val="12"/>
        <rFont val="Arial"/>
        <family val="2"/>
      </rPr>
      <t>D</t>
    </r>
    <r>
      <rPr>
        <b/>
        <sz val="12"/>
        <rFont val="Arial"/>
        <family val="2"/>
      </rPr>
      <t xml:space="preserve"> [%]</t>
    </r>
  </si>
  <si>
    <r>
      <t>E</t>
    </r>
    <r>
      <rPr>
        <b/>
        <vertAlign val="subscript"/>
        <sz val="12"/>
        <rFont val="Arial"/>
        <family val="2"/>
      </rPr>
      <t>P</t>
    </r>
    <r>
      <rPr>
        <b/>
        <sz val="12"/>
        <rFont val="Arial"/>
        <family val="2"/>
      </rPr>
      <t>[%]</t>
    </r>
  </si>
  <si>
    <t>2.4</t>
  </si>
  <si>
    <t>Epteilnoten</t>
  </si>
  <si>
    <t>Punkte</t>
  </si>
  <si>
    <t>Nr.</t>
  </si>
  <si>
    <t>Frage</t>
  </si>
  <si>
    <t>* Fragen</t>
  </si>
  <si>
    <t>3.1</t>
  </si>
  <si>
    <t>3.2</t>
  </si>
  <si>
    <t>3.3</t>
  </si>
  <si>
    <t>3.4</t>
  </si>
  <si>
    <t>3.5</t>
  </si>
  <si>
    <t>n.b.</t>
  </si>
  <si>
    <t>Prozessaudit</t>
  </si>
  <si>
    <t>4.1</t>
  </si>
  <si>
    <t>Vierte:</t>
  </si>
  <si>
    <t>Termin</t>
  </si>
  <si>
    <t>Druckauswahl</t>
  </si>
  <si>
    <t>Deckblatt</t>
  </si>
  <si>
    <t>Q-Fähigkeit</t>
  </si>
  <si>
    <t>Proz-Balken</t>
  </si>
  <si>
    <t>Streifenliste</t>
  </si>
  <si>
    <t>QTP dt.</t>
  </si>
  <si>
    <t>Auswertg 1+3</t>
  </si>
  <si>
    <t>Auswertg 2</t>
  </si>
  <si>
    <t>Erläuterung</t>
  </si>
  <si>
    <t>QTP engl.</t>
  </si>
  <si>
    <t>Vorabkopie</t>
  </si>
  <si>
    <t>Produktgruppe 1</t>
  </si>
  <si>
    <t>Produktgruppe 3</t>
  </si>
  <si>
    <t>Produktgruppe 2</t>
  </si>
  <si>
    <t>Produktgruppe 4</t>
  </si>
  <si>
    <t>Projektmanagement</t>
  </si>
  <si>
    <t>P2</t>
  </si>
  <si>
    <t>P3</t>
  </si>
  <si>
    <t>P4</t>
  </si>
  <si>
    <t>P5</t>
  </si>
  <si>
    <t>P6</t>
  </si>
  <si>
    <t>P7</t>
  </si>
  <si>
    <t>EU5</t>
  </si>
  <si>
    <t>EU6</t>
  </si>
  <si>
    <t>Generischer Ansatz</t>
  </si>
  <si>
    <t>Auditbericht VDA 6.3  Beurteilung der Qualitätsfähigkeit</t>
  </si>
  <si>
    <t>C = 9</t>
  </si>
  <si>
    <t>B = 2</t>
  </si>
  <si>
    <t>A = 1</t>
  </si>
  <si>
    <t>ProdA</t>
  </si>
  <si>
    <t>ProduktA</t>
  </si>
  <si>
    <t>ProduktA2</t>
  </si>
  <si>
    <t>ProzessA</t>
  </si>
  <si>
    <t xml:space="preserve">Ergebnis VDA 6.3 Fragenkatalog Prozessaudit </t>
  </si>
  <si>
    <t>Werden nur freigegebene und qualitätsfähige Lieferanten eingesetzt?</t>
  </si>
  <si>
    <t>Werden die Kundenanforderungen in der Lieferkette berücksichtigt?</t>
  </si>
  <si>
    <t>Sind mit den Lieferanten Zielvereinbarungen für die Lieferleistung abgestimmt und umgesetzt?</t>
  </si>
  <si>
    <t>5.2</t>
  </si>
  <si>
    <t>5.3</t>
  </si>
  <si>
    <t>5.4</t>
  </si>
  <si>
    <t>Ist die vereinbarte Qualität der Beschaffungsumfänge gewährleistet?</t>
  </si>
  <si>
    <t>Sind für die beschafften Umfänge die erforderlichen Freigaben vorhanden?</t>
  </si>
  <si>
    <t>5.5</t>
  </si>
  <si>
    <t>5.6</t>
  </si>
  <si>
    <t>5.7</t>
  </si>
  <si>
    <t>6.1.1</t>
  </si>
  <si>
    <t>6.2</t>
  </si>
  <si>
    <t>6.2.1</t>
  </si>
  <si>
    <t>6.4</t>
  </si>
  <si>
    <t>6.4.2</t>
  </si>
  <si>
    <t>Sind die Arbeits- und Prüfplätze den Erfordernissen angemessen?</t>
  </si>
  <si>
    <t>Werden Werkzeuge, Einrichtungen und Prüfmittel sachgemäß gelagert?</t>
  </si>
  <si>
    <t>6.5</t>
  </si>
  <si>
    <t>6.5.3</t>
  </si>
  <si>
    <t>6.5.4</t>
  </si>
  <si>
    <t>Werden Prozesse und Produkte regelmäßig auditiert?</t>
  </si>
  <si>
    <t>6.6</t>
  </si>
  <si>
    <t>6.6.1</t>
  </si>
  <si>
    <t>7.1</t>
  </si>
  <si>
    <t>7.2</t>
  </si>
  <si>
    <t>Ist die Kundenbetreuung gewährleistet?</t>
  </si>
  <si>
    <t>7.3</t>
  </si>
  <si>
    <t>7.4</t>
  </si>
  <si>
    <t>7.5</t>
  </si>
  <si>
    <t>2.2</t>
  </si>
  <si>
    <t>Sind für die Projektabwicklung die erforderlichen Ressourcen geplant, vorhanden und werden Änderungen angezeigt?</t>
  </si>
  <si>
    <t>2.3</t>
  </si>
  <si>
    <t>Ist ein Projektplan vorhanden und mit dem Kunden abgestimmt?</t>
  </si>
  <si>
    <t>2.5</t>
  </si>
  <si>
    <t>2.6</t>
  </si>
  <si>
    <t>2.7</t>
  </si>
  <si>
    <t>Liegen die produkt- und prozessspezifischen Anforderungen vor?</t>
  </si>
  <si>
    <t>4.2</t>
  </si>
  <si>
    <t>4.3</t>
  </si>
  <si>
    <t>4.4</t>
  </si>
  <si>
    <t>4.5</t>
  </si>
  <si>
    <t>4.6</t>
  </si>
  <si>
    <t>4.7</t>
  </si>
  <si>
    <t>EU7</t>
  </si>
  <si>
    <t>7 Transport und Teilehandling</t>
  </si>
  <si>
    <r>
      <t>E</t>
    </r>
    <r>
      <rPr>
        <b/>
        <vertAlign val="subscript"/>
        <sz val="14"/>
        <rFont val="Arial"/>
        <family val="2"/>
      </rPr>
      <t>PN</t>
    </r>
  </si>
  <si>
    <t>Verteiler intern:</t>
  </si>
  <si>
    <t>Verteiler bei der auditierten Einheit:</t>
  </si>
  <si>
    <t>Prozesselemente</t>
  </si>
  <si>
    <t>Bitte hier die Ergebnisse des letzten Audits eintragen</t>
  </si>
  <si>
    <t>*Sternchen</t>
  </si>
  <si>
    <t>Bewertung Einzelfragen</t>
  </si>
  <si>
    <t>E1..En=</t>
  </si>
  <si>
    <t>Allgemein</t>
  </si>
  <si>
    <t>MW bei *</t>
  </si>
  <si>
    <t>Min</t>
  </si>
  <si>
    <t>*-Bew</t>
  </si>
  <si>
    <t>E1…E10 &lt;80 % gibt’s "B", &lt;70 % gibt’s "C"</t>
  </si>
  <si>
    <t>Gesamtrating EG</t>
  </si>
  <si>
    <t>Eu1..Eu7=</t>
  </si>
  <si>
    <t>Teilbewertung *Fragen</t>
  </si>
  <si>
    <t>Teilbewertung Fragen auf 0 PKT</t>
  </si>
  <si>
    <t>rechnerisch Ed</t>
  </si>
  <si>
    <t>Gesamt Ed</t>
  </si>
  <si>
    <t>rechnerisch Ep</t>
  </si>
  <si>
    <t xml:space="preserve">Prozesschritte bzgl. </t>
  </si>
  <si>
    <t>Sternchenfrage</t>
  </si>
  <si>
    <t>Kundenbetreuung:</t>
  </si>
  <si>
    <t>Position</t>
  </si>
  <si>
    <t>Version</t>
  </si>
  <si>
    <t xml:space="preserve"> </t>
  </si>
  <si>
    <t>Unterzeichner der Organisation:</t>
  </si>
  <si>
    <t>fünf</t>
  </si>
  <si>
    <t>sechs</t>
  </si>
  <si>
    <t>sieben</t>
  </si>
  <si>
    <t>acht</t>
  </si>
  <si>
    <t>neun</t>
  </si>
  <si>
    <t>zehn</t>
  </si>
  <si>
    <t>G58</t>
  </si>
  <si>
    <t>N58</t>
  </si>
  <si>
    <t>Eu1</t>
  </si>
  <si>
    <t>Eu2</t>
  </si>
  <si>
    <t>Eu3</t>
  </si>
  <si>
    <t>Eu4</t>
  </si>
  <si>
    <t>Eu5</t>
  </si>
  <si>
    <t>Eu6</t>
  </si>
  <si>
    <t>Eu7</t>
  </si>
  <si>
    <t>am32</t>
  </si>
  <si>
    <t>am34</t>
  </si>
  <si>
    <t>am36</t>
  </si>
  <si>
    <t>Ergebnis aus Feld "Epp" heißt "ede"</t>
  </si>
  <si>
    <t>Achtung:</t>
  </si>
  <si>
    <t>Egebnis aus Feld "Epr" heißt "epe"</t>
  </si>
  <si>
    <t>Sternchenfragen aus P5, P6, P7</t>
  </si>
  <si>
    <t>Keine Frage Teil B Produktion darf Null sein, sonst "B"</t>
  </si>
  <si>
    <t>Keine Frage Teil A Entwicklung darf Null sein, sonst "B"</t>
  </si>
  <si>
    <t>rechnerisch EG, C&lt;80, B&lt;90,</t>
  </si>
  <si>
    <t>Sternchenfragen gesamt für EG, eine mit 4 "B", eine mit 0 "C"</t>
  </si>
  <si>
    <t>Abwertungsmonitor</t>
  </si>
  <si>
    <t>Sternchenfragen aus P2, P3,P4</t>
  </si>
  <si>
    <t>Keine Frage Teil A u. Teil B darf 0 sein, sonst "B"</t>
  </si>
  <si>
    <t>Gesamt Ep</t>
  </si>
  <si>
    <t>Ist die Teileversorgung sichergestellt?</t>
  </si>
  <si>
    <t>Wird das Änderungsmanagement im Projekt durch die Projektorganisation sichergestellt?</t>
  </si>
  <si>
    <t>Ist die Herstellbarkeit auf Basis der ermittelten Anforderungen an das Produkt und den Prozess übergreifend bewertet?</t>
  </si>
  <si>
    <t>Sind die Festlegungen aus den Plänen zur Produkt- und Prozessentwicklung umgesetzt?</t>
  </si>
  <si>
    <t>Ist das Personal für die jeweiligen Aufgaben qualifiziert und sind die Verantwortlichkeiten definiert?</t>
  </si>
  <si>
    <t>Maßnahmen siehe "Maßnahmenplan" bzw. "Sofortmaßnahmen"</t>
  </si>
  <si>
    <t>Teilnoten Epm, Epp, Epr, &lt;80 % gibt's "B", &lt;70 % gibt's "C"</t>
  </si>
  <si>
    <t>R58</t>
  </si>
  <si>
    <t>WENN(MIN(AM32:AM50)&lt;70%;"C";+WENN(MIN(AM32:AM50)&lt;80%;"B";"A"))</t>
  </si>
  <si>
    <t>W58</t>
  </si>
  <si>
    <t>AB58</t>
  </si>
  <si>
    <t>AG58</t>
  </si>
  <si>
    <t>AV58</t>
  </si>
  <si>
    <t>Teilnoten Epm, Epp, Epr,Elm, Epg, Ek &lt;80 % gibt's "B", &lt;70 % gibt's "C"</t>
  </si>
  <si>
    <t>Teilnoten Elm, Epg, EK,E1...En,Eu1...Eu7, &lt;80 gibt’s B, &lt;70 gibt’s C</t>
  </si>
  <si>
    <t>Einstufungsergebnisse(A,B,C) müssen unter Berücksichtigung der Abstufungsregeln vom Auditor überprüft werden !</t>
  </si>
  <si>
    <t>Werden die Vormaterialien zweckentsprechend gelagert und sind die Transportmittel / Verpackungseinrichtungen auf die speziellen Eigenschaften der Vormaterialien abgestimmt?</t>
  </si>
  <si>
    <t>Typ</t>
  </si>
  <si>
    <t>Benennung:</t>
  </si>
  <si>
    <t>Anzahl der Prozessschritte:</t>
  </si>
  <si>
    <t>PS1</t>
  </si>
  <si>
    <t>PS2</t>
  </si>
  <si>
    <t>PS3</t>
  </si>
  <si>
    <t>Wirk-samkeit</t>
  </si>
  <si>
    <t>vom Auditor im Fragenkatalog gefüllt</t>
  </si>
  <si>
    <t>Sofort-maßnahme
(X)</t>
  </si>
  <si>
    <t>Einstufungsskala: A = 90 - 100% qualitätsfähig; B &gt;= 80 - &lt; 90% bedingt qualitätsfähig;
 C = 0 - &lt; 80% nicht qualitätsfähig.</t>
  </si>
  <si>
    <t>Pro-dukt</t>
  </si>
  <si>
    <t>Pro-zess</t>
  </si>
  <si>
    <t>Prozessanalyse /
Produktion</t>
  </si>
  <si>
    <t>Bezug</t>
  </si>
  <si>
    <t>eins</t>
  </si>
  <si>
    <t>zwei</t>
  </si>
  <si>
    <t>drei</t>
  </si>
  <si>
    <t>vier</t>
  </si>
  <si>
    <t>Zuordnung Prozessschritte zu Produktgruppen mit
"X" ankreuzen:</t>
  </si>
  <si>
    <t>Was soll der Prozess leisten? Prozessergebnis (Output)</t>
  </si>
  <si>
    <t>Auditfeststellungen</t>
  </si>
  <si>
    <t>Ursache(n)</t>
  </si>
  <si>
    <t>Maßnahme(n)</t>
  </si>
  <si>
    <t>Werden bei Abweichungen von Produkt- und Prozessanforderungen die Ursachen analysiert und die Korrekturmaßnahmen auf Wirksamkeit überprüft?</t>
  </si>
  <si>
    <t>Maßnahmenplan mit Festlegung der Sofortmaßnahmen</t>
  </si>
  <si>
    <t>Änderungshistorie</t>
  </si>
  <si>
    <t>Werden Qualitäts- und Prozessdaten auswertbar erfasst?</t>
  </si>
  <si>
    <t>Anzahl Prozessschritte
pro Produktgruppe</t>
  </si>
  <si>
    <t>2.5*</t>
  </si>
  <si>
    <t>IST</t>
  </si>
  <si>
    <t>SOLL</t>
  </si>
  <si>
    <t>3.2*</t>
  </si>
  <si>
    <t>Produktentwicklung</t>
  </si>
  <si>
    <t>Prozessentwicklung</t>
  </si>
  <si>
    <t>5.4*</t>
  </si>
  <si>
    <t>7.3*</t>
  </si>
  <si>
    <t>Ist ein Projektmanagement mit einer Projektorganisation etabliert?</t>
  </si>
  <si>
    <t>Werden die Beschaffungsaktivitäten des Projektes umgesetzt und regelmäßig auf Einhaltung überwacht?</t>
  </si>
  <si>
    <t>Ist ein Eskalationsprozess etabliert und ist dieser wirksam umgesetzt?</t>
  </si>
  <si>
    <t>2.6*</t>
  </si>
  <si>
    <t>Sind die Aktivitäten zur Produkt- und Prozessentwicklung detailliert geplant?</t>
  </si>
  <si>
    <t>Sind in der Planung der Produkt- und Prozessentwicklung die erforderlichen Ressourcen berücksichtigt?</t>
  </si>
  <si>
    <t>4.1*</t>
  </si>
  <si>
    <t>4.4*</t>
  </si>
  <si>
    <t>Sind die personellen Ressourcen vorhanden und qualifiziert, um den Serienanlauf sicherzustellen?</t>
  </si>
  <si>
    <t>Sind die materiellen Ressourcen vorhanden und geeignet, um den Serienanlauf sicherzustellen?</t>
  </si>
  <si>
    <t>Sind die erforderlichen Eignungsnachweise und Freigaben für die Produkt- und Prozessentwicklung vorhanden?</t>
  </si>
  <si>
    <t>Sind die Fertigungs- und Prüfvorgaben aus der Produkt- und Prozessentwicklung abgeleitet und umgesetzt?</t>
  </si>
  <si>
    <t>Ist ein Leistungstest unter Serienbedingungen für die Serienfreigabe durchgeführt?</t>
  </si>
  <si>
    <t>Ist die Projektübergabe von der Entwicklung an die Serienproduktion geregelt?</t>
  </si>
  <si>
    <t>Werden die Wareneingänge zweckentsprechend angeliefert und gelagert?</t>
  </si>
  <si>
    <t>Ist die Projektübergabe von der Entwicklung an die Serien-Produktion erfolgt und ist ein sicherer Anlauf gewährleistet?</t>
  </si>
  <si>
    <t>Sind die benötigten Mengen / Fertigungslosgrößen der Vormaterialien zum vereinbarten Zeitpunkt am richtigen Lagerort / Arbeitsplatz verfügbar?</t>
  </si>
  <si>
    <t>Sind die erforderlichen Kennzeichnungen / Aufzeichnungen / Freigaben vorhanden und den Vormaterialien entsprechend zugeordnet?</t>
  </si>
  <si>
    <t>Werden Änderungen am Produkt oder Prozess während der Serie verfolgt und dokumentiert?</t>
  </si>
  <si>
    <t>6.1.5*</t>
  </si>
  <si>
    <t>kein *</t>
  </si>
  <si>
    <t xml:space="preserve">Sind die Vorgaben des Produktionslenkungsplans vollständig und werden sie wirksam umgesetzt? </t>
  </si>
  <si>
    <t>Erfolgt eine Wiederfreigabe von Fertigungsabläufen?</t>
  </si>
  <si>
    <t xml:space="preserve">Werden besondere Merkmale in der Produktion gelenkt? </t>
  </si>
  <si>
    <t>Werden nicht freigegebene und/oder fehlerhafte Teile gelenkt?</t>
  </si>
  <si>
    <t>Ist der Material- und Teilefluss gegen Vermischung / Verwechslung abgesichert?</t>
  </si>
  <si>
    <t>Sind die Mitarbeiter geeignet, die gestellten Aufgaben zu erfüllen?</t>
  </si>
  <si>
    <t>Kennen die Mitarbeiter ihre Verantwortungen und Befugnisse zur Überwachung der Produkt- und Prozessqualität?</t>
  </si>
  <si>
    <t>Sind die erforderlichen Personalressourcen vorhanden?</t>
  </si>
  <si>
    <t xml:space="preserve">Können mit den Fertigungseinrichtungen die produktspezifischen Anforderungen für den Kunden erreicht werden? </t>
  </si>
  <si>
    <t>6.4.1*</t>
  </si>
  <si>
    <t>Wird die Instandhaltung der Fertigungseinrichtungen und der Werkzeuge gelenkt?</t>
  </si>
  <si>
    <t>6.4.3*</t>
  </si>
  <si>
    <t>6.4.5</t>
  </si>
  <si>
    <t>Wie wirkungsvoll wird der Prozess durchgeführt?
Effektivität, Effizienz, Vermeidung von Verschwendung</t>
  </si>
  <si>
    <t>Sind für den Herstellprozess Zielvorgaben vorhanden?</t>
  </si>
  <si>
    <t>6.6.4*</t>
  </si>
  <si>
    <t>Sind die Mengen / Fertigungslosgrößen auf den Bedarf abgestimmt und werden sie gezielt zum nächsten Prozess-Schritt weitergeleitet?</t>
  </si>
  <si>
    <t>Werden Produkte / Bauteile zweckentsprechend gelagert und sind die Transportmittel / Verpackungseinrichtungen auf die speziellen Eigenschaften der Produkte / Bauteile abgestimmt?</t>
  </si>
  <si>
    <t>Werden die erforderlichen Aufzeichnungen / Freigaben dokumentiert?</t>
  </si>
  <si>
    <t xml:space="preserve">Werden die Kundenanforderungen bei der Auslieferung des Endproduktes erfüllt? </t>
  </si>
  <si>
    <t>7.4*</t>
  </si>
  <si>
    <t xml:space="preserve">Werden die Anforderungen bezüglich QM-System, Produkt und Prozess erfüllt? </t>
  </si>
  <si>
    <t xml:space="preserve">Werden bei Abweichungen Reklamationen Fehleranalysen durchgeführt und Korrekturmaßnahmen wirksam  umgesetzt? </t>
  </si>
  <si>
    <t>Werden die qualitätsrelevanten Aktivitäten des Projektes umgesetzt und regelmäßig auf Einhaltung überwacht?</t>
  </si>
  <si>
    <t xml:space="preserve">Können mit den eingesetzten Mess- und Prüfeinrichtungen die Qualitätsanforderungen wirksam überwacht werden? </t>
  </si>
  <si>
    <t>5.5*</t>
  </si>
  <si>
    <t>Was geht in den Prozess hinein? Prozesseingabe (Input)</t>
  </si>
  <si>
    <t>Sind alle Produktionsprozesse geregelt? Prozessablauf</t>
  </si>
  <si>
    <t>Welche Funktionen unterstützen den Prozess? 
Personelle Ressourcen</t>
  </si>
  <si>
    <t>Mit welchen Mitteln wird der Prozess realisiert? 
Materielle Ressourcen</t>
  </si>
  <si>
    <t>Date:</t>
  </si>
  <si>
    <t>Street:</t>
  </si>
  <si>
    <t>Verteiler</t>
  </si>
  <si>
    <t>Revision 2016</t>
  </si>
  <si>
    <t xml:space="preserve">Audit Organisation: </t>
  </si>
  <si>
    <t>Firmenlogo</t>
  </si>
  <si>
    <t>VDA 6.3 Prozessaudit</t>
  </si>
  <si>
    <t>Auftraggeber:</t>
  </si>
  <si>
    <t>Verteiler 4 Firma:</t>
  </si>
  <si>
    <t>Verteiler 5 Firma:</t>
  </si>
  <si>
    <t>Verteiler 6 Firma:</t>
  </si>
  <si>
    <t>Leitung der Organisation:</t>
  </si>
  <si>
    <t>Teilnehmer am Audit:</t>
  </si>
  <si>
    <t>Gesamterfüllungsgrad EG:</t>
  </si>
  <si>
    <t>TM</t>
  </si>
  <si>
    <t>Blattname</t>
  </si>
  <si>
    <t>Sprachen</t>
  </si>
  <si>
    <t>Lila Felder sind Eingabefelder</t>
  </si>
  <si>
    <t>durchgeführt von:</t>
  </si>
  <si>
    <t>Ergebnis:</t>
  </si>
  <si>
    <t>P6=</t>
  </si>
  <si>
    <t>P7=</t>
  </si>
  <si>
    <t>P2=</t>
  </si>
  <si>
    <t>P3=</t>
  </si>
  <si>
    <t>P4=</t>
  </si>
  <si>
    <t>P5=</t>
  </si>
  <si>
    <t>First:</t>
  </si>
  <si>
    <t>Second:</t>
  </si>
  <si>
    <t>Third:</t>
  </si>
  <si>
    <t>Fourth:</t>
  </si>
  <si>
    <t>one</t>
  </si>
  <si>
    <t>two</t>
  </si>
  <si>
    <t>three</t>
  </si>
  <si>
    <t>five</t>
  </si>
  <si>
    <t>six</t>
  </si>
  <si>
    <t>seven</t>
  </si>
  <si>
    <t>eight</t>
  </si>
  <si>
    <t>nine</t>
  </si>
  <si>
    <t>ten</t>
  </si>
  <si>
    <t>four</t>
  </si>
  <si>
    <t>Sprache wählen:</t>
  </si>
  <si>
    <t>EingabeMaske</t>
  </si>
  <si>
    <t>Q-Fähigk.</t>
  </si>
  <si>
    <t>Auditteam:</t>
  </si>
  <si>
    <t>Wirksamkeitsprüfung:</t>
  </si>
  <si>
    <t>Kurzdarstellung zum durchgeführten Audit:</t>
  </si>
  <si>
    <t>Im Rahmen der Auditierung wurden folgende wesentliche Feststellungen erkannt:</t>
  </si>
  <si>
    <t>Fazit:</t>
  </si>
  <si>
    <t>Weitere Vorgehensweise:</t>
  </si>
  <si>
    <t>Auditergebnis</t>
  </si>
  <si>
    <t>Bewertete Produktgruppen:</t>
  </si>
  <si>
    <t>Bewertete Prozesselemente:</t>
  </si>
  <si>
    <t>Bewertungs-index:</t>
  </si>
  <si>
    <t>Country:</t>
  </si>
  <si>
    <t>Land:</t>
  </si>
  <si>
    <t>Participants:</t>
  </si>
  <si>
    <t>Fragen</t>
  </si>
  <si>
    <t>Pro-duct</t>
  </si>
  <si>
    <t>Pro-cess</t>
  </si>
  <si>
    <t>No.</t>
  </si>
  <si>
    <t>Type</t>
  </si>
  <si>
    <t>Question</t>
  </si>
  <si>
    <t>Bitte bewerten!</t>
  </si>
  <si>
    <t>keine Schwachstellen identifiziert</t>
  </si>
  <si>
    <t>Text eingeben</t>
  </si>
  <si>
    <t>Standort:</t>
  </si>
  <si>
    <t>Lieferant:</t>
  </si>
  <si>
    <t>Product Group 1</t>
  </si>
  <si>
    <t>Product Group 2</t>
  </si>
  <si>
    <t>Product Group 3</t>
  </si>
  <si>
    <t>Product Group 4</t>
  </si>
  <si>
    <t>Abstufungsmonitor</t>
  </si>
  <si>
    <t>Gesamterfüllungsgrad EG(PGN) [%]  nach Produktgruppen</t>
  </si>
  <si>
    <t>Sternchenfragen für EG, min. 1 Frage mit 4 Einstufung = "B",  min.1 Frage mit 0 = "C"</t>
  </si>
  <si>
    <t>Einstufung</t>
  </si>
  <si>
    <t>Keine Frage mit 0 bewertet, sonst "B"</t>
  </si>
  <si>
    <t>EG [%]</t>
  </si>
  <si>
    <t>E1…E10 &lt;80 % Einstufung "B", &lt;70 % Einstufung "C"</t>
  </si>
  <si>
    <t>Min. zu beantwortende Fragen:</t>
  </si>
  <si>
    <t>Beantwortete Fragen:</t>
  </si>
  <si>
    <r>
      <t>E</t>
    </r>
    <r>
      <rPr>
        <b/>
        <vertAlign val="subscript"/>
        <sz val="12"/>
        <rFont val="Arial"/>
        <family val="2"/>
      </rPr>
      <t>G</t>
    </r>
    <r>
      <rPr>
        <b/>
        <sz val="12"/>
        <rFont val="Arial"/>
        <family val="2"/>
      </rPr>
      <t xml:space="preserve"> [%]</t>
    </r>
  </si>
  <si>
    <t>MAX</t>
  </si>
  <si>
    <t>Summe aller möglichen Punkte 
der zutreffenden Fragen</t>
  </si>
  <si>
    <t>Name:</t>
  </si>
  <si>
    <t>Alle Fragen mit 10 Punkten bewerten</t>
  </si>
  <si>
    <t>Fragebogen leeren</t>
  </si>
  <si>
    <t>Anmerkung:  Eintrag "n.b." = Frage ist nicht bewertet. Eintrag "xx" = Frage ist nicht anwendbar. Pro bewerteten Prozesselement müssen mind. 2/3 aller Fragen bewertet werden.</t>
  </si>
  <si>
    <t>Planung der Produkt- und Prozessentwicklung</t>
  </si>
  <si>
    <t>Realisierung der Produkt- und Prozessentwicklung</t>
  </si>
  <si>
    <t>Lieferantenmanagement</t>
  </si>
  <si>
    <t>Kundenbetreuung / Kundenzufriedenheit / Service</t>
  </si>
  <si>
    <t>Bitte die Anzahl der Prozessschritte je nach Bedarf in der Eingabemaske (D36) eintragen.
Je Prozessschritt müssen mindestens 17 von 26 Fragen beantwortet werden.</t>
  </si>
  <si>
    <t>Data Input for Compiling Report</t>
  </si>
  <si>
    <t>Audit Reason:</t>
  </si>
  <si>
    <t>Supplier:</t>
  </si>
  <si>
    <t>Location:</t>
  </si>
  <si>
    <t>Manufacturing Site (Post Code):</t>
  </si>
  <si>
    <t>Telephone Number:</t>
  </si>
  <si>
    <t>Fax Number:</t>
  </si>
  <si>
    <t>Last Audit Results  / Certificate</t>
  </si>
  <si>
    <t>Process Steps:</t>
  </si>
  <si>
    <t>Department:</t>
  </si>
  <si>
    <t>Senior Management:</t>
  </si>
  <si>
    <t>Plant Management:</t>
  </si>
  <si>
    <t>Company (brief form):</t>
  </si>
  <si>
    <t>Distribution 1 Company:</t>
  </si>
  <si>
    <t>Distribution 2 Company:</t>
  </si>
  <si>
    <t>Distribution 3 Company:</t>
  </si>
  <si>
    <t xml:space="preserve">Engl. </t>
  </si>
  <si>
    <t>Statements / Requirements</t>
  </si>
  <si>
    <t>Process Audit</t>
  </si>
  <si>
    <t xml:space="preserve">Are incoming materials stored appropriately and are transport facilities / packing arrangements suitable for the special characteristics of the incoming materials ? </t>
  </si>
  <si>
    <t>Bewertungselement</t>
  </si>
  <si>
    <t>Distribution 4 Company:</t>
  </si>
  <si>
    <t>Distribution 5 Company:</t>
  </si>
  <si>
    <t>Distribution 6 Company:</t>
  </si>
  <si>
    <t>VDA 6.3 Process Audit</t>
  </si>
  <si>
    <t>Audit Organization:</t>
  </si>
  <si>
    <t>Distribution</t>
  </si>
  <si>
    <t>Issue Date</t>
  </si>
  <si>
    <t>Conducted by</t>
  </si>
  <si>
    <t>Result / Certificate No.</t>
  </si>
  <si>
    <t>Distribution Internal</t>
  </si>
  <si>
    <t xml:space="preserve">Supplier Management </t>
  </si>
  <si>
    <t xml:space="preserve">Are the necessary identifications / records / approvals available and allocated appropriately to the incoming materials ? </t>
  </si>
  <si>
    <t>Prozessschritt</t>
  </si>
  <si>
    <t>Corrective Actions see 'Individual Results' in 'Immediate Actions'</t>
  </si>
  <si>
    <t>Points</t>
  </si>
  <si>
    <t>Alle Zeilen einblenden</t>
  </si>
  <si>
    <t>Show all rows</t>
  </si>
  <si>
    <t>Please rate!</t>
  </si>
  <si>
    <r>
      <t>E</t>
    </r>
    <r>
      <rPr>
        <vertAlign val="subscript"/>
        <sz val="10"/>
        <rFont val="Arial"/>
        <family val="2"/>
      </rPr>
      <t xml:space="preserve">P2 </t>
    </r>
  </si>
  <si>
    <r>
      <t>E</t>
    </r>
    <r>
      <rPr>
        <b/>
        <vertAlign val="subscript"/>
        <sz val="10"/>
        <rFont val="Arial"/>
        <family val="2"/>
      </rPr>
      <t>P3</t>
    </r>
  </si>
  <si>
    <r>
      <t>E</t>
    </r>
    <r>
      <rPr>
        <b/>
        <vertAlign val="subscript"/>
        <sz val="10"/>
        <rFont val="Arial"/>
        <family val="2"/>
      </rPr>
      <t>P4</t>
    </r>
  </si>
  <si>
    <r>
      <t>E</t>
    </r>
    <r>
      <rPr>
        <b/>
        <vertAlign val="subscript"/>
        <sz val="10"/>
        <rFont val="Arial"/>
        <family val="2"/>
      </rPr>
      <t>P5</t>
    </r>
  </si>
  <si>
    <r>
      <t>E</t>
    </r>
    <r>
      <rPr>
        <b/>
        <vertAlign val="subscript"/>
        <sz val="10"/>
        <rFont val="Arial"/>
        <family val="2"/>
      </rPr>
      <t>P6</t>
    </r>
  </si>
  <si>
    <t>Prozessaudit VDA 6.3  Bewertungsmatrix inkl. Gesamtergebnis Produktgruppen</t>
  </si>
  <si>
    <t>Pro bewertetem Prozesselement und Unterelement müssen mind. 2/3 aller Fragen bewertet werden.</t>
  </si>
  <si>
    <t>6.3.1*</t>
  </si>
  <si>
    <t>Management:</t>
  </si>
  <si>
    <t xml:space="preserve"> Zuordnung PrGr zu PS</t>
  </si>
  <si>
    <t>G62</t>
  </si>
  <si>
    <t>N62</t>
  </si>
  <si>
    <t>R62</t>
  </si>
  <si>
    <t>W62</t>
  </si>
  <si>
    <t>AB62</t>
  </si>
  <si>
    <t>AG62</t>
  </si>
  <si>
    <t>AV62</t>
  </si>
  <si>
    <t>Matrix</t>
  </si>
  <si>
    <t>Questions answered:</t>
  </si>
  <si>
    <t>1 Prozesseingabe / Input</t>
  </si>
  <si>
    <t>Erfüllungsgrade [%]</t>
  </si>
  <si>
    <t>Erfüllungsgrad Prozessschritt</t>
  </si>
  <si>
    <t>Summe aller erzielten Punkte
 der zutreffenden Fragen</t>
  </si>
  <si>
    <t>Einstufungsergebnisse (A,B,C) müssen unter Berücksichtigung der Abstufungsregeln vom Auditor überprüft werden!</t>
  </si>
  <si>
    <t>Anmerkung:  Eintrag $AI$35 = Frage ist nicht bewertet. Eintrag "xx" = Frage ist nicht anwendbar. Pro bewerteten Prozesselement müssen mind. 2/3 aller Fragen bewertet werden.</t>
  </si>
  <si>
    <t>FEHLT!</t>
  </si>
  <si>
    <t>Maßnahmen</t>
  </si>
  <si>
    <t>Reason(s)</t>
  </si>
  <si>
    <t>Measure(s)</t>
  </si>
  <si>
    <t>Respon-sibility</t>
  </si>
  <si>
    <t>Effec-tivity</t>
  </si>
  <si>
    <t xml:space="preserve">Process analysis /
production </t>
  </si>
  <si>
    <t>Relation</t>
  </si>
  <si>
    <t>Blatt in neue Datei kopieren (nur für Lieferanten)</t>
  </si>
  <si>
    <t>Tabelle</t>
  </si>
  <si>
    <t>Zelle</t>
  </si>
  <si>
    <t>Wert</t>
  </si>
  <si>
    <t>CSV erstellen</t>
  </si>
  <si>
    <t>CSV importieren</t>
  </si>
  <si>
    <r>
      <t>E</t>
    </r>
    <r>
      <rPr>
        <b/>
        <vertAlign val="subscript"/>
        <sz val="12"/>
        <rFont val="Arial"/>
        <family val="2"/>
      </rPr>
      <t>G</t>
    </r>
  </si>
  <si>
    <t>Signed by (organisation):</t>
  </si>
  <si>
    <t>Description</t>
  </si>
  <si>
    <t xml:space="preserve">Customer Support </t>
  </si>
  <si>
    <t>Research and development</t>
  </si>
  <si>
    <t>Participants in the audit</t>
  </si>
  <si>
    <t>Number of process steps</t>
  </si>
  <si>
    <t>Last Audit Result</t>
  </si>
  <si>
    <t>Assessed Elements</t>
  </si>
  <si>
    <t>Process Elements</t>
  </si>
  <si>
    <t>Please enter the results of the last audit here</t>
  </si>
  <si>
    <t>Number of process steps for each product group</t>
  </si>
  <si>
    <t>Assignment of process steps to products, please use "X"</t>
  </si>
  <si>
    <t>Distribution at the audited unit</t>
  </si>
  <si>
    <t>Audit team:</t>
  </si>
  <si>
    <t>Generic approach</t>
  </si>
  <si>
    <t>Company Logo</t>
  </si>
  <si>
    <t>Development</t>
  </si>
  <si>
    <t>Series production</t>
  </si>
  <si>
    <t>Process step</t>
  </si>
  <si>
    <t>Product development</t>
  </si>
  <si>
    <t>Process development</t>
  </si>
  <si>
    <t>1. Process input</t>
  </si>
  <si>
    <t>2. Process Management</t>
  </si>
  <si>
    <t>3. Process support</t>
  </si>
  <si>
    <t>4. Material resources</t>
  </si>
  <si>
    <t>5. Effectiveness of the process</t>
  </si>
  <si>
    <t>6. Process result / Output</t>
  </si>
  <si>
    <t>7. Transport and handling of parts</t>
  </si>
  <si>
    <t>Level of compliance [%]</t>
  </si>
  <si>
    <t>Level of compliance process step</t>
  </si>
  <si>
    <t>Process Audit VDA 6.3 evaluation matrix including total score for product groups</t>
  </si>
  <si>
    <t>Total points awarded for the relevant questions</t>
  </si>
  <si>
    <t>Total possible number of points for the relevant questions</t>
  </si>
  <si>
    <t>Calculated EG, C&lt;80, B&lt;90</t>
  </si>
  <si>
    <t xml:space="preserve">Asterisk questions for EG, minimum 1 question with 4 ratings = "B", minimum 1 question with 0 = "C"  </t>
  </si>
  <si>
    <t>No question rated 0, otherwise "B"</t>
  </si>
  <si>
    <t>E1…E10, &lt;80% rated "B", &lt;70% rated "C"</t>
  </si>
  <si>
    <t>Sub ratings Ep2, Ep3, Ep4, Ep5, Ep6, Ep7 &lt;80% rate "B", &lt;70% rate "C"</t>
  </si>
  <si>
    <t>At least 2/3 of questions must be answered for each evaluated process element and sub element</t>
  </si>
  <si>
    <t xml:space="preserve">Down grading rules must be applied to the classification results (A, B. C). This must be checked by the auditor! </t>
  </si>
  <si>
    <t>Results of the sub elements for process analysis (Average Levels 1 - n)</t>
  </si>
  <si>
    <t>Responsible for downgrading</t>
  </si>
  <si>
    <t>Overall compliance EG (PGN) [%] for each product group</t>
  </si>
  <si>
    <t>Overall compliance EG:</t>
  </si>
  <si>
    <t>Evaluated process element</t>
  </si>
  <si>
    <t>Evaluation Index</t>
  </si>
  <si>
    <t>Classification scale: A = 90 - 100% quality capable; B&gt;=80 - &lt;90% conditionally quality capable; C = 0 - &lt; 80% not quality capable</t>
  </si>
  <si>
    <t>Confirmation of measures</t>
  </si>
  <si>
    <t>Summary of the audit carried out</t>
  </si>
  <si>
    <t>During the audit the following significant findings were identified:</t>
  </si>
  <si>
    <t>Conclusion</t>
  </si>
  <si>
    <t>Further action</t>
  </si>
  <si>
    <t>Effectiveness check</t>
  </si>
  <si>
    <t>Evaluated product group</t>
  </si>
  <si>
    <t>Audit report VDA 6.3 Evaluation of quality capability</t>
  </si>
  <si>
    <t>Audit result</t>
  </si>
  <si>
    <t>Missing!</t>
  </si>
  <si>
    <t>Action plan with defined immediate action</t>
  </si>
  <si>
    <t>Filled in by the auditor in the questionnaire</t>
  </si>
  <si>
    <t>Filled in by the audited area</t>
  </si>
  <si>
    <t>Reference</t>
  </si>
  <si>
    <t>Immediate action (x)</t>
  </si>
  <si>
    <t>Result of the VDA 6.3 Questionnaire for Process audits</t>
  </si>
  <si>
    <t>Audit results</t>
  </si>
  <si>
    <t>General</t>
  </si>
  <si>
    <t>Project management</t>
  </si>
  <si>
    <t>All questions rated with 10 points</t>
  </si>
  <si>
    <t>Clear questionnaire</t>
  </si>
  <si>
    <t>Project Management</t>
  </si>
  <si>
    <t>Is a project management established with a project organisation?</t>
  </si>
  <si>
    <t>Is the advanced product quality planning implemented within the project and monitored for compliance?</t>
  </si>
  <si>
    <t>Are the procurement activities of the project implemented and monitored for compliance?</t>
  </si>
  <si>
    <t xml:space="preserve">Is change management within the project ensured by the project organisation?  </t>
  </si>
  <si>
    <t>Is there an escalation process established and is this effectively implemented?</t>
  </si>
  <si>
    <t>Planning the product and process development</t>
  </si>
  <si>
    <t>Are the specific product and process requirements available?</t>
  </si>
  <si>
    <t>Are the activities for the product and process development planned in detail?</t>
  </si>
  <si>
    <t>Have the necessary resources been taken into account for the product and process development?</t>
  </si>
  <si>
    <t>Implementation of the product and process development</t>
  </si>
  <si>
    <t>Are the manufacturing and inspection specifications derived from the product and process development and are they implemented?</t>
  </si>
  <si>
    <t>Is a performance test carried out under series conditions for the series release?</t>
  </si>
  <si>
    <t>Is there a controlled method for the product handover from development to serial production?</t>
  </si>
  <si>
    <t>Are special characteristics managed in the production?</t>
  </si>
  <si>
    <t>Are the employees able to fulfil their given tasks?</t>
  </si>
  <si>
    <t>Do the employees know their responsibilities and authority in the monitoring of the quality of product and process quality?</t>
  </si>
  <si>
    <t>Are the necessary personnel resources available?</t>
  </si>
  <si>
    <t xml:space="preserve">Can the product-specific requirements from the customer be met with the manufacturing equipment? </t>
  </si>
  <si>
    <t>Is the maintenance of the manufacturing equipment and tools controlled?</t>
  </si>
  <si>
    <t>Are the work and inspection stations appropriate for the needs?</t>
  </si>
  <si>
    <t>How effective is the process being carried out? Effectiveness, efficiency, waste avoidance</t>
  </si>
  <si>
    <t xml:space="preserve">Are there targets set for the manufacturing process? </t>
  </si>
  <si>
    <t xml:space="preserve">Is quality and process data collected in a way that allows analysis? </t>
  </si>
  <si>
    <t>In the case of deviations from product and process requirements, are the causes analysed and the corrective actions checked for effectiveness?</t>
  </si>
  <si>
    <t>Are processes and products audited regularly?</t>
  </si>
  <si>
    <t>What should the process produce? (process result / output)</t>
  </si>
  <si>
    <t>Are products / components stored in an appropriate manner and are transport facilities / packing arrangements suitable for the special characteristics of the products / components?</t>
  </si>
  <si>
    <t>Are customer requirements met at the delivery of the final product?</t>
  </si>
  <si>
    <t>Customer care / customer satisfaction / service</t>
  </si>
  <si>
    <t>Are all requirements related to QM-System, product and process fulfilled?</t>
  </si>
  <si>
    <t xml:space="preserve">Is customer service guaranteed? </t>
  </si>
  <si>
    <t xml:space="preserve">Is the supply of parts guaranteed? </t>
  </si>
  <si>
    <t>Please fill in the number of process steps in the input area (D36) as needed. 17 from 26 questions must be answered for each process step.</t>
  </si>
  <si>
    <t>Create CSV</t>
  </si>
  <si>
    <t>Import CSV</t>
  </si>
  <si>
    <t>Eu1…Eu7, &lt;80 % gibt’s "B"</t>
  </si>
  <si>
    <t>Eu1…Eu7, &lt;80 % Einstufung "B"</t>
  </si>
  <si>
    <t>Eu1…Eu7, &lt;80% rated "B"</t>
  </si>
  <si>
    <t>Sind die Aktivitäten zur Absicherung der Kundenbetreuung/Kundenzufriedenheit/Kundenservice und Schadteilanalyse Feld geplant?</t>
  </si>
  <si>
    <t>4.8</t>
  </si>
  <si>
    <t>Sind die Prozesse zur Absicherung der Kundenbetreuung/ Kundenzufriedenheit/ Kundenservice sowie der Schadteilanalyse Feld etabliert?</t>
  </si>
  <si>
    <t>4.8*</t>
  </si>
  <si>
    <r>
      <t>E</t>
    </r>
    <r>
      <rPr>
        <b/>
        <vertAlign val="subscript"/>
        <sz val="11"/>
        <rFont val="Arial"/>
        <family val="2"/>
      </rPr>
      <t>P3</t>
    </r>
  </si>
  <si>
    <t>6.5.3*</t>
  </si>
  <si>
    <t>ENGLISH</t>
  </si>
  <si>
    <t>Produktgruppe:</t>
  </si>
  <si>
    <t>Rückmeldung der Maßnahmen:</t>
  </si>
  <si>
    <t>Termin Maßnahmenplan</t>
  </si>
  <si>
    <t>letztes  Audit-Ergebnis:</t>
  </si>
  <si>
    <t>Zertifikat- / Auditbasis-Nr.:</t>
  </si>
  <si>
    <t>4 Materielle Ressourcen</t>
  </si>
  <si>
    <t>Leiter der Audit Organisation:</t>
  </si>
  <si>
    <t>Kurzanleitung:</t>
  </si>
  <si>
    <t>2. Sprache auswählen</t>
  </si>
  <si>
    <t xml:space="preserve">1. Makros aktivieren </t>
  </si>
  <si>
    <t>1. Activate macros</t>
  </si>
  <si>
    <t>2. Select Language</t>
  </si>
  <si>
    <t>3. Choose amount of processsteps (only for P6 evaluations)</t>
  </si>
  <si>
    <t>Short Instruction:</t>
  </si>
  <si>
    <t>4. Choose process elements (Table: Questions-Fragen)</t>
  </si>
  <si>
    <t>Zertifikat Nr.:</t>
  </si>
  <si>
    <t>Select language:</t>
  </si>
  <si>
    <t>Order No.:</t>
  </si>
  <si>
    <t>Audit request:</t>
  </si>
  <si>
    <t>Manager of audited organisation:</t>
  </si>
  <si>
    <t>Suppl.-No.:</t>
  </si>
  <si>
    <t xml:space="preserve"> D-U-N-S No.:</t>
  </si>
  <si>
    <t>Certificate / Audit No:</t>
  </si>
  <si>
    <t>Product Group(s):</t>
  </si>
  <si>
    <t>Input in purple areas</t>
  </si>
  <si>
    <t>Process Step No.:</t>
  </si>
  <si>
    <t>Rating</t>
  </si>
  <si>
    <t>Schedule of action plan</t>
  </si>
  <si>
    <t>Deadline</t>
  </si>
  <si>
    <t>Copy sheet to new file (only for suppliers)</t>
  </si>
  <si>
    <t>Are all resources required for the project implementation planned and available and are changes reported?</t>
  </si>
  <si>
    <t>Is there a project plan and has this been agreed with the customer?</t>
  </si>
  <si>
    <t>Is the feasibility comprehensively evaluated according to the product and process requirements?*</t>
  </si>
  <si>
    <t>Are the activities planned for customer care / customer satisfaction / customer service and field failure analysis?</t>
  </si>
  <si>
    <t>Are the actions from the product and process development plans implemented?</t>
  </si>
  <si>
    <t>Are personnel resources available and are they qualified to ensure the start of the serial production?</t>
  </si>
  <si>
    <t>Are the required approvals and releases for the product and process development available?</t>
  </si>
  <si>
    <t>Are the processes established for securing customer care / customer satisfaction / customer service as well as the field failure analysis?</t>
  </si>
  <si>
    <t xml:space="preserve">Are only approved and quality capable suppliers selected? </t>
  </si>
  <si>
    <t xml:space="preserve">Are the customer's requirements taken into account in the supply chain? </t>
  </si>
  <si>
    <t xml:space="preserve">Have target agreements for delivery performance been agreed with suppliers and implemented? </t>
  </si>
  <si>
    <t xml:space="preserve">Are the necessary approvals/releases available for the outsourced products and services? </t>
  </si>
  <si>
    <t xml:space="preserve">Is the quality of the outsourced products and services ensured? </t>
  </si>
  <si>
    <t xml:space="preserve">Are incoming goods stored appropriately? </t>
  </si>
  <si>
    <t xml:space="preserve">Are personnel qualified for the various tasks and are responsibilities defined? </t>
  </si>
  <si>
    <t xml:space="preserve">What goes into the process ? Process input </t>
  </si>
  <si>
    <t xml:space="preserve">Has the project been transferred from development to serial production and is a reliable start guaranteed? </t>
  </si>
  <si>
    <t>Are the necessary quantities / production batch sizes of incoming materials available at the agreed upon time and at the correct storage location / work-station?</t>
  </si>
  <si>
    <t xml:space="preserve">Are changes to the product or process made during the serial production tracked and documented? </t>
  </si>
  <si>
    <t>Are all production processes controlled? Process management</t>
  </si>
  <si>
    <t xml:space="preserve">Are the specifications of the control plan complete and have they been effectively implemented? </t>
  </si>
  <si>
    <t>Does a repeat release for the restart of production take place?</t>
  </si>
  <si>
    <t>Are non-released and/or defective parts managed?</t>
  </si>
  <si>
    <t>Is the flow of materials and parts secured against mixing / wrong items?</t>
  </si>
  <si>
    <t>What functions support the process? Personnel resources</t>
  </si>
  <si>
    <t>What means are used to implement the process? Material resources</t>
  </si>
  <si>
    <t>Can the quality requirements be effectively monitored with the measurement and test facilities in use?</t>
  </si>
  <si>
    <t>Are tools, equipment and test equipment stored properly?</t>
  </si>
  <si>
    <t>Do the quantities / production batch sizes meet the needs and are they systematically directed to the next process step?</t>
  </si>
  <si>
    <t>Are the necessary records / releases retained?</t>
  </si>
  <si>
    <t>If there are deviations from quality requirements or complaints, are failure analyses carried out and corrective actions implemented effectively?</t>
  </si>
  <si>
    <t>Are personnel qualified for their respective tasks and are responsibilities defined?</t>
  </si>
  <si>
    <t>Max.</t>
  </si>
  <si>
    <t>Target</t>
  </si>
  <si>
    <t>Act.</t>
  </si>
  <si>
    <t>Certificate No.:</t>
  </si>
  <si>
    <t>D-U-N-S Nr.:</t>
  </si>
  <si>
    <t>Input Form - EingabeMaske</t>
  </si>
  <si>
    <t>Questions - Fragen</t>
  </si>
  <si>
    <t>Report-Bericht</t>
  </si>
  <si>
    <t>$S$13</t>
  </si>
  <si>
    <t>$S$19</t>
  </si>
  <si>
    <t>$S$24</t>
  </si>
  <si>
    <t>$S$29</t>
  </si>
  <si>
    <t>Actionplan-Maßnahmenplan</t>
  </si>
  <si>
    <t xml:space="preserve">VDA QMC 
Haftungsausschluss:
Der VDA QMC stellt Ihnen die nachfolgende Exceldatei
zur Auswertung und Berichtserstellung  von VDA 6.3 Prozessaudits zur Verfügung. 
Die Nutzung des Excelberichtes erfolgt  auf eigene Verantwortung des Nutzers. 
Der VDA QMC sowie die Ersteller der Datei  übernehmen keine Verantwortung
 für die Korrektheit der Berechnungen und der vorgeschlagenen Fähigkeitseinstufungen.
Um die in der Bewertungsmatrix enthaltenen Formeln nicht zu beschädigen, wird empfohlen nur die vorgesehenen Eingabemasken zu bedienen. Dies wird in der Schulung ausführlich erläutert.
Der Nutzer hat keinen Anspruch auf Support sowie Updates der Berichtsdatei seitens des VDA QMC oder deren Ersteller.
VDA QMC Stand Nov. 2016
</t>
  </si>
  <si>
    <t xml:space="preserve">VDA QMC 
DISCLAIMER:
The VDA QMC provides this Excel file  for the reporting of VDA 6.3 audits. The  sole responsibility for this Excel report remains with the user. 
The VDA and the developers of this file are not responsible for the accuracy of the calculations and the proposed capability ratings.
To avoid damage to the formulas contained within the evaluation matrix we recommend you only use the input areas as given. This is explained in detail in detail in the seminar. 
The user is not entitled to support or updates of this report file from the VDA QMC or the developers. 
VDA QMC  Nov. 2016
</t>
  </si>
  <si>
    <t>Teilnoten Ep2, Ep3, Ep4,Ep5, Ep6, Ep7 &lt;80 % = "B", &lt;70 %  Einstufung = "C"</t>
  </si>
  <si>
    <r>
      <t>E</t>
    </r>
    <r>
      <rPr>
        <b/>
        <vertAlign val="subscript"/>
        <sz val="10"/>
        <rFont val="Arial"/>
        <family val="2"/>
      </rPr>
      <t>P7</t>
    </r>
  </si>
  <si>
    <t>Disclaimer</t>
  </si>
  <si>
    <t>Schicht:</t>
  </si>
  <si>
    <t>Ausstellungs-datum:</t>
  </si>
  <si>
    <t>Version R14 170112PG, Masterversion an Hr. Plegniere am 16.01.2017 von TM</t>
  </si>
  <si>
    <t>V1</t>
  </si>
  <si>
    <t>Übergabe durch</t>
  </si>
  <si>
    <t>3. Anzahl Prozessschritte auswählen (nur bei P6 Bewertungen)</t>
  </si>
  <si>
    <t>4. Prozesselemente auswählen (Tabelle: Questions-Fragen)</t>
  </si>
  <si>
    <t>Questions to be answered:</t>
  </si>
  <si>
    <t>Alle Namen "Print_Area" gelöscht.</t>
  </si>
  <si>
    <t>WR</t>
  </si>
  <si>
    <t>Rundungsregel "Weiterberechnung erfolgt mit dem auf zwei Nachkommastellen gerundeten Wert" bei P3, P4 und P6 realisiert.</t>
  </si>
  <si>
    <t>V2</t>
  </si>
  <si>
    <t>n.e.</t>
  </si>
  <si>
    <t>n. e. für not evaluated statt n. a. für not applicable</t>
  </si>
  <si>
    <t>Bei P4 min. Anzahl Fragen geändert 6 von 8 Fragen (2/3 Regel) statt 5 von 8.</t>
  </si>
  <si>
    <t>V3</t>
  </si>
  <si>
    <t>Bei P4 und P6 2/3 Regel optimiert</t>
  </si>
  <si>
    <t>Bezug zu Frage 6.6.1 bei P6.7 Teilehandling korrigiert.</t>
  </si>
  <si>
    <t>V4</t>
  </si>
  <si>
    <t>Berechnung Maximum P7 geändert</t>
  </si>
  <si>
    <t>Bei „Fragebogen leeren“ werden auch Auditfeststellungen und die Sofortmaßnahmen gelöscht.</t>
  </si>
  <si>
    <t>Bei "CSV erstellen" werden auch die Auditfeststellungen gespeichert.</t>
  </si>
  <si>
    <t>Shift:</t>
  </si>
  <si>
    <t>Deutsch</t>
  </si>
  <si>
    <t>V5</t>
  </si>
  <si>
    <t>Die grau hinterlegten Nebenrechnungen zur Bewertung ausgeblendet</t>
  </si>
  <si>
    <t>Die Punkte 4.6 und 4.7 in den Bewertungen durchgestrichen</t>
  </si>
  <si>
    <t>GERMAN</t>
  </si>
  <si>
    <t>Erstausgabe: 3 Prozessschritte, 2 Sprachen DE/EN; (frei bis 15.01.2018)</t>
  </si>
  <si>
    <t>Beschreibung</t>
  </si>
  <si>
    <t>V6</t>
  </si>
  <si>
    <t>---</t>
  </si>
  <si>
    <t>Description of non conformance (mandatory)</t>
  </si>
  <si>
    <t>PS4</t>
  </si>
  <si>
    <t>PS5</t>
  </si>
  <si>
    <t>PS6</t>
  </si>
  <si>
    <t>PS7</t>
  </si>
  <si>
    <t>PS8</t>
  </si>
  <si>
    <t>PS9</t>
  </si>
  <si>
    <t>PS10</t>
  </si>
  <si>
    <t>Prozessschritt  4:</t>
  </si>
  <si>
    <r>
      <t>E</t>
    </r>
    <r>
      <rPr>
        <b/>
        <vertAlign val="subscript"/>
        <sz val="9"/>
        <rFont val="Arial"/>
        <family val="2"/>
      </rPr>
      <t>4</t>
    </r>
  </si>
  <si>
    <t>Prozessschritt  5:</t>
  </si>
  <si>
    <t>Prozessschritt  6:</t>
  </si>
  <si>
    <t>Prozessschritt  8:</t>
  </si>
  <si>
    <t>Prozessschritt  9:</t>
  </si>
  <si>
    <t>Prozessschritt  10:</t>
  </si>
  <si>
    <t>Prozessschritt  7:</t>
  </si>
  <si>
    <r>
      <t>E</t>
    </r>
    <r>
      <rPr>
        <b/>
        <vertAlign val="subscript"/>
        <sz val="9"/>
        <rFont val="Arial"/>
        <family val="2"/>
      </rPr>
      <t>5</t>
    </r>
  </si>
  <si>
    <r>
      <t>E</t>
    </r>
    <r>
      <rPr>
        <b/>
        <vertAlign val="subscript"/>
        <sz val="9"/>
        <rFont val="Arial"/>
        <family val="2"/>
      </rPr>
      <t>6</t>
    </r>
  </si>
  <si>
    <r>
      <t>E</t>
    </r>
    <r>
      <rPr>
        <b/>
        <vertAlign val="subscript"/>
        <sz val="9"/>
        <rFont val="Arial"/>
        <family val="2"/>
      </rPr>
      <t>7</t>
    </r>
  </si>
  <si>
    <r>
      <t>E</t>
    </r>
    <r>
      <rPr>
        <b/>
        <vertAlign val="subscript"/>
        <sz val="9"/>
        <rFont val="Arial"/>
        <family val="2"/>
      </rPr>
      <t>8</t>
    </r>
  </si>
  <si>
    <r>
      <t>E</t>
    </r>
    <r>
      <rPr>
        <b/>
        <vertAlign val="subscript"/>
        <sz val="9"/>
        <rFont val="Arial"/>
        <family val="2"/>
      </rPr>
      <t>9</t>
    </r>
  </si>
  <si>
    <r>
      <t>E</t>
    </r>
    <r>
      <rPr>
        <b/>
        <vertAlign val="subscript"/>
        <sz val="9"/>
        <rFont val="Arial"/>
        <family val="2"/>
      </rPr>
      <t>10</t>
    </r>
  </si>
  <si>
    <t>Audit report n°</t>
  </si>
  <si>
    <t xml:space="preserve">Audit template </t>
  </si>
  <si>
    <t>VDA 6.3</t>
  </si>
  <si>
    <t>Audit qualification status</t>
  </si>
  <si>
    <t>Audit score</t>
  </si>
  <si>
    <t>Date of Audit</t>
  </si>
  <si>
    <t>Ques. No.</t>
  </si>
  <si>
    <t xml:space="preserve"> Weaknesses / recommended activities, finding</t>
  </si>
  <si>
    <t>2.3 : Is there a project plan and has this been agreed with the customer?</t>
  </si>
  <si>
    <t>6.1.3 Step 3 : Are incoming materials stored appropriately and are transport facilities / packing arrangements suitable for the special characteristics of the incoming materials?</t>
  </si>
  <si>
    <t>6.1.3 Step 4 : Are incoming materials stored appropriately and are transport facilities / packing arrangements suitable for the special characteristics of the incoming materials?</t>
  </si>
  <si>
    <t>6.1.3 Step 5 : Are incoming materials stored appropriately and are transport facilities / packing arrangements suitable for the special characteristics of the incoming materials?</t>
  </si>
  <si>
    <t>6.1.3 Step 6 : Are incoming materials stored appropriately and are transport facilities / packing arrangements suitable for the special characteristics of the incoming materials?</t>
  </si>
  <si>
    <t>6.1.3 Step 7 : Are incoming materials stored appropriately and are transport facilities / packing arrangements suitable for the special characteristics of the incoming materials?</t>
  </si>
  <si>
    <t>6.1.3 Step 8 : Are incoming materials stored appropriately and are transport facilities / packing arrangements suitable for the special characteristics of the incoming materials?</t>
  </si>
  <si>
    <t>6.1.3 Step 9 : Are incoming materials stored appropriately and are transport facilities / packing arrangements suitable for the special characteristics of the incoming materials?</t>
  </si>
  <si>
    <t>6.1.3 Step 10 : Are incoming materials stored appropriately and are transport facilities / packing arrangements suitable for the special characteristics of the incoming materials?</t>
  </si>
  <si>
    <t>6.1.4 Step 2 : Are the necessary identifications / records / approvals available and allocated appropriately to the incoming materials?</t>
  </si>
  <si>
    <t>6.1.4 Step 3 : Are the necessary identifications / records / approvals available and allocated appropriately to the incoming materials?</t>
  </si>
  <si>
    <t>6.1.4 Step 4 : Are the necessary identifications / records / approvals available and allocated appropriately to the incoming materials?</t>
  </si>
  <si>
    <t>6.1.4 Step 5 : Are the necessary identifications / records / approvals available and allocated appropriately to the incoming materials?</t>
  </si>
  <si>
    <t>6.1.4 Step 6 : Are the necessary identifications / records / approvals available and allocated appropriately to the incoming materials?</t>
  </si>
  <si>
    <t>6.1.4 Step 7 : Are the necessary identifications / records / approvals available and allocated appropriately to the incoming materials?</t>
  </si>
  <si>
    <t>6.1.4 Step 8 : Are the necessary identifications / records / approvals available and allocated appropriately to the incoming materials?</t>
  </si>
  <si>
    <t>6.1.4 Step 9 : Are the necessary identifications / records / approvals available and allocated appropriately to the incoming materials?</t>
  </si>
  <si>
    <t>6.1.4 Step 10 : Are the necessary identifications / records / approvals available and allocated appropriately to the incoming materials?</t>
  </si>
  <si>
    <t>6.5.4 Step 1 : Are processes and products audited regularly?</t>
  </si>
  <si>
    <t>6.5.4 Step 2 : Are processes and products audited regularly?</t>
  </si>
  <si>
    <t>6.5.4 Step 3 : Are processes and products audited regularly?</t>
  </si>
  <si>
    <t>6.5.4 Step 4 : Are processes and products audited regularly?</t>
  </si>
  <si>
    <t>6.5.4 Step 5 : Are processes and products audited regularly?</t>
  </si>
  <si>
    <t>6.5.4 Step 6 : Are processes and products audited regularly?</t>
  </si>
  <si>
    <t>6.5.4 Step 7 : Are processes and products audited regularly?</t>
  </si>
  <si>
    <t>6.5.4 Step 8 : Are processes and products audited regularly?</t>
  </si>
  <si>
    <t>6.5.4 Step 9 : Are processes and products audited regularly?</t>
  </si>
  <si>
    <t>6.5.4 Step 10 : Are processes and products audited regularly?</t>
  </si>
  <si>
    <t>2.1 : Is a project management established with a project organisation?</t>
  </si>
  <si>
    <t>2.2 : Are all resources required for the project implementation planned and available and are changes reported?</t>
  </si>
  <si>
    <t>2.4 : Is the advanced product quality planning implemented within the project and monitored for compliance?</t>
  </si>
  <si>
    <t>2.5* : Are the procurement activities of the project implemented and monitored for compliance?</t>
  </si>
  <si>
    <t xml:space="preserve">2.6* :Is change management within the project ensured by the project organisation?  </t>
  </si>
  <si>
    <t>2.7 : Is there an escalation process established and is this effectively implemented?</t>
  </si>
  <si>
    <t>3.1 Product : Are the specific product and process requirements available?</t>
  </si>
  <si>
    <t>3.1 Process : Are the specific product and process requirements available?</t>
  </si>
  <si>
    <t>3.2* Product : Is the feasibility comprehensively evaluated according to the product and process requirements?</t>
  </si>
  <si>
    <t>3.2* Process :Is the feasibility comprehensively evaluated according to the product and process requirements?</t>
  </si>
  <si>
    <t>3.3 Product : Are the activities for the product and process development planned in detail?</t>
  </si>
  <si>
    <t>3.3 Process : Are the activities for the product and process development planned in detail?</t>
  </si>
  <si>
    <t>3.4 Product : Are the activities planned for customer care / customer satisfaction / customer service and field failure analysis?</t>
  </si>
  <si>
    <t>3.4 Process : Are the activities planned for customer care / customer satisfaction / customer service and field failure analysis?</t>
  </si>
  <si>
    <t>3.5 Product : Have the necessary resources been taken into account for the product and process development?</t>
  </si>
  <si>
    <t>3.5 Process : Have the necessary resources been taken into account for the product and process development?</t>
  </si>
  <si>
    <t>4.1* Product :Are the actions from the product and process development plans implemented?</t>
  </si>
  <si>
    <t>4.1* Process : Are the actions from the product and process development plans implemented?</t>
  </si>
  <si>
    <t>4.2 Product : Are personnel resources available and are they qualified to ensure the start of the serial production?</t>
  </si>
  <si>
    <t>4.2 Proccess : Are personnel resources available and are they qualified to ensure the start of the serial production?</t>
  </si>
  <si>
    <t>Are the material resources available and suitable to ensure the start of the serial production?</t>
  </si>
  <si>
    <t>4.3 Product : Are the material resources available and suitable to ensure the start of the serial production?</t>
  </si>
  <si>
    <t>4.3 Process :Are the material resources available and suitable to ensure the start of the serial production?</t>
  </si>
  <si>
    <t>4.4* Product :Are the required approvals and releases for the product and process development available?</t>
  </si>
  <si>
    <t>4.4* Process : Are the required approvals and releases for the product and process development available?</t>
  </si>
  <si>
    <t>4.5 Product :Are the manufacturing and inspection specifications derived from the product and process development and are they implemented?</t>
  </si>
  <si>
    <t>4.5 Process : Are the manufacturing and inspection specifications derived from the product and process development and are they implemented?</t>
  </si>
  <si>
    <t>4.6 Process : Is a performance test carried out under series conditions for the series release?</t>
  </si>
  <si>
    <t>4.7 Process : Are the processes established for securing customer care / customer satisfaction / customer service as well as the field failure analysis?</t>
  </si>
  <si>
    <t>4.8* Product : Is there a controlled method for the product handover from development to serial production?</t>
  </si>
  <si>
    <t>4.8* Process : Is there a controlled method for the product handover from development to serial production?</t>
  </si>
  <si>
    <t xml:space="preserve">5.1 : Are only approved and quality capable suppliers selected? </t>
  </si>
  <si>
    <t xml:space="preserve">5.2 : Are the customer's requirements taken into account in the supply chain? </t>
  </si>
  <si>
    <t xml:space="preserve">5.3 : Have target agreements for delivery performance been agreed with suppliers and implemented? </t>
  </si>
  <si>
    <t xml:space="preserve">5.6 : Are incoming goods stored appropriately? </t>
  </si>
  <si>
    <t xml:space="preserve">5.7 : Are personnel qualified for the various tasks and are responsibilities defined? </t>
  </si>
  <si>
    <t xml:space="preserve">5.4* : Are the necessary approvals/releases available for the outsourced products and services? </t>
  </si>
  <si>
    <t xml:space="preserve">5.5* : s the quality of the outsourced products and services ensured? </t>
  </si>
  <si>
    <t xml:space="preserve">6.1.1 Step 1 : Has the project been transferred from development to serial production and is a reliable start guaranteed? </t>
  </si>
  <si>
    <t xml:space="preserve">6.1.1 Step 2 : Has the project been transferred from development to serial production and is a reliable start guaranteed? </t>
  </si>
  <si>
    <t xml:space="preserve">6.1.1 Step 3 : Has the project been transferred from development to serial production and is a reliable start guaranteed? </t>
  </si>
  <si>
    <t xml:space="preserve">6.1.1 Step 4 : Has the project been transferred from development to serial production and is a reliable start guaranteed? </t>
  </si>
  <si>
    <t xml:space="preserve">6.1.1 Step 5 : Has the project been transferred from development to serial production and is a reliable start guaranteed? </t>
  </si>
  <si>
    <t xml:space="preserve">6.1.1 Step 6 : Has the project been transferred from development to serial production and is a reliable start guaranteed? </t>
  </si>
  <si>
    <t xml:space="preserve">6.1.1 Step 7 : Has the project been transferred from development to serial production and is a reliable start guaranteed? </t>
  </si>
  <si>
    <t xml:space="preserve">6.1.1 Step 8 : Has the project been transferred from development to serial production and is a reliable start guaranteed? </t>
  </si>
  <si>
    <t xml:space="preserve">6.1.1 Step 9 : Has the project been transferred from development to serial production and is a reliable start guaranteed? </t>
  </si>
  <si>
    <t xml:space="preserve">6.1.1 Step 10 : Has the project been transferred from development to serial production and is a reliable start guaranteed? </t>
  </si>
  <si>
    <t>6.1.2 Step 1 :Are the necessary quantities / production batch sizes of incoming materials available at the agreed upon time and at the correct storage location / work-station?</t>
  </si>
  <si>
    <t>6.1.2 Step 2 : Are the necessary quantities / production batch sizes of incoming materials available at the agreed upon time and at the correct storage location / work-station?</t>
  </si>
  <si>
    <t>6.1.2 Step 3 : Are the necessary quantities / production batch sizes of incoming materials available at the agreed upon time and at the correct storage location / work-station?</t>
  </si>
  <si>
    <t>6.1.2 Step 4 :Are the necessary quantities / production batch sizes of incoming materials available at the agreed upon time and at the correct storage location / work-station?</t>
  </si>
  <si>
    <t>6.1.2 Step 5 : Are the necessary quantities / production batch sizes of incoming materials available at the agreed upon time and at the correct storage location / work-station?</t>
  </si>
  <si>
    <t>6.1.2 Step 6 : Are the necessary quantities / production batch sizes of incoming materials available at the agreed upon time and at the correct storage location / work-station?</t>
  </si>
  <si>
    <t>6.1.2 Step 7 : Are the necessary quantities / production batch sizes of incoming materials available at the agreed upon time and at the correct storage location / work-station?</t>
  </si>
  <si>
    <t>6.1.2 Step 8 : Are the necessary quantities / production batch sizes of incoming materials available at the agreed upon time and at the correct storage location / work-station?</t>
  </si>
  <si>
    <t>6.1.2 Step 9 : Are the necessary quantities / production batch sizes of incoming materials available at the agreed upon time and at the correct storage location / work-station?</t>
  </si>
  <si>
    <t>6.1.2 Step 10 : Are the necessary quantities / production batch sizes of incoming materials available at the agreed upon time and at the correct storage location / work-station?</t>
  </si>
  <si>
    <t xml:space="preserve">6.1.3 Step 1 : Are incoming materials stored appropriately and are transport facilities / packing arrangements suitable for the special characteristics of the incoming materials ? </t>
  </si>
  <si>
    <t xml:space="preserve">6.1.3 Step 2 : Are incoming materials stored appropriately and are transport facilities / packing arrangements suitable for the special characteristics of the incoming materials ? </t>
  </si>
  <si>
    <t xml:space="preserve">6.1.4 Step 1 : Are the necessary identifications / records / approvals available and allocated appropriately to the incoming materials ? </t>
  </si>
  <si>
    <t xml:space="preserve">6.1.5* Step 1 : Are changes to the product or process made during the serial production tracked and documented? </t>
  </si>
  <si>
    <t xml:space="preserve">6.1.5* Step 2 : Are changes to the product or process made during the serial production tracked and documented? </t>
  </si>
  <si>
    <t xml:space="preserve">6.1.5* Step 3 : Are changes to the product or process made during the serial production tracked and documented? </t>
  </si>
  <si>
    <t xml:space="preserve">6.1.5* Step 4 : Are changes to the product or process made during the serial production tracked and documented? </t>
  </si>
  <si>
    <t xml:space="preserve">6.1.5* Step 5 : Are changes to the product or process made during the serial production tracked and documented? </t>
  </si>
  <si>
    <t xml:space="preserve">6.1.5* Step 6 : Are changes to the product or process made during the serial production tracked and documented?  </t>
  </si>
  <si>
    <t xml:space="preserve">6.1.5* Step 7 : Are changes to the product or process made during the serial production tracked and documented? </t>
  </si>
  <si>
    <t xml:space="preserve">6.1.5* Step 8 : Are changes to the product or process made during the serial production tracked and documented?  </t>
  </si>
  <si>
    <t xml:space="preserve">6.1.5* Step 9 : Are changes to the product or process made during the serial production tracked and documented? </t>
  </si>
  <si>
    <t xml:space="preserve">6.1.5* Step 10 : Are changes to the product or process made during the serial production tracked and documented?  </t>
  </si>
  <si>
    <t xml:space="preserve">6.2.1 Step 1 : Are the specifications of the control plan complete and have they been effectively implemented? </t>
  </si>
  <si>
    <t xml:space="preserve">6.2.1 Step 2 : Are the specifications of the control plan complete and have they been effectively implemented? </t>
  </si>
  <si>
    <t xml:space="preserve">6.2.1 Step 3 : Are the specifications of the control plan complete and have they been effectively implemented? </t>
  </si>
  <si>
    <t xml:space="preserve">6.2.1 Step 4 :Are the specifications of the control plan complete and have they been effectively implemented? </t>
  </si>
  <si>
    <t xml:space="preserve">6.2.1 Step 5 : Are the specifications of the control plan complete and have they been effectively implemented? </t>
  </si>
  <si>
    <t xml:space="preserve">6.2.1 Step 6 : Are the specifications of the control plan complete and have they been effectively implemented? </t>
  </si>
  <si>
    <t xml:space="preserve">6.2.1 Step 7 : Are the specifications of the control plan complete and have they been effectively implemented? </t>
  </si>
  <si>
    <t xml:space="preserve">6.2.1 Step 8 : Are the specifications of the control plan complete and have they been effectively implemented? </t>
  </si>
  <si>
    <t xml:space="preserve">6.2.1 Step 9 : Are the specifications of the control plan complete and have they been effectively implemented? </t>
  </si>
  <si>
    <t xml:space="preserve">6.2.1 Step 10 : Are the specifications of the control plan complete and have they been effectively implemented? </t>
  </si>
  <si>
    <t>6.2.2 Step 1 : Does a repeat release for the restart of production take place?</t>
  </si>
  <si>
    <t>6.2.2 Step 2 : Does a repeat release for the restart of production take place?</t>
  </si>
  <si>
    <t>6.2.2 Step 3 :Does a repeat release for the restart of production take place?</t>
  </si>
  <si>
    <t>6.2.2 Step 4 : Does a repeat release for the restart of production take place?</t>
  </si>
  <si>
    <t>6.2.2 Step 5 : Does a repeat release for the restart of production take place?</t>
  </si>
  <si>
    <t>6.2.2 Step 6 : Does a repeat release for the restart of production take place?</t>
  </si>
  <si>
    <t>6.2.2 Step 7 : Does a repeat release for the restart of production take place?</t>
  </si>
  <si>
    <t>6.2.2 Step 8 : Does a repeat release for the restart of production take place?</t>
  </si>
  <si>
    <t>6.2.2 Step 9 : Does a repeat release for the restart of production take place?</t>
  </si>
  <si>
    <t>6.2.2 Step 10 : Does a repeat release for the restart of production take place?</t>
  </si>
  <si>
    <t>6.2.3* Step 1 : Are special characteristics managed in the production?</t>
  </si>
  <si>
    <t>6.2.3* Step 2 : Are special characteristics managed in the production?</t>
  </si>
  <si>
    <t>6.2.3* Step 3 : Are special characteristics managed in the production?</t>
  </si>
  <si>
    <t>6.2.3* Step 4 : Are special characteristics managed in the production?</t>
  </si>
  <si>
    <t>6.2.3* Step 5 : Are special characteristics managed in the production?</t>
  </si>
  <si>
    <t>6.2.3* Step 6 : Are special characteristics managed in the production?</t>
  </si>
  <si>
    <t>6.2.3* Step 7 : Are special characteristics managed in the production?</t>
  </si>
  <si>
    <t>6.2.3* Step 8 : Are special characteristics managed in the production?</t>
  </si>
  <si>
    <t>6.2.3* Step 9 : Are special characteristics managed in the production?</t>
  </si>
  <si>
    <t>6.2.3* Step 10 : Are special characteristics managed in the production?</t>
  </si>
  <si>
    <t>6.2.4* Step 1 : Are non-released and/or defective parts managed?</t>
  </si>
  <si>
    <t>6.2.4* Step 2 : Are non-released and/or defective parts managed?</t>
  </si>
  <si>
    <t>6.2.4* Step 3 : Are non-released and/or defective parts managed?</t>
  </si>
  <si>
    <t>6.2.4* Step 4 : Are non-released and/or defective parts managed?</t>
  </si>
  <si>
    <t>6.2.4* Step 5 : Are non-released and/or defective parts managed?</t>
  </si>
  <si>
    <t>6.2.4* Step 6 : Are non-released and/or defective parts managed?</t>
  </si>
  <si>
    <t>6.2.4* Step 7 : Are non-released and/or defective parts managed?</t>
  </si>
  <si>
    <t>6.2.4* Step 8 : Are non-released and/or defective parts managed?</t>
  </si>
  <si>
    <t>6.2.4* Step 9 : Are non-released and/or defective parts managed?</t>
  </si>
  <si>
    <t>6.2.4* Step 10 : Are non-released and/or defective parts managed?</t>
  </si>
  <si>
    <t>6.2.5 Step 1 : Is the flow of materials and parts secured against mixing / wrong items?</t>
  </si>
  <si>
    <t>6.2.5 Step 2 : Is the flow of materials and parts secured against mixing / wrong items?</t>
  </si>
  <si>
    <t>6.2.5 Step 3 : Is the flow of materials and parts secured against mixing / wrong items?</t>
  </si>
  <si>
    <t>6.2.5 Step 4 : Is the flow of materials and parts secured against mixing / wrong items?</t>
  </si>
  <si>
    <t>6.2.5 Step 5 : Is the flow of materials and parts secured against mixing / wrong items?</t>
  </si>
  <si>
    <t>6.2.5 Step 6 : Is the flow of materials and parts secured against mixing / wrong items?</t>
  </si>
  <si>
    <t>6.2.5 Step 7 : Is the flow of materials and parts secured against mixing / wrong items?</t>
  </si>
  <si>
    <t>6.2.5 Step 8 : Is the flow of materials and parts secured against mixing / wrong items?</t>
  </si>
  <si>
    <t>6.2.5 Step 9 : Is the flow of materials and parts secured against mixing / wrong items?</t>
  </si>
  <si>
    <t>6.2.5 Step 10 : Is the flow of materials and parts secured against mixing / wrong items?</t>
  </si>
  <si>
    <t>6.3.1* Step 1 : Are the employees able to fulfil their given tasks?</t>
  </si>
  <si>
    <t>6.3.1* Step 2 : Are the employees able to fulfil their given tasks?</t>
  </si>
  <si>
    <t>6.3.1* Step 3 : Are the employees able to fulfil their given tasks?</t>
  </si>
  <si>
    <t xml:space="preserve">6.3.1* Step 4 : Are the employees able to fulfil their given tasks? </t>
  </si>
  <si>
    <t xml:space="preserve">6.3.1* Step 5 : Are the employees able to fulfil their given tasks? </t>
  </si>
  <si>
    <t>6.3.1* Step 6 : Are the employees able to fulfil their given tasks?</t>
  </si>
  <si>
    <t xml:space="preserve">6.3.1* Step 7 : Are the employees able to fulfil their given tasks? </t>
  </si>
  <si>
    <t xml:space="preserve">6.3.1* Step 8 : Are the employees able to fulfil their given tasks? </t>
  </si>
  <si>
    <t xml:space="preserve">6.3.1* Step 9 : Are the employees able to fulfil their given tasks? </t>
  </si>
  <si>
    <t>6.3.1* Step 10 : Are the employees able to fulfil their given tasks?</t>
  </si>
  <si>
    <t>6.3.2 Step 1 : Do the employees know their responsibilities and authority in the monitoring of the quality of product and process quality?</t>
  </si>
  <si>
    <t>6.3.2 Step 2 : Do the employees know their responsibilities and authority in the monitoring of the quality of product and process quality?</t>
  </si>
  <si>
    <t>6.3.2 Step 3 : Do the employees know their responsibilities and authority in the monitoring of the quality of product and process quality?</t>
  </si>
  <si>
    <t>6.3.2 Step 4 : Do the employees know their responsibilities and authority in the monitoring of the quality of product and process quality?</t>
  </si>
  <si>
    <t>6.3.2 Step 5 : Do the employees know their responsibilities and authority in the monitoring of the quality of product and process quality?</t>
  </si>
  <si>
    <t>6.3.2 Step 6 : Do the employees know their responsibilities and authority in the monitoring of the quality of product and process quality?</t>
  </si>
  <si>
    <t>6.3.2 Step 7 : Do the employees know their responsibilities and authority in the monitoring of the quality of product and process quality?</t>
  </si>
  <si>
    <t>6.3.2 Step 8 : Do the employees know their responsibilities and authority in the monitoring of the quality of product and process quality?</t>
  </si>
  <si>
    <t>6.3.2 Step 9 : Do the employees know their responsibilities and authority in the monitoring of the quality of product and process quality?</t>
  </si>
  <si>
    <t>6.3.2 Step 10 : Do the employees know their responsibilities and authority in the monitoring of the quality of product and process quality?</t>
  </si>
  <si>
    <t>6.3.3 Step 1 : Are the necessary personnel resources available?</t>
  </si>
  <si>
    <t>6.3.3 Step 2 : Are the necessary personnel resources available?</t>
  </si>
  <si>
    <t>6.3.3 Step 3 : Are the necessary personnel resources available?</t>
  </si>
  <si>
    <t>6.3.3 Step 4 : Are the necessary personnel resources available?</t>
  </si>
  <si>
    <t>6.3.3 Step 5 : Are the necessary personnel resources available?</t>
  </si>
  <si>
    <t>6.3.3 Step 6 : Are the necessary personnel resources available?</t>
  </si>
  <si>
    <t>6.3.3 Step 7 : Are the necessary personnel resources available?</t>
  </si>
  <si>
    <t>6.3.3 Step 8 : Are the necessary personnel resources available?</t>
  </si>
  <si>
    <t>6.3.3 Step 9 : Are the necessary personnel resources available?</t>
  </si>
  <si>
    <t>6.3.3 Step 10 : Are the necessary personnel resources available?</t>
  </si>
  <si>
    <t xml:space="preserve">6.4.1* Step 1 : Can the product-specific requirements from the customer be met with the manufacturing equipment? </t>
  </si>
  <si>
    <t xml:space="preserve">6.4.1* Step 2 : Can the product-specific requirements from the customer be met with the manufacturing equipment? </t>
  </si>
  <si>
    <t xml:space="preserve">6.4.1* Step 3 : Can the product-specific requirements from the customer be met with the manufacturing equipment? </t>
  </si>
  <si>
    <t xml:space="preserve">6.4.1* Step 4 : Can the product-specific requirements from the customer be met with the manufacturing equipment? </t>
  </si>
  <si>
    <t xml:space="preserve">6.4.1* Step 5 : Can the product-specific requirements from the customer be met with the manufacturing equipment? </t>
  </si>
  <si>
    <t xml:space="preserve">6.4.1* Step 6 : Can the product-specific requirements from the customer be met with the manufacturing equipment? </t>
  </si>
  <si>
    <t xml:space="preserve">6.4.1* Step 7 : Can the product-specific requirements from the customer be met with the manufacturing equipment? </t>
  </si>
  <si>
    <t xml:space="preserve">6.4.1* Step 8 : Can the product-specific requirements from the customer be met with the manufacturing equipment? </t>
  </si>
  <si>
    <t xml:space="preserve">6.4.1* Step 9 : Can the product-specific requirements from the customer be met with the manufacturing equipment? </t>
  </si>
  <si>
    <t xml:space="preserve">6.4.1* Step 10 : Can the product-specific requirements from the customer be met with the manufacturing equipment? </t>
  </si>
  <si>
    <t>6.4.2 Step 1 : Is the maintenance of the manufacturing equipment and tools controlled?</t>
  </si>
  <si>
    <t>6.4.2 Step 2 : Is the maintenance of the manufacturing equipment and tools controlled?</t>
  </si>
  <si>
    <t>6.4.2 Step 3 : Is the maintenance of the manufacturing equipment and tools controlled?</t>
  </si>
  <si>
    <t>6.4.2 Step 4 : Is the maintenance of the manufacturing equipment and tools controlled?</t>
  </si>
  <si>
    <t>6.4.2 Step 5 : Is the maintenance of the manufacturing equipment and tools controlled?</t>
  </si>
  <si>
    <t>6.4.2 Step 6 : Is the maintenance of the manufacturing equipment and tools controlled?</t>
  </si>
  <si>
    <t>6.4.2 Step 7 : Is the maintenance of the manufacturing equipment and tools controlled?</t>
  </si>
  <si>
    <t>6.4.2 Step 8 : Is the maintenance of the manufacturing equipment and tools controlled?</t>
  </si>
  <si>
    <t>6.4.2 Step 9 : Is the maintenance of the manufacturing equipment and tools controlled?</t>
  </si>
  <si>
    <t>6.4.2 Step 10 : Is the maintenance of the manufacturing equipment and tools controlled?</t>
  </si>
  <si>
    <t>6.4.3* Step 1 : Can the quality requirements be effectively monitored with the measurement and test facilities in use?</t>
  </si>
  <si>
    <t>6.4.3* Step 2 : Can the quality requirements be effectively monitored with the measurement and test facilities in use?</t>
  </si>
  <si>
    <t>6.4.3* Step 3 : Can the quality requirements be effectively monitored with the measurement and test facilities in use?</t>
  </si>
  <si>
    <t>6.4.3* Step 4 : Can the quality requirements be effectively monitored with the measurement and test facilities in use?</t>
  </si>
  <si>
    <t>6.4.3* Step 5 : Can the quality requirements be effectively monitored with the measurement and test facilities in use?</t>
  </si>
  <si>
    <t>6.4.3* Step 6 : Can the quality requirements be effectively monitored with the measurement and test facilities in use?</t>
  </si>
  <si>
    <t>6.4.3* Step 7 : Can the quality requirements be effectively monitored with the measurement and test facilities in use?</t>
  </si>
  <si>
    <t>6.4.3* Step 8 : Can the quality requirements be effectively monitored with the measurement and test facilities in use?</t>
  </si>
  <si>
    <t>6.4.3* Step 9 : Can the quality requirements be effectively monitored with the measurement and test facilities in use?</t>
  </si>
  <si>
    <t>6.4.3* Step 10 : Can the quality requirements be effectively monitored with the measurement and test facilities in use?</t>
  </si>
  <si>
    <t>6.4.4 Step 1 : Are the work and inspection stations appropriate for the needs?</t>
  </si>
  <si>
    <t>6.4.4 Step 2 : Are the work and inspection stations appropriate for the needs?</t>
  </si>
  <si>
    <t>6.4.4 Step 3 : Are the work and inspection stations appropriate for the needs?</t>
  </si>
  <si>
    <t>6.4.4 Step 4 : Are the work and inspection stations appropriate for the needs?</t>
  </si>
  <si>
    <t>6.4.4 Step 5 : Are the work and inspection stations appropriate for the needs?</t>
  </si>
  <si>
    <t>6.4.4 Step 6 : Are the work and inspection stations appropriate for the needs?</t>
  </si>
  <si>
    <t>6.4.4 Step 7 : Are the work and inspection stations appropriate for the needs?</t>
  </si>
  <si>
    <t>6.4.4 Step 8 : Are the work and inspection stations appropriate for the needs?</t>
  </si>
  <si>
    <t>6.4.4 Step 9 : Are the work and inspection stations appropriate for the needs?</t>
  </si>
  <si>
    <t>6.4.4 Step 10 : Are the work and inspection stations appropriate for the needs?</t>
  </si>
  <si>
    <t>6.4.5 Step 1 : Are tools, equipment and test equipment stored properly?</t>
  </si>
  <si>
    <t>6.4.5 Step 2 : Are tools, equipment and test equipment stored properly?</t>
  </si>
  <si>
    <t>6.4.5 Step 3 : Are tools, equipment and test equipment stored properly?</t>
  </si>
  <si>
    <t>6.4.5 Step 4 : Are tools, equipment and test equipment stored properly?</t>
  </si>
  <si>
    <t>6.4.5 Step 5 : Are tools, equipment and test equipment stored properly?</t>
  </si>
  <si>
    <t>6.4.5 Step 6 : Are tools, equipment and test equipment stored properly?</t>
  </si>
  <si>
    <t>6.4.5 Step 7 : Are tools, equipment and test equipment stored properly?</t>
  </si>
  <si>
    <t>6.4.5 Step 8 : Are tools, equipment and test equipment stored properly?</t>
  </si>
  <si>
    <t>6.4.5 Step 9 : Are tools, equipment and test equipment stored properly?</t>
  </si>
  <si>
    <t>6.4.5 Step 10 : Are tools, equipment and test equipment stored properly?</t>
  </si>
  <si>
    <t xml:space="preserve">6.5.1 Step 1 : Are there targets set for the manufacturing process? </t>
  </si>
  <si>
    <t xml:space="preserve">6.5.1 Step 2 : Are there targets set for the manufacturing process? </t>
  </si>
  <si>
    <t xml:space="preserve">6.5.1 Step 3 : Are there targets set for the manufacturing process? </t>
  </si>
  <si>
    <t xml:space="preserve">6.5.1 Step 4 : Are there targets set for the manufacturing process? </t>
  </si>
  <si>
    <t xml:space="preserve">6.5.1 Step 5 : Are there targets set for the manufacturing process? </t>
  </si>
  <si>
    <t xml:space="preserve">6.5.1 Step 6 : Are there targets set for the manufacturing process? </t>
  </si>
  <si>
    <t xml:space="preserve">6.5.1 Step 7 : Are there targets set for the manufacturing process? </t>
  </si>
  <si>
    <t xml:space="preserve">6.5.1 Step 8 : Are there targets set for the manufacturing process? </t>
  </si>
  <si>
    <t xml:space="preserve">6.5.1 Step 9 : Are there targets set for the manufacturing process? </t>
  </si>
  <si>
    <t xml:space="preserve">6.5.1 Step 10 : Are there targets set for the manufacturing process? </t>
  </si>
  <si>
    <t xml:space="preserve">6.5.2 Step 1 : Is quality and process data collected in a way that allows analysis? </t>
  </si>
  <si>
    <t xml:space="preserve">6.5.2 Step 2 : Is quality and process data collected in a way that allows analysis? </t>
  </si>
  <si>
    <t xml:space="preserve">6.5.2 Step 3 : Is quality and process data collected in a way that allows analysis? </t>
  </si>
  <si>
    <t xml:space="preserve">6.5.2 Step 4 : Is quality and process data collected in a way that allows analysis? </t>
  </si>
  <si>
    <t xml:space="preserve">6.5.2 Step 5 : Is quality and process data collected in a way that allows analysis? </t>
  </si>
  <si>
    <t xml:space="preserve">6.5.2 Step 6 : Is quality and process data collected in a way that allows analysis? </t>
  </si>
  <si>
    <t xml:space="preserve">6.5.2 Step 7 : Is quality and process data collected in a way that allows analysis? </t>
  </si>
  <si>
    <t xml:space="preserve">6.5.2 Step 8 : Is quality and process data collected in a way that allows analysis? </t>
  </si>
  <si>
    <t xml:space="preserve">6.5.2 Step 9 : Is quality and process data collected in a way that allows analysis? </t>
  </si>
  <si>
    <t>6.5.2 Step 10 : Is quality and process data collected in a way that allows analysis?</t>
  </si>
  <si>
    <t>6.5.3* Step 1 : In the case of deviations from product and process requirements, are the causes analysed and the corrective actions checked for effectiveness?</t>
  </si>
  <si>
    <t>6.5.3* Step 2 : In the case of deviations from product and process requirements, are the causes analysed and the corrective actions checked for effectiveness?</t>
  </si>
  <si>
    <t>6.5.3* Step 3 : In the case of deviations from product and process requirements, are the causes analysed and the corrective actions checked for effectiveness?</t>
  </si>
  <si>
    <t>6.5.3* Step 4 : In the case of deviations from product and process requirements, are the causes analysed and the corrective actions checked for effectiveness?</t>
  </si>
  <si>
    <t>6.5.3* Step 5 : In the case of deviations from product and process requirements, are the causes analysed and the corrective actions checked for effectiveness?</t>
  </si>
  <si>
    <t>6.5.3* Step 6 : In the case of deviations from product and process requirements, are the causes analysed and the corrective actions checked for effectiveness?</t>
  </si>
  <si>
    <t>6.5.3* Step 7 : In the case of deviations from product and process requirements, are the causes analysed and the corrective actions checked for effectiveness?</t>
  </si>
  <si>
    <t>6.5.3* Step 8 : In the case of deviations from product and process requirements, are the causes analysed and the corrective actions checked for effectiveness?</t>
  </si>
  <si>
    <t>6.5.3* Step 9 : In the case of deviations from product and process requirements, are the causes analysed and the corrective actions checked for effectiveness?</t>
  </si>
  <si>
    <t>6.5.3* Step 10 : In the case of deviations from product and process requirements, are the causes analysed and the corrective actions checked for effectiveness?</t>
  </si>
  <si>
    <t>6.6.1 Step 1 : Do the quantities / production batch sizes meet the needs and are they systematically directed to the next process step?</t>
  </si>
  <si>
    <t>6.6.1 Step 2 : Do the quantities / production batch sizes meet the needs and are they systematically directed to the next process step?</t>
  </si>
  <si>
    <t>6.6.1 Step 3 : Do the quantities / production batch sizes meet the needs and are they systematically directed to the next process step?</t>
  </si>
  <si>
    <t>6.6.1 Step 4 : Do the quantities / production batch sizes meet the needs and are they systematically directed to the next process step?</t>
  </si>
  <si>
    <t>6.6.1 Step 5 : Do the quantities / production batch sizes meet the needs and are they systematically directed to the next process step?</t>
  </si>
  <si>
    <t>6.6.1 Step 6 : Do the quantities / production batch sizes meet the needs and are they systematically directed to the next process step?</t>
  </si>
  <si>
    <t>6.6.1 Step 7 : Do the quantities / production batch sizes meet the needs and are they systematically directed to the next process step?</t>
  </si>
  <si>
    <t>6.6.1 Step 8 : Do the quantities / production batch sizes meet the needs and are they systematically directed to the next process step?</t>
  </si>
  <si>
    <t>6.6.1 Step 9 : Do the quantities / production batch sizes meet the needs and are they systematically directed to the next process step?</t>
  </si>
  <si>
    <t>6.6.1 Step 10 : Do the quantities / production batch sizes meet the needs and are they systematically directed to the next process step?</t>
  </si>
  <si>
    <t>6.6.2 Step 1 : Are products / components stored in an appropriate manner and are transport facilities / packing arrangements suitable for the special characteristics of the products / components?</t>
  </si>
  <si>
    <t>6.6.2 Step 2 : Are products / components stored in an appropriate manner and are transport facilities / packing arrangements suitable for the special characteristics of the products / components?</t>
  </si>
  <si>
    <t>6.6.2 Step 3 : Are products / components stored in an appropriate manner and are transport facilities / packing arrangements suitable for the special characteristics of the products / components?</t>
  </si>
  <si>
    <t>6.6.2 Step 4 : Are products / components stored in an appropriate manner and are transport facilities / packing arrangements suitable for the special characteristics of the products / components?</t>
  </si>
  <si>
    <t>6.6.2 Step 5 : Are products / components stored in an appropriate manner and are transport facilities / packing arrangements suitable for the special characteristics of the products / components?</t>
  </si>
  <si>
    <t>6.6.2 Step 6 : Are products / components stored in an appropriate manner and are transport facilities / packing arrangements suitable for the special characteristics of the products / components?</t>
  </si>
  <si>
    <t>6.6.2 Step 7 : Are products / components stored in an appropriate manner and are transport facilities / packing arrangements suitable for the special characteristics of the products / components?</t>
  </si>
  <si>
    <t>6.6.2 Step 8 : Are products / components stored in an appropriate manner and are transport facilities / packing arrangements suitable for the special characteristics of the products / components?</t>
  </si>
  <si>
    <t>6.6.2 Step 9 : Are products / components stored in an appropriate manner and are transport facilities / packing arrangements suitable for the special characteristics of the products / components?</t>
  </si>
  <si>
    <t>6.6.2 Step 10 : Are products / components stored in an appropriate manner and are transport facilities / packing arrangements suitable for the special characteristics of the products / components?</t>
  </si>
  <si>
    <t>6.6.3 Step 1 : Are the necessary records / releases retained?</t>
  </si>
  <si>
    <t>6.6.3 Step 2 : Are the necessary records / releases retained?</t>
  </si>
  <si>
    <t>6.6.3 Step 3 : Are the necessary records / releases retained?</t>
  </si>
  <si>
    <t>6.6.3 Step 4 : Are the necessary records / releases retained?</t>
  </si>
  <si>
    <t>6.6.3 Step 5 : Are the necessary records / releases retained?</t>
  </si>
  <si>
    <t>6.6.3 Step 6 : Are the necessary records / releases retained?</t>
  </si>
  <si>
    <t>6.6.3 Step 7 : Are the necessary records / releases retained?</t>
  </si>
  <si>
    <t>6.6.3 Step 8 : Are the necessary records / releases retained?</t>
  </si>
  <si>
    <t>6.6.3 Step 9 : Are the necessary records / releases retained?</t>
  </si>
  <si>
    <t>6.6.3 Step 10 : Are the necessary records / releases retained?</t>
  </si>
  <si>
    <t>6.6.4* Step 1 : Are customer requirements met at the delivery of the final product?</t>
  </si>
  <si>
    <t>6.6.4* Step 2 : Are customer requirements met at the delivery of the final product?</t>
  </si>
  <si>
    <t>6.6.4* Step 3 : Are customer requirements met at the delivery of the final product?</t>
  </si>
  <si>
    <t>6.6.4* Step 4 : Are customer requirements met at the delivery of the final product?</t>
  </si>
  <si>
    <t>6.6.4* Step 5 : Are customer requirements met at the delivery of the final product?</t>
  </si>
  <si>
    <t>6.6.4* Step 6 : Are customer requirements met at the delivery of the final product?</t>
  </si>
  <si>
    <t>6.6.4* Step 7 : Are customer requirements met at the delivery of the final product?</t>
  </si>
  <si>
    <t>6.6.4* Step 8 : Are customer requirements met at the delivery of the final product?</t>
  </si>
  <si>
    <t>6.6.4* Step 9 : Are customer requirements met at the delivery of the final product?</t>
  </si>
  <si>
    <t>6.6.4* Step 10 : Are customer requirements met at the delivery of the final product?</t>
  </si>
  <si>
    <t>7.1 : Are all requirements related to QM-System, product and process fulfilled?</t>
  </si>
  <si>
    <t>7.2 : Is customer service guaranteed?</t>
  </si>
  <si>
    <t xml:space="preserve">7.3* : Is the supply of parts guaranteed? </t>
  </si>
  <si>
    <t>7.4* : If there are deviations from quality requirements or complaints, are failure analyses carried out and corrective actions implemented effectively?</t>
  </si>
  <si>
    <t>7.5 : Are personnel qualified for their respective tasks and are responsibilities defined?</t>
  </si>
  <si>
    <t>No weakness identified</t>
  </si>
  <si>
    <t>()</t>
  </si>
  <si>
    <t/>
  </si>
  <si>
    <r>
      <t>E</t>
    </r>
    <r>
      <rPr>
        <b/>
        <vertAlign val="subscript"/>
        <sz val="10"/>
        <color theme="0"/>
        <rFont val="Arial"/>
        <family val="2"/>
      </rPr>
      <t>G(PGN)</t>
    </r>
    <r>
      <rPr>
        <b/>
        <sz val="11"/>
        <color theme="0"/>
        <rFont val="Arial"/>
        <family val="2"/>
      </rPr>
      <t>[%]</t>
    </r>
  </si>
  <si>
    <t>X</t>
  </si>
  <si>
    <t>Product</t>
  </si>
  <si>
    <t>Process</t>
  </si>
  <si>
    <t>ID</t>
  </si>
  <si>
    <t>Audit date</t>
  </si>
  <si>
    <t>Report date</t>
  </si>
  <si>
    <t>Audited departements</t>
  </si>
  <si>
    <t>Reason for the audit</t>
  </si>
  <si>
    <t>Lead Auditor</t>
  </si>
  <si>
    <t>Acronym</t>
  </si>
  <si>
    <t>Phone</t>
  </si>
  <si>
    <t>E-mail</t>
  </si>
  <si>
    <t>Co-Auditor</t>
  </si>
  <si>
    <t>Supplier Code</t>
  </si>
  <si>
    <t>Supplier Name</t>
  </si>
  <si>
    <t>Location</t>
  </si>
  <si>
    <t>Street</t>
  </si>
  <si>
    <t>Postal Code</t>
  </si>
  <si>
    <t>City</t>
  </si>
  <si>
    <t>Country</t>
  </si>
  <si>
    <t>Supplier Quality Contact (base)</t>
  </si>
  <si>
    <t>Last audit N°</t>
  </si>
  <si>
    <t>Issue date</t>
  </si>
  <si>
    <t>Result</t>
  </si>
  <si>
    <t>Pourcentage</t>
  </si>
  <si>
    <t>Comment</t>
  </si>
  <si>
    <t>Step 1</t>
  </si>
  <si>
    <t>Step 2</t>
  </si>
  <si>
    <t>Step 3</t>
  </si>
  <si>
    <t>Step 4</t>
  </si>
  <si>
    <t>Step 5</t>
  </si>
  <si>
    <t>Step 6</t>
  </si>
  <si>
    <t>Step 7</t>
  </si>
  <si>
    <t>Step 8</t>
  </si>
  <si>
    <t>Step 9</t>
  </si>
  <si>
    <t>Step 10</t>
  </si>
  <si>
    <t>Supplier acknowledgement and agreement</t>
  </si>
  <si>
    <t>Score (%)</t>
  </si>
  <si>
    <t>Nb Non Conformity Major</t>
  </si>
  <si>
    <t>Nb Non Conformity Minor</t>
  </si>
  <si>
    <t>Top Managment</t>
  </si>
  <si>
    <t>Production management</t>
  </si>
  <si>
    <t>Quality management</t>
  </si>
  <si>
    <t>Customer Support</t>
  </si>
  <si>
    <t>Design Development</t>
  </si>
  <si>
    <t>Regular audit</t>
  </si>
  <si>
    <t>FERNANDEZ Rolando</t>
  </si>
  <si>
    <t>Rolando.Fernandez@astemo.com</t>
  </si>
  <si>
    <t>Mourad Mazouzi</t>
  </si>
  <si>
    <t>Mourad.Mazouzi@astemo.com</t>
  </si>
  <si>
    <t>COMPONENTES Y CONJUNTOS SA</t>
  </si>
  <si>
    <t>Cantabria</t>
  </si>
  <si>
    <t>Polígono Industrial De Guarnizo, 0 S N</t>
  </si>
  <si>
    <t>Santander</t>
  </si>
  <si>
    <t>Spain</t>
  </si>
  <si>
    <t>0000-00-00</t>
  </si>
  <si>
    <t>Incoming</t>
  </si>
  <si>
    <t>Manufacturing</t>
  </si>
  <si>
    <t>Shipping</t>
  </si>
  <si>
    <t>To be done</t>
  </si>
  <si>
    <t>Safety and important characteristic are not identified by some operators.</t>
  </si>
  <si>
    <t>The allocation of one Quality Auditor per shift for the entire factory appears insufficient to ensure effective quality monitoring and process follow-up.</t>
  </si>
  <si>
    <t>Insufficient implementation of 5S was observed in the machining process, potentially affecting process stability and quality control.</t>
  </si>
  <si>
    <t>In some production lines, operators appear to be overloaded with tasks, which may impact their ability to perform adequate quality controls.</t>
  </si>
  <si>
    <t>Some operators (auxiliares) are not included in the skills matrix, resulting in a lack of visibility of their qualification and competency status.</t>
  </si>
  <si>
    <t>The claims management process in HLP shows gaps in the structured use of Ishikawa and 3x5 Why root cause analysis, and in meeting the defined 8D timing requirements.</t>
  </si>
  <si>
    <t>The frequency of LPAs (approximately 10 per year) is insufficient to effectively ensure compliance with procedures and quality/safety standards.
In some LPAs, observed nonconformities on the shopfloor (e.g., more than four pistons loaded in the chroming process) were documented; however, the final assessment was still marked as “OK”.</t>
  </si>
  <si>
    <r>
      <t xml:space="preserve">The current </t>
    </r>
    <r>
      <rPr>
        <sz val="12"/>
        <color theme="1"/>
        <rFont val="Arial"/>
        <family val="2"/>
      </rPr>
      <t>camera</t>
    </r>
    <r>
      <rPr>
        <sz val="12"/>
        <rFont val="Arial"/>
        <family val="2"/>
      </rPr>
      <t xml:space="preserve"> system used for scratch detection is outdated and may not be adequate to ensure effective defect detection. Upgrade its ongoing.</t>
    </r>
  </si>
  <si>
    <t>Some work instructions and process documents are not up to date, indicating insufficient periodic review. For example, the chromium process documentation (dated 2017) does not reflect the current process conditions.</t>
  </si>
  <si>
    <t>Piston pallets were observed in the chrome plating  process area without proper identification or traceability status (e.g. lot number, reference, process stage).</t>
  </si>
  <si>
    <t>Operators in the chrome plating  process were not able to explain the symbol legend used in the Control Plan to identify safety and important characteristics, indicating insufficient deployment at shopfloor level.</t>
  </si>
  <si>
    <t>Pistons that fall to the floor during the chrome plating  process are reintroduced into production without mandatory visual inspection.
Additionally, the red scrap container relies solely on color coding (visual management) and lacks mandatory text identification (e.g., “SCRAP” / “REJECT”) and physical locking control (padlock).</t>
  </si>
  <si>
    <t>Pallets without identification were used to feed the chrome plating  process, increasing the risk of part mix-up.</t>
  </si>
  <si>
    <t>Chrome plating  process operators do not follow the instruction wich not allow to load and unload more than 4 pistons at the same time.</t>
  </si>
  <si>
    <t>A camera-based piston discrimination system at the machining station was found malfunctioning during our visit, causing repeated line jams and pistons falling to the floor. No maintenance intervention, incident log, or corrective action was evidenced during the entire observation period. The operator continued production without halting the line or alerting maintenance, indicating the absence of a defined reaction plan for equipment failure at this station.</t>
  </si>
  <si>
    <t>5S standards were found not to be maintained at the production line. The workstation presented visible disorder and cleanliness issues, indicating that 5S audits are either not being conducted or not being effectively enforced.</t>
  </si>
  <si>
    <r>
      <rPr>
        <b/>
        <sz val="12"/>
        <rFont val="Arial"/>
        <family val="2"/>
      </rPr>
      <t xml:space="preserve">For PN 351 : </t>
    </r>
    <r>
      <rPr>
        <sz val="12"/>
        <rFont val="Arial"/>
        <family val="2"/>
      </rPr>
      <t xml:space="preserve">APQP is not started, please prepare the sheet.
Seen for 049 ( APQP 466).
</t>
    </r>
  </si>
  <si>
    <t>Ressources seen for APQP 466.
Please do it for PN 351.</t>
  </si>
  <si>
    <t>Not for 351.</t>
  </si>
  <si>
    <t xml:space="preserve">Customer information milestone is in the procedure, but it's not exactly clear on when it should be done.
</t>
  </si>
  <si>
    <r>
      <t xml:space="preserve">Managed with the 
- To improve the CSR management matrix by june. </t>
    </r>
    <r>
      <rPr>
        <b/>
        <sz val="12"/>
        <rFont val="Arial"/>
        <family val="2"/>
      </rPr>
      <t>==&gt; Change Management audit not included.</t>
    </r>
    <r>
      <rPr>
        <sz val="12"/>
        <rFont val="Arial"/>
        <family val="2"/>
      </rPr>
      <t xml:space="preserve">
- Robustness of the documentation.(update of the CSR matrix). No robust way to show that this is the last update.</t>
    </r>
  </si>
  <si>
    <t>Implemented in the procedure.
For Volvo project, seen the project list where all the open points are higlighted.</t>
  </si>
  <si>
    <t>See P2 - 2.8</t>
  </si>
  <si>
    <t>Ok example seen for 946 (Analisis de Factibilidad).The document includes planning, capcity, capability points &amp; planning as well.
The nomination date is part of the document. This step is equivalent to Customer approval.</t>
  </si>
  <si>
    <t>Ok example seen for 946 (Analisis de Factibilidad.</t>
  </si>
  <si>
    <t>OK, only 351 missing</t>
  </si>
  <si>
    <t>OK</t>
  </si>
  <si>
    <t>Run@Rate activities are not included in the APQP planning seen for 946.
No Run@Rate format available in Grupo Cropu organization.
Example seen of R@R done with customer format.</t>
  </si>
  <si>
    <t>See 3.2</t>
  </si>
  <si>
    <t>See P2</t>
  </si>
  <si>
    <t>Ok included in feeasibliity sheet</t>
  </si>
  <si>
    <t>Topic managed with DAU</t>
  </si>
  <si>
    <t>Run Rate missing.</t>
  </si>
  <si>
    <t>Included in APQP</t>
  </si>
  <si>
    <t>Done excepted Run Rate</t>
  </si>
  <si>
    <r>
      <t xml:space="preserve">A document exists but is not totally official and not linked to the documentation system and not apppy in CYC.
This CSR is not included in the APQP as well.
</t>
    </r>
    <r>
      <rPr>
        <b/>
        <sz val="12"/>
        <rFont val="Arial"/>
        <family val="2"/>
      </rPr>
      <t>==&gt; Corporate ICL / SL to rediscuss with ASTEMO.</t>
    </r>
  </si>
  <si>
    <t>Yes seen in APQP</t>
  </si>
  <si>
    <r>
      <t xml:space="preserve">ORI Martin (raw material supplier) y DAU seen.
All suppliers are green (grade A).
The evaluation is done 1/year. The scoring rules are taking in account Quality &amp; Logistic.
</t>
    </r>
    <r>
      <rPr>
        <b/>
        <sz val="12"/>
        <rFont val="Arial"/>
        <family val="2"/>
      </rPr>
      <t>Note :</t>
    </r>
    <r>
      <rPr>
        <sz val="12"/>
        <rFont val="Arial"/>
        <family val="2"/>
      </rPr>
      <t xml:space="preserve"> 
Evaluation looks reactive as it's done one time per year. !!!</t>
    </r>
  </si>
  <si>
    <t>Ok, see 5.1</t>
  </si>
  <si>
    <t>Included in APQP. See in shopflorr</t>
  </si>
  <si>
    <t>No action plan defined or evidenced for KPIs currently below target.</t>
  </si>
  <si>
    <t>LPA program does not cover the incoming inspection process. No layered audit evidence found for this area.</t>
  </si>
  <si>
    <t>LPA program does not cover the shipping process. No layered audit evidence found for this area.</t>
  </si>
  <si>
    <t>The vision system used for piston defect detection does not store inspection images. No traceability of inspection results is therefore available, preventing any retrospective analysis or evidence of release.</t>
  </si>
  <si>
    <t>The safety and important (special) characteristics defined in the Control Plan are not effectively communicated or understood by chrome coating  line operators.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</si>
</sst>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quot;VA &quot;\ ######"/>
    <numFmt numFmtId="165" formatCode="dd/mm/yy;@"/>
    <numFmt numFmtId="166" formatCode="##&quot; x-mal &lt;=70%&quot;"/>
    <numFmt numFmtId="167" formatCode="0.0000%"/>
    <numFmt numFmtId="168" formatCode="[Green]0%;;[Red]@"/>
    <numFmt numFmtId="169" formatCode=";;;"/>
    <numFmt numFmtId="170" formatCode="0.0"/>
  </numFmts>
  <fonts count="97">
    <font>
      <sz val="10"/>
      <name val="Arial"/>
    </font>
    <font>
      <sz val="11"/>
      <color theme="1"/>
      <name val="Calibri"/>
      <family val="2"/>
      <scheme val="minor"/>
    </font>
    <font>
      <sz val="11"/>
      <color theme="1"/>
      <name val="Calibri"/>
      <family val="2"/>
      <scheme val="minor"/>
    </font>
    <font>
      <b/>
      <sz val="10"/>
      <name val="Arial"/>
      <family val="2"/>
    </font>
    <font>
      <sz val="10"/>
      <name val="Arial"/>
      <family val="2"/>
    </font>
    <font>
      <sz val="11"/>
      <name val="Arial"/>
      <family val="2"/>
    </font>
    <font>
      <b/>
      <sz val="14"/>
      <name val="Arial"/>
      <family val="2"/>
    </font>
    <font>
      <b/>
      <sz val="12"/>
      <color indexed="10"/>
      <name val="Arial"/>
      <family val="2"/>
    </font>
    <font>
      <b/>
      <sz val="12"/>
      <name val="Arial"/>
      <family val="2"/>
    </font>
    <font>
      <b/>
      <sz val="10"/>
      <name val="Arial"/>
      <family val="2"/>
    </font>
    <font>
      <sz val="9"/>
      <name val="Arial"/>
      <family val="2"/>
    </font>
    <font>
      <sz val="10"/>
      <name val="Arial"/>
      <family val="2"/>
    </font>
    <font>
      <b/>
      <sz val="10"/>
      <color indexed="10"/>
      <name val="Arial"/>
      <family val="2"/>
    </font>
    <font>
      <b/>
      <sz val="11"/>
      <name val="Arial"/>
      <family val="2"/>
    </font>
    <font>
      <b/>
      <sz val="13"/>
      <name val="Arial"/>
      <family val="2"/>
    </font>
    <font>
      <sz val="8"/>
      <name val="Arial"/>
      <family val="2"/>
    </font>
    <font>
      <sz val="11"/>
      <name val="Arial"/>
      <family val="2"/>
    </font>
    <font>
      <b/>
      <sz val="9"/>
      <name val="Arial"/>
      <family val="2"/>
    </font>
    <font>
      <b/>
      <sz val="16"/>
      <name val="Arial"/>
      <family val="2"/>
    </font>
    <font>
      <b/>
      <sz val="9"/>
      <name val="Arial"/>
      <family val="2"/>
    </font>
    <font>
      <sz val="8"/>
      <name val="Arial"/>
      <family val="2"/>
    </font>
    <font>
      <b/>
      <sz val="8"/>
      <name val="Arial"/>
      <family val="2"/>
    </font>
    <font>
      <b/>
      <sz val="11"/>
      <name val="Arial"/>
      <family val="2"/>
    </font>
    <font>
      <sz val="14"/>
      <name val="Arial"/>
      <family val="2"/>
    </font>
    <font>
      <b/>
      <sz val="16"/>
      <name val="Arial"/>
      <family val="2"/>
    </font>
    <font>
      <b/>
      <sz val="12"/>
      <name val="Arial"/>
      <family val="2"/>
    </font>
    <font>
      <sz val="12"/>
      <name val="Arial"/>
      <family val="2"/>
    </font>
    <font>
      <b/>
      <sz val="14"/>
      <name val="Arial"/>
      <family val="2"/>
    </font>
    <font>
      <b/>
      <sz val="14"/>
      <name val="Volkswagen Headline"/>
      <family val="2"/>
    </font>
    <font>
      <b/>
      <sz val="13"/>
      <name val="Arial"/>
      <family val="2"/>
    </font>
    <font>
      <b/>
      <vertAlign val="subscript"/>
      <sz val="10"/>
      <name val="Arial"/>
      <family val="2"/>
    </font>
    <font>
      <sz val="12"/>
      <name val="Arial"/>
      <family val="2"/>
    </font>
    <font>
      <b/>
      <vertAlign val="subscript"/>
      <sz val="12"/>
      <name val="Arial"/>
      <family val="2"/>
    </font>
    <font>
      <b/>
      <i/>
      <sz val="12"/>
      <name val="Arial"/>
      <family val="2"/>
    </font>
    <font>
      <b/>
      <sz val="20"/>
      <name val="Arial"/>
      <family val="2"/>
    </font>
    <font>
      <sz val="12"/>
      <color indexed="9"/>
      <name val="Arial"/>
      <family val="2"/>
    </font>
    <font>
      <b/>
      <sz val="12"/>
      <color indexed="9"/>
      <name val="Arial"/>
      <family val="2"/>
    </font>
    <font>
      <sz val="12"/>
      <name val="Volkswagen Headline"/>
      <family val="2"/>
    </font>
    <font>
      <sz val="20"/>
      <name val="Arial"/>
      <family val="2"/>
    </font>
    <font>
      <sz val="11.5"/>
      <name val="Arial"/>
      <family val="2"/>
    </font>
    <font>
      <b/>
      <u/>
      <sz val="14"/>
      <name val="Arial"/>
      <family val="2"/>
    </font>
    <font>
      <b/>
      <sz val="24"/>
      <name val="Arial"/>
      <family val="2"/>
    </font>
    <font>
      <b/>
      <sz val="24"/>
      <color indexed="62"/>
      <name val="Arial"/>
      <family val="2"/>
    </font>
    <font>
      <vertAlign val="subscript"/>
      <sz val="10"/>
      <name val="Arial"/>
      <family val="2"/>
    </font>
    <font>
      <b/>
      <vertAlign val="subscript"/>
      <sz val="9"/>
      <name val="Arial"/>
      <family val="2"/>
    </font>
    <font>
      <sz val="3"/>
      <name val="Arial"/>
      <family val="2"/>
    </font>
    <font>
      <b/>
      <sz val="9.5"/>
      <name val="Arial"/>
      <family val="2"/>
    </font>
    <font>
      <b/>
      <sz val="28"/>
      <name val="Arial"/>
      <family val="2"/>
    </font>
    <font>
      <sz val="10"/>
      <color indexed="10"/>
      <name val="Arial"/>
      <family val="2"/>
    </font>
    <font>
      <b/>
      <vertAlign val="subscript"/>
      <sz val="14"/>
      <name val="Arial"/>
      <family val="2"/>
    </font>
    <font>
      <b/>
      <sz val="26"/>
      <name val="Arial"/>
      <family val="2"/>
    </font>
    <font>
      <b/>
      <sz val="18"/>
      <color indexed="9"/>
      <name val="Arial"/>
      <family val="2"/>
    </font>
    <font>
      <sz val="8"/>
      <color indexed="12"/>
      <name val="Arial"/>
      <family val="2"/>
    </font>
    <font>
      <u/>
      <sz val="10"/>
      <name val="Arial"/>
      <family val="2"/>
    </font>
    <font>
      <sz val="10"/>
      <name val="Arial"/>
      <family val="2"/>
    </font>
    <font>
      <b/>
      <sz val="11"/>
      <color indexed="10"/>
      <name val="Arial"/>
      <family val="2"/>
    </font>
    <font>
      <b/>
      <sz val="14"/>
      <color theme="0"/>
      <name val="Arial"/>
      <family val="2"/>
    </font>
    <font>
      <b/>
      <sz val="12"/>
      <color theme="0"/>
      <name val="Arial"/>
      <family val="2"/>
    </font>
    <font>
      <sz val="12"/>
      <color theme="0"/>
      <name val="Arial"/>
      <family val="2"/>
    </font>
    <font>
      <sz val="10"/>
      <color theme="0"/>
      <name val="Arial"/>
      <family val="2"/>
    </font>
    <font>
      <b/>
      <sz val="11"/>
      <color theme="0"/>
      <name val="Arial"/>
      <family val="2"/>
    </font>
    <font>
      <sz val="11"/>
      <color theme="0"/>
      <name val="Arial"/>
      <family val="2"/>
    </font>
    <font>
      <sz val="10"/>
      <color rgb="FF000000"/>
      <name val="Arial"/>
      <family val="2"/>
    </font>
    <font>
      <b/>
      <sz val="11"/>
      <color rgb="FFFF0000"/>
      <name val="Arial"/>
      <family val="2"/>
    </font>
    <font>
      <b/>
      <sz val="10"/>
      <color theme="0"/>
      <name val="Arial"/>
      <family val="2"/>
    </font>
    <font>
      <b/>
      <sz val="18"/>
      <name val="Arial"/>
      <family val="2"/>
    </font>
    <font>
      <b/>
      <sz val="16"/>
      <color theme="0"/>
      <name val="Arial"/>
      <family val="2"/>
    </font>
    <font>
      <sz val="11"/>
      <color theme="1"/>
      <name val="Calibri"/>
      <family val="2"/>
      <scheme val="minor"/>
    </font>
    <font>
      <b/>
      <sz val="12"/>
      <color theme="3" tint="-0.249977111117893"/>
      <name val="Arial"/>
      <family val="2"/>
    </font>
    <font>
      <b/>
      <sz val="14"/>
      <color rgb="FF000000"/>
      <name val="Arial"/>
      <family val="2"/>
    </font>
    <font>
      <b/>
      <sz val="22"/>
      <name val="Arial"/>
      <family val="2"/>
    </font>
    <font>
      <sz val="11"/>
      <color rgb="FFFFC000"/>
      <name val="Calibri"/>
      <family val="2"/>
    </font>
    <font>
      <sz val="11"/>
      <name val="Calibri"/>
      <family val="2"/>
    </font>
    <font>
      <b/>
      <sz val="11"/>
      <color rgb="FF000000"/>
      <name val="Arial"/>
      <family val="2"/>
    </font>
    <font>
      <sz val="11"/>
      <color rgb="FF000000"/>
      <name val="Arial"/>
      <family val="2"/>
    </font>
    <font>
      <b/>
      <sz val="7"/>
      <name val="Arial"/>
      <family val="2"/>
    </font>
    <font>
      <sz val="12"/>
      <color rgb="FF000000"/>
      <name val="Arial"/>
      <family val="2"/>
    </font>
    <font>
      <b/>
      <vertAlign val="subscript"/>
      <sz val="11"/>
      <name val="Arial"/>
      <family val="2"/>
    </font>
    <font>
      <b/>
      <sz val="9"/>
      <color theme="0"/>
      <name val="Arial"/>
      <family val="2"/>
    </font>
    <font>
      <sz val="12"/>
      <color theme="0" tint="-0.14999847407452621"/>
      <name val="Arial"/>
      <family val="2"/>
    </font>
    <font>
      <b/>
      <u/>
      <sz val="12"/>
      <color rgb="FF008155"/>
      <name val="Arial"/>
      <family val="2"/>
    </font>
    <font>
      <b/>
      <sz val="12"/>
      <color rgb="FF008155"/>
      <name val="Arial"/>
      <family val="2"/>
    </font>
    <font>
      <u/>
      <sz val="10"/>
      <color rgb="FF008155"/>
      <name val="Arial"/>
      <family val="2"/>
    </font>
    <font>
      <sz val="10"/>
      <color rgb="FF008155"/>
      <name val="Arial"/>
      <family val="2"/>
    </font>
    <font>
      <sz val="11"/>
      <color theme="1"/>
      <name val="Arial"/>
      <family val="2"/>
    </font>
    <font>
      <sz val="10"/>
      <color theme="1"/>
      <name val="Arial"/>
      <family val="2"/>
    </font>
    <font>
      <b/>
      <sz val="10"/>
      <color theme="1"/>
      <name val="Arial"/>
      <family val="2"/>
    </font>
    <font>
      <sz val="11"/>
      <color theme="1"/>
      <name val="Tahoma"/>
      <family val="2"/>
    </font>
    <font>
      <i/>
      <sz val="10"/>
      <name val="Alstom"/>
    </font>
    <font>
      <b/>
      <sz val="10"/>
      <color indexed="18"/>
      <name val="Arial"/>
      <family val="2"/>
    </font>
    <font>
      <sz val="10"/>
      <color indexed="18"/>
      <name val="Arial"/>
      <family val="2"/>
    </font>
    <font>
      <i/>
      <sz val="16"/>
      <name val="Alstom"/>
    </font>
    <font>
      <sz val="10"/>
      <name val="Alstom"/>
    </font>
    <font>
      <sz val="11"/>
      <color indexed="8"/>
      <name val="Calibri"/>
      <family val="2"/>
    </font>
    <font>
      <b/>
      <vertAlign val="subscript"/>
      <sz val="10"/>
      <color theme="0"/>
      <name val="Arial"/>
      <family val="2"/>
    </font>
    <font>
      <sz val="7"/>
      <color theme="0"/>
      <name val="Arial"/>
      <family val="2"/>
    </font>
    <font>
      <sz val="12"/>
      <color theme="1"/>
      <name val="Arial"/>
      <family val="2"/>
    </font>
  </fonts>
  <fills count="23">
    <fill>
      <patternFill patternType="none"/>
    </fill>
    <fill>
      <patternFill patternType="gray125"/>
    </fill>
    <fill>
      <patternFill patternType="solid">
        <fgColor indexed="11"/>
        <bgColor indexed="64"/>
      </patternFill>
    </fill>
    <fill>
      <patternFill patternType="solid">
        <fgColor indexed="13"/>
        <bgColor indexed="64"/>
      </patternFill>
    </fill>
    <fill>
      <patternFill patternType="solid">
        <fgColor indexed="44"/>
        <bgColor indexed="64"/>
      </patternFill>
    </fill>
    <fill>
      <patternFill patternType="solid">
        <fgColor indexed="22"/>
        <bgColor indexed="64"/>
      </patternFill>
    </fill>
    <fill>
      <patternFill patternType="solid">
        <fgColor indexed="42"/>
        <bgColor indexed="64"/>
      </patternFill>
    </fill>
    <fill>
      <patternFill patternType="solid">
        <fgColor indexed="43"/>
        <bgColor indexed="64"/>
      </patternFill>
    </fill>
    <fill>
      <patternFill patternType="solid">
        <fgColor indexed="10"/>
        <bgColor indexed="64"/>
      </patternFill>
    </fill>
    <fill>
      <patternFill patternType="solid">
        <fgColor indexed="9"/>
        <bgColor indexed="64"/>
      </patternFill>
    </fill>
    <fill>
      <patternFill patternType="solid">
        <fgColor indexed="14"/>
        <bgColor indexed="64"/>
      </patternFill>
    </fill>
    <fill>
      <patternFill patternType="solid">
        <fgColor theme="0" tint="-0.14999847407452621"/>
        <bgColor indexed="64"/>
      </patternFill>
    </fill>
    <fill>
      <patternFill patternType="solid">
        <fgColor rgb="FFFFFF99"/>
        <bgColor indexed="64"/>
      </patternFill>
    </fill>
    <fill>
      <patternFill patternType="solid">
        <fgColor theme="0" tint="-0.499984740745262"/>
        <bgColor indexed="64"/>
      </patternFill>
    </fill>
    <fill>
      <patternFill patternType="solid">
        <fgColor rgb="FF92D050"/>
        <bgColor indexed="64"/>
      </patternFill>
    </fill>
    <fill>
      <patternFill patternType="solid">
        <fgColor rgb="FFCCCCFF"/>
        <bgColor indexed="64"/>
      </patternFill>
    </fill>
    <fill>
      <patternFill patternType="solid">
        <fgColor rgb="FFFFFF00"/>
        <bgColor indexed="64"/>
      </patternFill>
    </fill>
    <fill>
      <patternFill patternType="solid">
        <fgColor theme="0" tint="-0.249977111117893"/>
        <bgColor indexed="64"/>
      </patternFill>
    </fill>
    <fill>
      <patternFill patternType="solid">
        <fgColor theme="0"/>
        <bgColor indexed="64"/>
      </patternFill>
    </fill>
    <fill>
      <patternFill patternType="solid">
        <fgColor rgb="FFC0C0C0"/>
        <bgColor indexed="64"/>
      </patternFill>
    </fill>
    <fill>
      <patternFill patternType="solid">
        <fgColor rgb="FFC9DED1"/>
        <bgColor indexed="64"/>
      </patternFill>
    </fill>
    <fill>
      <patternFill patternType="solid">
        <fgColor rgb="FF7E000A"/>
        <bgColor indexed="64"/>
      </patternFill>
    </fill>
    <fill>
      <patternFill patternType="solid">
        <fgColor rgb="FFE1E0C2"/>
        <bgColor indexed="64"/>
      </patternFill>
    </fill>
  </fills>
  <borders count="123">
    <border>
      <left/>
      <right/>
      <top/>
      <bottom/>
      <diagonal/>
    </border>
    <border>
      <left style="thin">
        <color indexed="64"/>
      </left>
      <right style="thin">
        <color indexed="64"/>
      </right>
      <top/>
      <bottom/>
      <diagonal/>
    </border>
    <border>
      <left/>
      <right style="thin">
        <color indexed="64"/>
      </right>
      <top/>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right style="medium">
        <color indexed="64"/>
      </right>
      <top/>
      <bottom/>
      <diagonal/>
    </border>
    <border>
      <left style="medium">
        <color indexed="64"/>
      </left>
      <right/>
      <top/>
      <bottom/>
      <diagonal/>
    </border>
    <border>
      <left/>
      <right style="thin">
        <color indexed="64"/>
      </right>
      <top style="thin">
        <color indexed="64"/>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thin">
        <color indexed="64"/>
      </left>
      <right/>
      <top/>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right/>
      <top/>
      <bottom style="dashed">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medium">
        <color indexed="64"/>
      </right>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right style="medium">
        <color indexed="64"/>
      </right>
      <top style="medium">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indexed="64"/>
      </left>
      <right style="thin">
        <color indexed="64"/>
      </right>
      <top style="thin">
        <color indexed="64"/>
      </top>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medium">
        <color indexed="64"/>
      </right>
      <top/>
      <bottom style="medium">
        <color indexed="64"/>
      </bottom>
      <diagonal/>
    </border>
    <border>
      <left/>
      <right/>
      <top style="hair">
        <color indexed="64"/>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double">
        <color indexed="64"/>
      </bottom>
      <diagonal/>
    </border>
    <border>
      <left/>
      <right/>
      <top/>
      <bottom style="hair">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medium">
        <color indexed="64"/>
      </bottom>
      <diagonal/>
    </border>
    <border>
      <left/>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thin">
        <color indexed="64"/>
      </top>
      <bottom style="dashed">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ck">
        <color indexed="64"/>
      </left>
      <right style="thin">
        <color indexed="64"/>
      </right>
      <top/>
      <bottom/>
      <diagonal/>
    </border>
    <border>
      <left style="thick">
        <color indexed="64"/>
      </left>
      <right/>
      <top style="medium">
        <color indexed="64"/>
      </top>
      <bottom style="medium">
        <color indexed="64"/>
      </bottom>
      <diagonal/>
    </border>
    <border>
      <left style="thick">
        <color indexed="64"/>
      </left>
      <right/>
      <top/>
      <bottom/>
      <diagonal/>
    </border>
    <border>
      <left style="thick">
        <color indexed="64"/>
      </left>
      <right style="medium">
        <color indexed="64"/>
      </right>
      <top style="medium">
        <color indexed="64"/>
      </top>
      <bottom style="medium">
        <color indexed="64"/>
      </bottom>
      <diagonal/>
    </border>
    <border>
      <left style="thick">
        <color indexed="64"/>
      </left>
      <right style="thin">
        <color indexed="64"/>
      </right>
      <top/>
      <bottom style="thin">
        <color indexed="64"/>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n">
        <color indexed="64"/>
      </top>
      <bottom/>
      <diagonal/>
    </border>
    <border>
      <left/>
      <right/>
      <top style="thick">
        <color auto="1"/>
      </top>
      <bottom/>
      <diagonal/>
    </border>
    <border>
      <left style="medium">
        <color indexed="64"/>
      </left>
      <right style="medium">
        <color indexed="64"/>
      </right>
      <top style="thick">
        <color indexed="64"/>
      </top>
      <bottom/>
      <diagonal/>
    </border>
    <border>
      <left style="thin">
        <color indexed="64"/>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ck">
        <color indexed="64"/>
      </left>
      <right style="thin">
        <color indexed="64"/>
      </right>
      <top style="medium">
        <color indexed="64"/>
      </top>
      <bottom/>
      <diagonal/>
    </border>
    <border>
      <left style="thick">
        <color indexed="64"/>
      </left>
      <right style="thin">
        <color indexed="64"/>
      </right>
      <top style="medium">
        <color indexed="64"/>
      </top>
      <bottom style="thin">
        <color indexed="64"/>
      </bottom>
      <diagonal/>
    </border>
    <border>
      <left style="thick">
        <color indexed="64"/>
      </left>
      <right style="thin">
        <color indexed="64"/>
      </right>
      <top style="thin">
        <color indexed="64"/>
      </top>
      <bottom style="medium">
        <color indexed="64"/>
      </bottom>
      <diagonal/>
    </border>
    <border>
      <left style="medium">
        <color indexed="64"/>
      </left>
      <right style="thin">
        <color indexed="64"/>
      </right>
      <top style="thick">
        <color indexed="64"/>
      </top>
      <bottom/>
      <diagonal/>
    </border>
    <border>
      <left style="thin">
        <color indexed="64"/>
      </left>
      <right style="thin">
        <color indexed="64"/>
      </right>
      <top style="thick">
        <color indexed="64"/>
      </top>
      <bottom/>
      <diagonal/>
    </border>
    <border>
      <left style="thin">
        <color indexed="64"/>
      </left>
      <right style="medium">
        <color indexed="64"/>
      </right>
      <top style="thick">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ck">
        <color indexed="64"/>
      </left>
      <right/>
      <top style="medium">
        <color indexed="64"/>
      </top>
      <bottom/>
      <diagonal/>
    </border>
    <border>
      <left style="thick">
        <color indexed="64"/>
      </left>
      <right/>
      <top/>
      <bottom style="medium">
        <color indexed="64"/>
      </bottom>
      <diagonal/>
    </border>
    <border>
      <left style="thick">
        <color indexed="64"/>
      </left>
      <right style="medium">
        <color indexed="64"/>
      </right>
      <top style="medium">
        <color indexed="64"/>
      </top>
      <bottom/>
      <diagonal/>
    </border>
    <border>
      <left style="thick">
        <color indexed="64"/>
      </left>
      <right style="medium">
        <color indexed="64"/>
      </right>
      <top/>
      <bottom style="medium">
        <color indexed="64"/>
      </bottom>
      <diagonal/>
    </border>
    <border>
      <left style="thin">
        <color indexed="64"/>
      </left>
      <right style="thin">
        <color indexed="64"/>
      </right>
      <top style="thin">
        <color indexed="64"/>
      </top>
      <bottom style="dotted">
        <color indexed="64"/>
      </bottom>
      <diagonal/>
    </border>
    <border>
      <left/>
      <right style="hair">
        <color auto="1"/>
      </right>
      <top style="hair">
        <color auto="1"/>
      </top>
      <bottom style="hair">
        <color auto="1"/>
      </bottom>
      <diagonal/>
    </border>
    <border>
      <left style="hair">
        <color auto="1"/>
      </left>
      <right/>
      <top style="hair">
        <color auto="1"/>
      </top>
      <bottom style="hair">
        <color auto="1"/>
      </bottom>
      <diagonal/>
    </border>
    <border>
      <left/>
      <right style="hair">
        <color indexed="64"/>
      </right>
      <top/>
      <bottom style="hair">
        <color indexed="64"/>
      </bottom>
      <diagonal/>
    </border>
    <border>
      <left style="hair">
        <color auto="1"/>
      </left>
      <right/>
      <top/>
      <bottom style="hair">
        <color auto="1"/>
      </bottom>
      <diagonal/>
    </border>
    <border>
      <left/>
      <right/>
      <top/>
      <bottom style="thick">
        <color rgb="FFFF0000"/>
      </bottom>
      <diagonal/>
    </border>
    <border>
      <left style="thin">
        <color indexed="64"/>
      </left>
      <right/>
      <top/>
      <bottom style="hair">
        <color indexed="64"/>
      </bottom>
      <diagonal/>
    </border>
    <border>
      <left/>
      <right style="thin">
        <color indexed="64"/>
      </right>
      <top/>
      <bottom style="hair">
        <color indexed="64"/>
      </bottom>
      <diagonal/>
    </border>
    <border>
      <left/>
      <right style="medium">
        <color indexed="64"/>
      </right>
      <top style="dashed">
        <color indexed="64"/>
      </top>
      <bottom/>
      <diagonal/>
    </border>
    <border>
      <left/>
      <right/>
      <top style="dashed">
        <color indexed="64"/>
      </top>
      <bottom/>
      <diagonal/>
    </border>
    <border>
      <left style="medium">
        <color indexed="64"/>
      </left>
      <right/>
      <top style="dashed">
        <color indexed="64"/>
      </top>
      <bottom/>
      <diagonal/>
    </border>
    <border>
      <left style="medium">
        <color auto="1"/>
      </left>
      <right/>
      <top style="thick">
        <color auto="1"/>
      </top>
      <bottom/>
      <diagonal/>
    </border>
    <border>
      <left/>
      <right style="medium">
        <color indexed="64"/>
      </right>
      <top style="thick">
        <color auto="1"/>
      </top>
      <bottom/>
      <diagonal/>
    </border>
    <border>
      <left style="medium">
        <color indexed="64"/>
      </left>
      <right/>
      <top/>
      <bottom style="dashed">
        <color indexed="64"/>
      </bottom>
      <diagonal/>
    </border>
    <border>
      <left/>
      <right style="medium">
        <color indexed="64"/>
      </right>
      <top style="hair">
        <color indexed="64"/>
      </top>
      <bottom style="hair">
        <color indexed="64"/>
      </bottom>
      <diagonal/>
    </border>
    <border>
      <left style="medium">
        <color indexed="64"/>
      </left>
      <right/>
      <top/>
      <bottom style="dotted">
        <color indexed="64"/>
      </bottom>
      <diagonal/>
    </border>
    <border>
      <left/>
      <right/>
      <top/>
      <bottom style="dotted">
        <color indexed="64"/>
      </bottom>
      <diagonal/>
    </border>
    <border>
      <left/>
      <right style="medium">
        <color indexed="64"/>
      </right>
      <top/>
      <bottom style="dotted">
        <color indexed="64"/>
      </bottom>
      <diagonal/>
    </border>
    <border>
      <left style="medium">
        <color indexed="64"/>
      </left>
      <right/>
      <top/>
      <bottom style="thick">
        <color indexed="64"/>
      </bottom>
      <diagonal/>
    </border>
    <border>
      <left/>
      <right/>
      <top/>
      <bottom style="thick">
        <color indexed="64"/>
      </bottom>
      <diagonal/>
    </border>
    <border>
      <left/>
      <right style="medium">
        <color indexed="64"/>
      </right>
      <top/>
      <bottom style="thick">
        <color indexed="64"/>
      </bottom>
      <diagonal/>
    </border>
    <border>
      <left/>
      <right style="thin">
        <color indexed="64"/>
      </right>
      <top style="medium">
        <color indexed="64"/>
      </top>
      <bottom style="medium">
        <color indexed="64"/>
      </bottom>
      <diagonal/>
    </border>
    <border diagonalUp="1" diagonalDown="1">
      <left style="thin">
        <color indexed="64"/>
      </left>
      <right style="thin">
        <color indexed="64"/>
      </right>
      <top style="thin">
        <color indexed="64"/>
      </top>
      <bottom style="thin">
        <color indexed="64"/>
      </bottom>
      <diagonal style="medium">
        <color indexed="64"/>
      </diagonal>
    </border>
    <border>
      <left style="medium">
        <color indexed="64"/>
      </left>
      <right style="thin">
        <color indexed="64"/>
      </right>
      <top/>
      <bottom style="thin">
        <color indexed="64"/>
      </bottom>
      <diagonal/>
    </border>
  </borders>
  <cellStyleXfs count="18">
    <xf numFmtId="0" fontId="0" fillId="0" borderId="0"/>
    <xf numFmtId="9" fontId="4" fillId="0" borderId="0" applyFont="0" applyFill="0" applyBorder="0" applyAlignment="0" applyProtection="0"/>
    <xf numFmtId="0" fontId="5" fillId="0" borderId="0"/>
    <xf numFmtId="0" fontId="5" fillId="0" borderId="0"/>
    <xf numFmtId="0" fontId="4" fillId="0" borderId="0"/>
    <xf numFmtId="0" fontId="5" fillId="0" borderId="0"/>
    <xf numFmtId="0" fontId="5" fillId="0" borderId="0"/>
    <xf numFmtId="0" fontId="5" fillId="0" borderId="0"/>
    <xf numFmtId="0" fontId="4" fillId="0" borderId="0"/>
    <xf numFmtId="0" fontId="4" fillId="0" borderId="0"/>
    <xf numFmtId="0" fontId="67" fillId="0" borderId="0"/>
    <xf numFmtId="0" fontId="87" fillId="0" borderId="0"/>
    <xf numFmtId="0" fontId="85" fillId="0" borderId="0"/>
    <xf numFmtId="0" fontId="93" fillId="0" borderId="0"/>
    <xf numFmtId="0" fontId="4" fillId="0" borderId="0"/>
    <xf numFmtId="0" fontId="2" fillId="0" borderId="0"/>
    <xf numFmtId="0" fontId="1" fillId="0" borderId="0"/>
    <xf numFmtId="0" fontId="1" fillId="0" borderId="0"/>
  </cellStyleXfs>
  <cellXfs count="1402">
    <xf numFmtId="0" fontId="0" fillId="0" borderId="0" xfId="0"/>
    <xf numFmtId="0" fontId="4" fillId="0" borderId="0" xfId="3" applyFont="1"/>
    <xf numFmtId="0" fontId="9" fillId="0" borderId="0" xfId="0" applyFont="1"/>
    <xf numFmtId="0" fontId="4" fillId="0" borderId="0" xfId="0" applyFont="1"/>
    <xf numFmtId="0" fontId="4" fillId="0" borderId="0" xfId="0" applyFont="1" applyAlignment="1">
      <alignment horizontal="center"/>
    </xf>
    <xf numFmtId="0" fontId="4" fillId="0" borderId="1" xfId="3" applyFont="1" applyBorder="1" applyAlignment="1">
      <alignment horizontal="left"/>
    </xf>
    <xf numFmtId="0" fontId="4" fillId="0" borderId="0" xfId="3" applyFont="1" applyAlignment="1">
      <alignment vertical="center" wrapText="1"/>
    </xf>
    <xf numFmtId="0" fontId="5" fillId="0" borderId="0" xfId="2"/>
    <xf numFmtId="0" fontId="5" fillId="0" borderId="0" xfId="2" applyAlignment="1">
      <alignment horizontal="left"/>
    </xf>
    <xf numFmtId="14" fontId="5" fillId="0" borderId="0" xfId="2" applyNumberFormat="1" applyAlignment="1">
      <alignment horizontal="left" vertical="center"/>
    </xf>
    <xf numFmtId="0" fontId="0" fillId="0" borderId="0" xfId="0" applyAlignment="1">
      <alignment wrapText="1"/>
    </xf>
    <xf numFmtId="49" fontId="5" fillId="0" borderId="0" xfId="7" applyNumberFormat="1" applyAlignment="1">
      <alignment horizontal="center" vertical="top"/>
    </xf>
    <xf numFmtId="0" fontId="5" fillId="0" borderId="0" xfId="7" applyAlignment="1">
      <alignment horizontal="center" vertical="top"/>
    </xf>
    <xf numFmtId="0" fontId="5" fillId="0" borderId="0" xfId="7"/>
    <xf numFmtId="0" fontId="5" fillId="0" borderId="0" xfId="7" applyAlignment="1">
      <alignment horizontal="center" vertical="top" wrapText="1"/>
    </xf>
    <xf numFmtId="0" fontId="5" fillId="0" borderId="0" xfId="7" applyAlignment="1">
      <alignment wrapText="1"/>
    </xf>
    <xf numFmtId="49" fontId="5" fillId="0" borderId="0" xfId="7" applyNumberFormat="1" applyAlignment="1">
      <alignment horizontal="center" vertical="top" wrapText="1"/>
    </xf>
    <xf numFmtId="49" fontId="13" fillId="0" borderId="0" xfId="7" applyNumberFormat="1" applyFont="1" applyAlignment="1">
      <alignment horizontal="center" vertical="top" wrapText="1"/>
    </xf>
    <xf numFmtId="0" fontId="26" fillId="0" borderId="0" xfId="7" applyFont="1" applyAlignment="1">
      <alignment horizontal="left"/>
    </xf>
    <xf numFmtId="0" fontId="5" fillId="0" borderId="0" xfId="5" applyAlignment="1">
      <alignment horizontal="centerContinuous"/>
    </xf>
    <xf numFmtId="0" fontId="15" fillId="0" borderId="0" xfId="5" applyFont="1" applyAlignment="1">
      <alignment horizontal="right" vertical="center"/>
    </xf>
    <xf numFmtId="0" fontId="15" fillId="0" borderId="0" xfId="5" applyFont="1" applyAlignment="1">
      <alignment vertical="center"/>
    </xf>
    <xf numFmtId="0" fontId="5" fillId="0" borderId="0" xfId="5" applyAlignment="1">
      <alignment vertical="center"/>
    </xf>
    <xf numFmtId="0" fontId="5" fillId="0" borderId="0" xfId="5"/>
    <xf numFmtId="0" fontId="29" fillId="0" borderId="0" xfId="6" applyFont="1"/>
    <xf numFmtId="0" fontId="22" fillId="0" borderId="0" xfId="5" applyFont="1" applyAlignment="1">
      <alignment vertical="center"/>
    </xf>
    <xf numFmtId="0" fontId="3" fillId="0" borderId="0" xfId="5" applyFont="1"/>
    <xf numFmtId="0" fontId="4" fillId="0" borderId="0" xfId="5" applyFont="1" applyAlignment="1">
      <alignment horizontal="center" vertical="center"/>
    </xf>
    <xf numFmtId="0" fontId="17" fillId="0" borderId="0" xfId="5" applyFont="1" applyAlignment="1">
      <alignment vertical="center"/>
    </xf>
    <xf numFmtId="0" fontId="10" fillId="0" borderId="0" xfId="5" applyFont="1" applyAlignment="1">
      <alignment vertical="center"/>
    </xf>
    <xf numFmtId="0" fontId="17" fillId="0" borderId="0" xfId="5" applyFont="1" applyAlignment="1">
      <alignment horizontal="center" vertical="center"/>
    </xf>
    <xf numFmtId="0" fontId="0" fillId="0" borderId="0" xfId="0" applyAlignment="1">
      <alignment horizontal="center" vertical="center"/>
    </xf>
    <xf numFmtId="0" fontId="0" fillId="0" borderId="6" xfId="0" applyBorder="1" applyAlignment="1">
      <alignment horizontal="center" vertical="center"/>
    </xf>
    <xf numFmtId="0" fontId="5" fillId="0" borderId="7" xfId="5" applyBorder="1"/>
    <xf numFmtId="0" fontId="5" fillId="0" borderId="6" xfId="5" applyBorder="1" applyAlignment="1">
      <alignment vertical="center"/>
    </xf>
    <xf numFmtId="0" fontId="3" fillId="0" borderId="7" xfId="5" applyFont="1" applyBorder="1"/>
    <xf numFmtId="0" fontId="0" fillId="0" borderId="6" xfId="0" applyBorder="1"/>
    <xf numFmtId="0" fontId="5" fillId="0" borderId="6" xfId="5" applyBorder="1" applyAlignment="1">
      <alignment horizontal="center" vertical="center"/>
    </xf>
    <xf numFmtId="0" fontId="15" fillId="0" borderId="6" xfId="5" applyFont="1" applyBorder="1" applyAlignment="1">
      <alignment vertical="center"/>
    </xf>
    <xf numFmtId="0" fontId="5" fillId="0" borderId="6" xfId="5" applyBorder="1"/>
    <xf numFmtId="0" fontId="31" fillId="0" borderId="0" xfId="3" applyFont="1" applyAlignment="1">
      <alignment wrapText="1"/>
    </xf>
    <xf numFmtId="1" fontId="31" fillId="0" borderId="0" xfId="3" applyNumberFormat="1" applyFont="1" applyAlignment="1">
      <alignment horizontal="center" wrapText="1"/>
    </xf>
    <xf numFmtId="0" fontId="4" fillId="0" borderId="2" xfId="0" applyFont="1" applyBorder="1" applyAlignment="1">
      <alignment horizontal="left"/>
    </xf>
    <xf numFmtId="14" fontId="4" fillId="0" borderId="2" xfId="0" applyNumberFormat="1" applyFont="1" applyBorder="1" applyAlignment="1">
      <alignment horizontal="left"/>
    </xf>
    <xf numFmtId="0" fontId="4" fillId="0" borderId="2" xfId="0" applyFont="1" applyBorder="1" applyAlignment="1">
      <alignment horizontal="center"/>
    </xf>
    <xf numFmtId="0" fontId="4" fillId="0" borderId="2" xfId="3" applyFont="1" applyBorder="1" applyAlignment="1">
      <alignment horizontal="left"/>
    </xf>
    <xf numFmtId="14" fontId="4" fillId="0" borderId="2" xfId="3" applyNumberFormat="1" applyFont="1" applyBorder="1" applyAlignment="1">
      <alignment horizontal="left"/>
    </xf>
    <xf numFmtId="0" fontId="4" fillId="0" borderId="2" xfId="3" applyFont="1" applyBorder="1" applyAlignment="1">
      <alignment horizontal="left" vertical="center" wrapText="1"/>
    </xf>
    <xf numFmtId="0" fontId="4" fillId="0" borderId="0" xfId="3" applyFont="1" applyAlignment="1">
      <alignment wrapText="1"/>
    </xf>
    <xf numFmtId="0" fontId="4" fillId="0" borderId="6" xfId="3" applyFont="1" applyBorder="1"/>
    <xf numFmtId="0" fontId="31" fillId="0" borderId="0" xfId="3" applyFont="1" applyAlignment="1">
      <alignment horizontal="right" wrapText="1"/>
    </xf>
    <xf numFmtId="0" fontId="23" fillId="0" borderId="11" xfId="3" applyFont="1" applyBorder="1"/>
    <xf numFmtId="0" fontId="25" fillId="0" borderId="0" xfId="5" applyFont="1" applyAlignment="1">
      <alignment vertical="center"/>
    </xf>
    <xf numFmtId="0" fontId="8" fillId="0" borderId="0" xfId="5" applyFont="1" applyAlignment="1">
      <alignment horizontal="left" vertical="center"/>
    </xf>
    <xf numFmtId="0" fontId="8" fillId="0" borderId="0" xfId="5" applyFont="1" applyAlignment="1">
      <alignment vertical="center"/>
    </xf>
    <xf numFmtId="0" fontId="8" fillId="0" borderId="0" xfId="0" applyFont="1" applyAlignment="1">
      <alignment vertical="center"/>
    </xf>
    <xf numFmtId="0" fontId="4" fillId="0" borderId="12" xfId="3" applyFont="1" applyBorder="1" applyAlignment="1">
      <alignment horizontal="left"/>
    </xf>
    <xf numFmtId="0" fontId="5" fillId="0" borderId="0" xfId="2" applyAlignment="1">
      <alignment vertical="center"/>
    </xf>
    <xf numFmtId="0" fontId="5" fillId="0" borderId="0" xfId="2" applyAlignment="1">
      <alignment horizontal="left" vertical="center"/>
    </xf>
    <xf numFmtId="0" fontId="8" fillId="0" borderId="4" xfId="2" applyFont="1" applyBorder="1" applyAlignment="1">
      <alignment horizontal="centerContinuous" vertical="top"/>
    </xf>
    <xf numFmtId="0" fontId="5" fillId="0" borderId="4" xfId="2" applyBorder="1" applyAlignment="1">
      <alignment horizontal="centerContinuous"/>
    </xf>
    <xf numFmtId="0" fontId="14" fillId="0" borderId="4" xfId="2" applyFont="1" applyBorder="1" applyAlignment="1">
      <alignment vertical="center" wrapText="1"/>
    </xf>
    <xf numFmtId="0" fontId="8" fillId="0" borderId="0" xfId="2" applyFont="1"/>
    <xf numFmtId="0" fontId="8" fillId="0" borderId="0" xfId="2" applyFont="1" applyAlignment="1">
      <alignment wrapText="1"/>
    </xf>
    <xf numFmtId="0" fontId="28" fillId="0" borderId="4" xfId="7" applyFont="1" applyBorder="1" applyAlignment="1">
      <alignment vertical="center" wrapText="1"/>
    </xf>
    <xf numFmtId="0" fontId="28" fillId="0" borderId="0" xfId="7" applyFont="1" applyAlignment="1">
      <alignment vertical="center" wrapText="1"/>
    </xf>
    <xf numFmtId="0" fontId="26" fillId="0" borderId="0" xfId="7" applyFont="1"/>
    <xf numFmtId="0" fontId="25" fillId="0" borderId="0" xfId="7" applyFont="1" applyAlignment="1">
      <alignment horizontal="left"/>
    </xf>
    <xf numFmtId="164" fontId="26" fillId="0" borderId="0" xfId="2" applyNumberFormat="1" applyFont="1" applyAlignment="1">
      <alignment horizontal="left"/>
    </xf>
    <xf numFmtId="0" fontId="26" fillId="0" borderId="0" xfId="7" applyFont="1" applyAlignment="1">
      <alignment vertical="center"/>
    </xf>
    <xf numFmtId="0" fontId="25" fillId="0" borderId="0" xfId="7" applyFont="1" applyAlignment="1">
      <alignment vertical="center"/>
    </xf>
    <xf numFmtId="0" fontId="5" fillId="0" borderId="4" xfId="7" applyBorder="1" applyAlignment="1">
      <alignment horizontal="center" vertical="top"/>
    </xf>
    <xf numFmtId="0" fontId="26" fillId="0" borderId="4" xfId="7" applyFont="1" applyBorder="1"/>
    <xf numFmtId="0" fontId="25" fillId="0" borderId="4" xfId="7" applyFont="1" applyBorder="1" applyAlignment="1">
      <alignment horizontal="left"/>
    </xf>
    <xf numFmtId="164" fontId="26" fillId="0" borderId="4" xfId="2" applyNumberFormat="1" applyFont="1" applyBorder="1" applyAlignment="1">
      <alignment horizontal="left"/>
    </xf>
    <xf numFmtId="0" fontId="31" fillId="0" borderId="0" xfId="7" applyFont="1" applyAlignment="1">
      <alignment horizontal="left" vertical="top"/>
    </xf>
    <xf numFmtId="0" fontId="37" fillId="0" borderId="0" xfId="7" applyFont="1" applyAlignment="1">
      <alignment vertical="center" wrapText="1"/>
    </xf>
    <xf numFmtId="0" fontId="8" fillId="0" borderId="4" xfId="2" applyFont="1" applyBorder="1" applyAlignment="1">
      <alignment wrapText="1"/>
    </xf>
    <xf numFmtId="14" fontId="26" fillId="0" borderId="0" xfId="7" applyNumberFormat="1" applyFont="1" applyAlignment="1">
      <alignment horizontal="left"/>
    </xf>
    <xf numFmtId="0" fontId="5" fillId="0" borderId="15" xfId="5" applyBorder="1"/>
    <xf numFmtId="0" fontId="20" fillId="0" borderId="9" xfId="0" applyFont="1" applyBorder="1"/>
    <xf numFmtId="0" fontId="0" fillId="0" borderId="9" xfId="0" applyBorder="1"/>
    <xf numFmtId="0" fontId="0" fillId="0" borderId="10" xfId="0" applyBorder="1"/>
    <xf numFmtId="49" fontId="9" fillId="0" borderId="0" xfId="0" applyNumberFormat="1" applyFont="1"/>
    <xf numFmtId="0" fontId="38" fillId="0" borderId="0" xfId="7" applyFont="1" applyAlignment="1">
      <alignment horizontal="left" vertical="top"/>
    </xf>
    <xf numFmtId="0" fontId="37" fillId="0" borderId="0" xfId="7" applyFont="1" applyAlignment="1">
      <alignment horizontal="left" vertical="top" wrapText="1"/>
    </xf>
    <xf numFmtId="14" fontId="4" fillId="0" borderId="0" xfId="2" applyNumberFormat="1" applyFont="1"/>
    <xf numFmtId="0" fontId="26" fillId="0" borderId="0" xfId="7" applyFont="1" applyAlignment="1">
      <alignment horizontal="left" vertical="top"/>
    </xf>
    <xf numFmtId="0" fontId="26" fillId="0" borderId="0" xfId="7" applyFont="1" applyAlignment="1">
      <alignment horizontal="left" vertical="top" wrapText="1"/>
    </xf>
    <xf numFmtId="0" fontId="9" fillId="0" borderId="0" xfId="3" applyFont="1"/>
    <xf numFmtId="0" fontId="31" fillId="0" borderId="4" xfId="3" applyFont="1" applyBorder="1" applyAlignment="1">
      <alignment wrapText="1"/>
    </xf>
    <xf numFmtId="0" fontId="0" fillId="2" borderId="20" xfId="0" applyFill="1" applyBorder="1" applyAlignment="1">
      <alignment horizontal="center"/>
    </xf>
    <xf numFmtId="0" fontId="9" fillId="0" borderId="21" xfId="0" applyFont="1" applyBorder="1" applyAlignment="1">
      <alignment horizontal="center"/>
    </xf>
    <xf numFmtId="0" fontId="9" fillId="0" borderId="22" xfId="0" applyFont="1" applyBorder="1" applyAlignment="1">
      <alignment horizontal="center"/>
    </xf>
    <xf numFmtId="0" fontId="9" fillId="0" borderId="23" xfId="0" applyFont="1" applyBorder="1" applyAlignment="1">
      <alignment horizontal="center"/>
    </xf>
    <xf numFmtId="0" fontId="0" fillId="2" borderId="24" xfId="0" applyFill="1" applyBorder="1" applyAlignment="1">
      <alignment horizontal="center"/>
    </xf>
    <xf numFmtId="0" fontId="0" fillId="3" borderId="25" xfId="0" applyFill="1" applyBorder="1" applyAlignment="1">
      <alignment horizontal="center"/>
    </xf>
    <xf numFmtId="0" fontId="0" fillId="4" borderId="25" xfId="0" applyFill="1" applyBorder="1" applyAlignment="1">
      <alignment horizontal="center"/>
    </xf>
    <xf numFmtId="0" fontId="0" fillId="4" borderId="26" xfId="0" applyFill="1" applyBorder="1" applyAlignment="1">
      <alignment horizontal="center"/>
    </xf>
    <xf numFmtId="0" fontId="9" fillId="0" borderId="27" xfId="0" applyFont="1" applyBorder="1" applyAlignment="1">
      <alignment horizontal="center"/>
    </xf>
    <xf numFmtId="0" fontId="0" fillId="3" borderId="28" xfId="0" applyFill="1" applyBorder="1" applyAlignment="1">
      <alignment horizontal="center"/>
    </xf>
    <xf numFmtId="0" fontId="9" fillId="0" borderId="29" xfId="0" applyFont="1" applyBorder="1" applyAlignment="1">
      <alignment horizontal="center"/>
    </xf>
    <xf numFmtId="0" fontId="0" fillId="2" borderId="30" xfId="0" applyFill="1" applyBorder="1" applyAlignment="1">
      <alignment horizontal="center"/>
    </xf>
    <xf numFmtId="0" fontId="0" fillId="4" borderId="28" xfId="0" applyFill="1" applyBorder="1" applyAlignment="1">
      <alignment horizontal="center"/>
    </xf>
    <xf numFmtId="0" fontId="0" fillId="3" borderId="24" xfId="0" applyFill="1" applyBorder="1" applyAlignment="1">
      <alignment horizontal="center"/>
    </xf>
    <xf numFmtId="0" fontId="0" fillId="3" borderId="26" xfId="0" applyFill="1" applyBorder="1" applyAlignment="1">
      <alignment horizontal="center"/>
    </xf>
    <xf numFmtId="0" fontId="13" fillId="0" borderId="0" xfId="0" applyFont="1"/>
    <xf numFmtId="0" fontId="0" fillId="2" borderId="13" xfId="0" applyFill="1" applyBorder="1" applyAlignment="1">
      <alignment horizontal="center"/>
    </xf>
    <xf numFmtId="0" fontId="0" fillId="3" borderId="21" xfId="0" applyFill="1" applyBorder="1" applyAlignment="1">
      <alignment horizontal="center"/>
    </xf>
    <xf numFmtId="0" fontId="0" fillId="3" borderId="22" xfId="0" applyFill="1" applyBorder="1" applyAlignment="1">
      <alignment horizontal="center"/>
    </xf>
    <xf numFmtId="0" fontId="0" fillId="3" borderId="23" xfId="0" applyFill="1" applyBorder="1" applyAlignment="1">
      <alignment horizontal="center"/>
    </xf>
    <xf numFmtId="0" fontId="0" fillId="3" borderId="27" xfId="0" applyFill="1" applyBorder="1" applyAlignment="1">
      <alignment horizontal="center"/>
    </xf>
    <xf numFmtId="0" fontId="0" fillId="0" borderId="25" xfId="0" applyBorder="1" applyAlignment="1">
      <alignment horizontal="center"/>
    </xf>
    <xf numFmtId="0" fontId="0" fillId="2" borderId="11" xfId="0" applyFill="1" applyBorder="1" applyAlignment="1">
      <alignment horizontal="center"/>
    </xf>
    <xf numFmtId="0" fontId="0" fillId="2" borderId="31" xfId="0" applyFill="1" applyBorder="1" applyAlignment="1">
      <alignment horizontal="center"/>
    </xf>
    <xf numFmtId="0" fontId="0" fillId="2" borderId="32" xfId="0" applyFill="1" applyBorder="1" applyAlignment="1">
      <alignment horizontal="center"/>
    </xf>
    <xf numFmtId="0" fontId="0" fillId="3" borderId="32" xfId="0" applyFill="1" applyBorder="1" applyAlignment="1">
      <alignment horizontal="center"/>
    </xf>
    <xf numFmtId="0" fontId="0" fillId="3" borderId="33" xfId="0" applyFill="1" applyBorder="1" applyAlignment="1">
      <alignment horizontal="center"/>
    </xf>
    <xf numFmtId="0" fontId="0" fillId="3" borderId="4"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2" borderId="25" xfId="0" applyFill="1" applyBorder="1" applyAlignment="1">
      <alignment horizontal="center"/>
    </xf>
    <xf numFmtId="0" fontId="0" fillId="2" borderId="26" xfId="0" applyFill="1" applyBorder="1" applyAlignment="1">
      <alignment horizontal="center"/>
    </xf>
    <xf numFmtId="0" fontId="0" fillId="2" borderId="28" xfId="0" applyFill="1" applyBorder="1" applyAlignment="1">
      <alignment horizontal="center"/>
    </xf>
    <xf numFmtId="0" fontId="0" fillId="0" borderId="26" xfId="0" applyBorder="1" applyAlignment="1">
      <alignment horizontal="center"/>
    </xf>
    <xf numFmtId="0" fontId="0" fillId="2" borderId="33" xfId="0" applyFill="1" applyBorder="1" applyAlignment="1">
      <alignment horizontal="center"/>
    </xf>
    <xf numFmtId="0" fontId="0" fillId="2" borderId="4" xfId="0" applyFill="1" applyBorder="1" applyAlignment="1">
      <alignment horizontal="center"/>
    </xf>
    <xf numFmtId="0" fontId="0" fillId="2" borderId="34" xfId="0" applyFill="1" applyBorder="1" applyAlignment="1">
      <alignment horizontal="center"/>
    </xf>
    <xf numFmtId="0" fontId="0" fillId="2" borderId="35" xfId="0" applyFill="1" applyBorder="1" applyAlignment="1">
      <alignment horizontal="center"/>
    </xf>
    <xf numFmtId="0" fontId="0" fillId="2" borderId="36" xfId="0" applyFill="1" applyBorder="1" applyAlignment="1">
      <alignment horizontal="center"/>
    </xf>
    <xf numFmtId="0" fontId="0" fillId="3" borderId="36" xfId="0" applyFill="1" applyBorder="1" applyAlignment="1">
      <alignment horizontal="center"/>
    </xf>
    <xf numFmtId="0" fontId="0" fillId="2" borderId="37" xfId="0" applyFill="1" applyBorder="1" applyAlignment="1">
      <alignment horizontal="center"/>
    </xf>
    <xf numFmtId="0" fontId="0" fillId="2" borderId="38" xfId="0" applyFill="1" applyBorder="1" applyAlignment="1">
      <alignment horizontal="center"/>
    </xf>
    <xf numFmtId="0" fontId="0" fillId="0" borderId="36" xfId="0" applyBorder="1" applyAlignment="1">
      <alignment horizontal="center"/>
    </xf>
    <xf numFmtId="0" fontId="0" fillId="0" borderId="37" xfId="0" applyBorder="1" applyAlignment="1">
      <alignment horizontal="center"/>
    </xf>
    <xf numFmtId="0" fontId="4" fillId="0" borderId="0" xfId="2" applyFont="1" applyAlignment="1">
      <alignment wrapText="1"/>
    </xf>
    <xf numFmtId="0" fontId="4" fillId="0" borderId="0" xfId="2" applyFont="1"/>
    <xf numFmtId="14" fontId="3" fillId="0" borderId="0" xfId="2" applyNumberFormat="1" applyFont="1"/>
    <xf numFmtId="0" fontId="4" fillId="0" borderId="0" xfId="2" applyFont="1" applyAlignment="1">
      <alignment vertical="center"/>
    </xf>
    <xf numFmtId="0" fontId="22" fillId="0" borderId="11" xfId="5" applyFont="1" applyBorder="1" applyAlignment="1">
      <alignment horizontal="centerContinuous"/>
    </xf>
    <xf numFmtId="0" fontId="22" fillId="0" borderId="0" xfId="5" applyFont="1" applyAlignment="1">
      <alignment horizontal="centerContinuous" vertical="center"/>
    </xf>
    <xf numFmtId="1" fontId="22" fillId="0" borderId="0" xfId="5" applyNumberFormat="1" applyFont="1" applyAlignment="1">
      <alignment vertical="center"/>
    </xf>
    <xf numFmtId="0" fontId="5" fillId="0" borderId="0" xfId="5" applyAlignment="1">
      <alignment horizontal="center"/>
    </xf>
    <xf numFmtId="0" fontId="4" fillId="0" borderId="41" xfId="6" applyFont="1" applyBorder="1" applyAlignment="1">
      <alignment vertical="top"/>
    </xf>
    <xf numFmtId="0" fontId="5" fillId="0" borderId="9" xfId="5" applyBorder="1" applyAlignment="1">
      <alignment horizontal="centerContinuous"/>
    </xf>
    <xf numFmtId="0" fontId="5" fillId="0" borderId="10" xfId="5" applyBorder="1" applyAlignment="1">
      <alignment horizontal="centerContinuous"/>
    </xf>
    <xf numFmtId="1" fontId="22" fillId="0" borderId="0" xfId="5" applyNumberFormat="1" applyFont="1" applyAlignment="1">
      <alignment horizontal="centerContinuous" vertical="center"/>
    </xf>
    <xf numFmtId="0" fontId="27" fillId="0" borderId="0" xfId="5" applyFont="1" applyAlignment="1">
      <alignment vertical="center"/>
    </xf>
    <xf numFmtId="9" fontId="5" fillId="0" borderId="0" xfId="5" applyNumberFormat="1" applyAlignment="1">
      <alignment vertical="center"/>
    </xf>
    <xf numFmtId="0" fontId="13" fillId="0" borderId="0" xfId="5" applyFont="1" applyAlignment="1">
      <alignment vertical="center"/>
    </xf>
    <xf numFmtId="0" fontId="3" fillId="0" borderId="0" xfId="5" applyFont="1" applyAlignment="1">
      <alignment vertical="center"/>
    </xf>
    <xf numFmtId="0" fontId="20" fillId="0" borderId="0" xfId="0" applyFont="1" applyAlignment="1">
      <alignment horizontal="right"/>
    </xf>
    <xf numFmtId="0" fontId="17" fillId="0" borderId="0" xfId="5" applyFont="1" applyAlignment="1">
      <alignment horizontal="right" vertical="center"/>
    </xf>
    <xf numFmtId="1" fontId="3" fillId="0" borderId="0" xfId="5" applyNumberFormat="1" applyFont="1" applyAlignment="1">
      <alignment horizontal="center" vertical="center"/>
    </xf>
    <xf numFmtId="0" fontId="4" fillId="0" borderId="0" xfId="5" applyFont="1" applyAlignment="1">
      <alignment vertical="center"/>
    </xf>
    <xf numFmtId="0" fontId="22" fillId="0" borderId="6" xfId="5" applyFont="1" applyBorder="1" applyAlignment="1">
      <alignment vertical="center"/>
    </xf>
    <xf numFmtId="0" fontId="19" fillId="0" borderId="0" xfId="5" applyFont="1" applyAlignment="1">
      <alignment vertical="center"/>
    </xf>
    <xf numFmtId="0" fontId="10" fillId="0" borderId="6" xfId="5" applyFont="1" applyBorder="1" applyAlignment="1">
      <alignment vertical="center"/>
    </xf>
    <xf numFmtId="0" fontId="15" fillId="0" borderId="0" xfId="5" applyFont="1"/>
    <xf numFmtId="9" fontId="5" fillId="0" borderId="0" xfId="5" applyNumberFormat="1"/>
    <xf numFmtId="0" fontId="22" fillId="0" borderId="0" xfId="5" applyFont="1" applyAlignment="1">
      <alignment horizontal="center" vertical="center"/>
    </xf>
    <xf numFmtId="0" fontId="45" fillId="0" borderId="0" xfId="5" applyFont="1" applyAlignment="1">
      <alignment vertical="center"/>
    </xf>
    <xf numFmtId="0" fontId="20" fillId="0" borderId="0" xfId="0" applyFont="1" applyAlignment="1">
      <alignment horizontal="center" vertical="center"/>
    </xf>
    <xf numFmtId="0" fontId="17" fillId="0" borderId="0" xfId="5" applyFont="1" applyAlignment="1">
      <alignment horizontal="left" vertical="center"/>
    </xf>
    <xf numFmtId="1" fontId="13" fillId="0" borderId="0" xfId="5" applyNumberFormat="1" applyFont="1" applyAlignment="1">
      <alignment horizontal="center"/>
    </xf>
    <xf numFmtId="9" fontId="19" fillId="0" borderId="0" xfId="1" applyFont="1" applyBorder="1" applyAlignment="1" applyProtection="1">
      <alignment horizontal="center"/>
    </xf>
    <xf numFmtId="0" fontId="3" fillId="0" borderId="0" xfId="5" applyFont="1" applyAlignment="1">
      <alignment horizontal="left" vertical="center"/>
    </xf>
    <xf numFmtId="0" fontId="46" fillId="0" borderId="0" xfId="0" applyFont="1" applyAlignment="1">
      <alignment horizontal="center" vertical="center"/>
    </xf>
    <xf numFmtId="0" fontId="17" fillId="0" borderId="0" xfId="0" applyFont="1" applyAlignment="1">
      <alignment horizontal="center" vertical="center"/>
    </xf>
    <xf numFmtId="0" fontId="17" fillId="0" borderId="0" xfId="0" applyFont="1" applyAlignment="1">
      <alignment horizontal="center" vertical="center" wrapText="1"/>
    </xf>
    <xf numFmtId="0" fontId="9" fillId="0" borderId="0" xfId="0" applyFont="1" applyAlignment="1">
      <alignment horizontal="center" vertical="center"/>
    </xf>
    <xf numFmtId="9" fontId="3" fillId="0" borderId="0" xfId="1" applyFont="1" applyBorder="1" applyAlignment="1" applyProtection="1">
      <alignment horizontal="center" vertical="center"/>
    </xf>
    <xf numFmtId="1" fontId="3" fillId="0" borderId="0" xfId="0" applyNumberFormat="1" applyFont="1" applyAlignment="1">
      <alignment horizontal="center" vertical="center"/>
    </xf>
    <xf numFmtId="1" fontId="3" fillId="0" borderId="6" xfId="0" applyNumberFormat="1" applyFont="1" applyBorder="1" applyAlignment="1">
      <alignment horizontal="center" vertical="center"/>
    </xf>
    <xf numFmtId="9" fontId="8" fillId="0" borderId="0" xfId="5" applyNumberFormat="1" applyFont="1" applyAlignment="1">
      <alignment horizontal="center" vertical="center"/>
    </xf>
    <xf numFmtId="9" fontId="3" fillId="0" borderId="0" xfId="5" applyNumberFormat="1" applyFont="1" applyAlignment="1">
      <alignment horizontal="center" vertical="center"/>
    </xf>
    <xf numFmtId="0" fontId="20" fillId="0" borderId="0" xfId="2" applyFont="1" applyAlignment="1">
      <alignment horizontal="left" vertical="center"/>
    </xf>
    <xf numFmtId="0" fontId="0" fillId="0" borderId="0" xfId="0" applyAlignment="1">
      <alignment horizontal="left" vertical="center"/>
    </xf>
    <xf numFmtId="0" fontId="24" fillId="0" borderId="0" xfId="7" applyFont="1" applyAlignment="1">
      <alignment horizontal="centerContinuous" vertical="top" wrapText="1"/>
    </xf>
    <xf numFmtId="0" fontId="0" fillId="0" borderId="0" xfId="0" applyAlignment="1">
      <alignment horizontal="left"/>
    </xf>
    <xf numFmtId="0" fontId="27" fillId="0" borderId="0" xfId="6" applyFont="1"/>
    <xf numFmtId="0" fontId="25" fillId="0" borderId="0" xfId="6" applyFont="1"/>
    <xf numFmtId="0" fontId="27" fillId="0" borderId="0" xfId="5" applyFont="1"/>
    <xf numFmtId="0" fontId="5" fillId="0" borderId="0" xfId="5" applyAlignment="1">
      <alignment horizontal="center" vertical="center"/>
    </xf>
    <xf numFmtId="1" fontId="16" fillId="0" borderId="0" xfId="0" applyNumberFormat="1" applyFont="1"/>
    <xf numFmtId="1" fontId="16" fillId="0" borderId="0" xfId="5" applyNumberFormat="1" applyFont="1" applyAlignment="1">
      <alignment horizontal="center" vertical="center"/>
    </xf>
    <xf numFmtId="0" fontId="25" fillId="0" borderId="0" xfId="0" applyFont="1" applyAlignment="1">
      <alignment vertical="center" wrapText="1"/>
    </xf>
    <xf numFmtId="0" fontId="25" fillId="0" borderId="0" xfId="0" applyFont="1"/>
    <xf numFmtId="0" fontId="26" fillId="0" borderId="0" xfId="2" applyFont="1"/>
    <xf numFmtId="0" fontId="5" fillId="0" borderId="14" xfId="5" applyBorder="1" applyAlignment="1">
      <alignment horizontal="center" vertical="center"/>
    </xf>
    <xf numFmtId="0" fontId="4" fillId="0" borderId="11" xfId="3" applyFont="1" applyBorder="1"/>
    <xf numFmtId="0" fontId="0" fillId="0" borderId="11" xfId="0" applyBorder="1"/>
    <xf numFmtId="49" fontId="5" fillId="0" borderId="0" xfId="5" applyNumberFormat="1"/>
    <xf numFmtId="9" fontId="15" fillId="0" borderId="0" xfId="5" applyNumberFormat="1" applyFont="1"/>
    <xf numFmtId="0" fontId="7" fillId="0" borderId="11" xfId="3" applyFont="1" applyBorder="1" applyAlignment="1">
      <alignment vertical="center"/>
    </xf>
    <xf numFmtId="0" fontId="31" fillId="0" borderId="4" xfId="3" applyFont="1" applyBorder="1" applyAlignment="1">
      <alignment horizontal="right" wrapText="1"/>
    </xf>
    <xf numFmtId="0" fontId="40" fillId="0" borderId="0" xfId="3" applyFont="1" applyAlignment="1">
      <alignment horizontal="left" vertical="center" wrapText="1"/>
    </xf>
    <xf numFmtId="0" fontId="5" fillId="0" borderId="0" xfId="5" applyAlignment="1">
      <alignment wrapText="1"/>
    </xf>
    <xf numFmtId="0" fontId="3" fillId="0" borderId="0" xfId="5" applyFont="1" applyAlignment="1">
      <alignment wrapText="1"/>
    </xf>
    <xf numFmtId="9" fontId="5" fillId="0" borderId="0" xfId="5" applyNumberFormat="1" applyAlignment="1">
      <alignment wrapText="1"/>
    </xf>
    <xf numFmtId="0" fontId="15" fillId="0" borderId="0" xfId="5" applyFont="1" applyAlignment="1">
      <alignment wrapText="1"/>
    </xf>
    <xf numFmtId="0" fontId="4" fillId="0" borderId="2" xfId="3" applyFont="1" applyBorder="1" applyAlignment="1">
      <alignment horizontal="left" wrapText="1"/>
    </xf>
    <xf numFmtId="0" fontId="19" fillId="3" borderId="14" xfId="4" applyFont="1" applyFill="1" applyBorder="1" applyAlignment="1">
      <alignment horizontal="center" vertical="center"/>
    </xf>
    <xf numFmtId="0" fontId="5" fillId="0" borderId="5" xfId="5" applyBorder="1"/>
    <xf numFmtId="14" fontId="4" fillId="0" borderId="0" xfId="2" applyNumberFormat="1" applyFont="1" applyAlignment="1">
      <alignment vertical="top"/>
    </xf>
    <xf numFmtId="14" fontId="4" fillId="0" borderId="50" xfId="2" applyNumberFormat="1" applyFont="1" applyBorder="1" applyAlignment="1">
      <alignment vertical="top"/>
    </xf>
    <xf numFmtId="0" fontId="4" fillId="0" borderId="34" xfId="3" applyFont="1" applyBorder="1"/>
    <xf numFmtId="0" fontId="51" fillId="8" borderId="0" xfId="0" applyFont="1" applyFill="1" applyAlignment="1">
      <alignment horizontal="center" vertical="center" wrapText="1"/>
    </xf>
    <xf numFmtId="0" fontId="12" fillId="0" borderId="0" xfId="0" applyFont="1"/>
    <xf numFmtId="9" fontId="3" fillId="9" borderId="0" xfId="1" applyFont="1" applyFill="1" applyBorder="1" applyAlignment="1" applyProtection="1">
      <alignment horizontal="center" vertical="center"/>
    </xf>
    <xf numFmtId="0" fontId="0" fillId="9" borderId="0" xfId="0" applyFill="1"/>
    <xf numFmtId="0" fontId="5" fillId="9" borderId="0" xfId="5" applyFill="1"/>
    <xf numFmtId="1" fontId="3" fillId="9" borderId="0" xfId="5" applyNumberFormat="1" applyFont="1" applyFill="1" applyAlignment="1">
      <alignment horizontal="center" vertical="center"/>
    </xf>
    <xf numFmtId="1" fontId="9" fillId="9" borderId="0" xfId="5" applyNumberFormat="1" applyFont="1" applyFill="1" applyAlignment="1">
      <alignment vertical="center"/>
    </xf>
    <xf numFmtId="0" fontId="0" fillId="9" borderId="0" xfId="0" applyFill="1" applyAlignment="1">
      <alignment horizontal="center" vertical="center"/>
    </xf>
    <xf numFmtId="0" fontId="46" fillId="9" borderId="0" xfId="0" applyFont="1" applyFill="1" applyAlignment="1">
      <alignment vertical="center"/>
    </xf>
    <xf numFmtId="0" fontId="17" fillId="9" borderId="0" xfId="0" applyFont="1" applyFill="1" applyAlignment="1">
      <alignment vertical="center" wrapText="1"/>
    </xf>
    <xf numFmtId="0" fontId="17" fillId="9" borderId="0" xfId="5" applyFont="1" applyFill="1" applyAlignment="1">
      <alignment horizontal="left" vertical="center"/>
    </xf>
    <xf numFmtId="0" fontId="5" fillId="9" borderId="0" xfId="5" applyFill="1" applyAlignment="1">
      <alignment vertical="center"/>
    </xf>
    <xf numFmtId="0" fontId="13" fillId="7" borderId="11" xfId="5" applyFont="1" applyFill="1" applyBorder="1"/>
    <xf numFmtId="0" fontId="13" fillId="7" borderId="34" xfId="5" applyFont="1" applyFill="1" applyBorder="1"/>
    <xf numFmtId="0" fontId="21" fillId="5" borderId="0" xfId="5" applyFont="1" applyFill="1"/>
    <xf numFmtId="0" fontId="5" fillId="10" borderId="0" xfId="5" applyFill="1"/>
    <xf numFmtId="0" fontId="5" fillId="0" borderId="3" xfId="5" applyBorder="1"/>
    <xf numFmtId="0" fontId="5" fillId="0" borderId="2" xfId="5" applyBorder="1"/>
    <xf numFmtId="0" fontId="5" fillId="0" borderId="4" xfId="5" applyBorder="1"/>
    <xf numFmtId="0" fontId="21" fillId="5" borderId="14" xfId="5" applyFont="1" applyFill="1" applyBorder="1"/>
    <xf numFmtId="9" fontId="15" fillId="0" borderId="7" xfId="5" applyNumberFormat="1" applyFont="1" applyBorder="1"/>
    <xf numFmtId="0" fontId="15" fillId="0" borderId="7" xfId="5" applyFont="1" applyBorder="1"/>
    <xf numFmtId="0" fontId="15" fillId="0" borderId="15" xfId="5" applyFont="1" applyBorder="1"/>
    <xf numFmtId="0" fontId="5" fillId="7" borderId="13" xfId="5" applyFill="1" applyBorder="1"/>
    <xf numFmtId="0" fontId="9" fillId="9" borderId="0" xfId="5" applyFont="1" applyFill="1"/>
    <xf numFmtId="0" fontId="5" fillId="9" borderId="6" xfId="5" applyFill="1" applyBorder="1"/>
    <xf numFmtId="0" fontId="4" fillId="9" borderId="0" xfId="5" applyFont="1" applyFill="1"/>
    <xf numFmtId="166" fontId="5" fillId="9" borderId="0" xfId="5" applyNumberFormat="1" applyFill="1"/>
    <xf numFmtId="0" fontId="21" fillId="5" borderId="29" xfId="5" applyFont="1" applyFill="1" applyBorder="1"/>
    <xf numFmtId="0" fontId="5" fillId="0" borderId="0" xfId="5" applyAlignment="1">
      <alignment textRotation="90"/>
    </xf>
    <xf numFmtId="0" fontId="31" fillId="9" borderId="0" xfId="5" applyFont="1" applyFill="1"/>
    <xf numFmtId="0" fontId="31" fillId="9" borderId="0" xfId="5" applyFont="1" applyFill="1" applyAlignment="1">
      <alignment horizontal="left"/>
    </xf>
    <xf numFmtId="0" fontId="5" fillId="10" borderId="2" xfId="5" applyFill="1" applyBorder="1"/>
    <xf numFmtId="0" fontId="53" fillId="10" borderId="19" xfId="5" applyFont="1" applyFill="1" applyBorder="1"/>
    <xf numFmtId="0" fontId="54" fillId="10" borderId="3" xfId="5" applyFont="1" applyFill="1" applyBorder="1"/>
    <xf numFmtId="0" fontId="54" fillId="10" borderId="8" xfId="5" applyFont="1" applyFill="1" applyBorder="1"/>
    <xf numFmtId="0" fontId="54" fillId="10" borderId="12" xfId="5" applyFont="1" applyFill="1" applyBorder="1"/>
    <xf numFmtId="0" fontId="54" fillId="10" borderId="0" xfId="5" applyFont="1" applyFill="1"/>
    <xf numFmtId="0" fontId="54" fillId="10" borderId="2" xfId="5" applyFont="1" applyFill="1" applyBorder="1"/>
    <xf numFmtId="0" fontId="54" fillId="10" borderId="17" xfId="5" applyFont="1" applyFill="1" applyBorder="1"/>
    <xf numFmtId="0" fontId="54" fillId="10" borderId="4" xfId="5" applyFont="1" applyFill="1" applyBorder="1"/>
    <xf numFmtId="0" fontId="54" fillId="10" borderId="5" xfId="5" applyFont="1" applyFill="1" applyBorder="1"/>
    <xf numFmtId="0" fontId="5" fillId="0" borderId="4" xfId="5" applyBorder="1" applyAlignment="1">
      <alignment horizontal="center"/>
    </xf>
    <xf numFmtId="0" fontId="5" fillId="0" borderId="43" xfId="5" applyBorder="1" applyAlignment="1">
      <alignment horizontal="center"/>
    </xf>
    <xf numFmtId="49" fontId="5" fillId="0" borderId="19" xfId="5" applyNumberFormat="1" applyBorder="1" applyAlignment="1">
      <alignment horizontal="center"/>
    </xf>
    <xf numFmtId="0" fontId="5" fillId="0" borderId="3" xfId="5" applyBorder="1" applyAlignment="1">
      <alignment horizontal="center"/>
    </xf>
    <xf numFmtId="0" fontId="5" fillId="0" borderId="8" xfId="5" applyBorder="1" applyAlignment="1">
      <alignment horizontal="center"/>
    </xf>
    <xf numFmtId="49" fontId="5" fillId="0" borderId="29" xfId="5" applyNumberFormat="1" applyBorder="1" applyAlignment="1">
      <alignment horizontal="center"/>
    </xf>
    <xf numFmtId="0" fontId="5" fillId="0" borderId="5" xfId="5" applyBorder="1" applyAlignment="1">
      <alignment horizontal="center"/>
    </xf>
    <xf numFmtId="0" fontId="5" fillId="0" borderId="19" xfId="5" applyBorder="1" applyAlignment="1">
      <alignment textRotation="90"/>
    </xf>
    <xf numFmtId="0" fontId="5" fillId="0" borderId="3" xfId="5" applyBorder="1" applyAlignment="1">
      <alignment textRotation="90"/>
    </xf>
    <xf numFmtId="0" fontId="5" fillId="0" borderId="8" xfId="5" applyBorder="1" applyAlignment="1">
      <alignment textRotation="90"/>
    </xf>
    <xf numFmtId="0" fontId="13" fillId="0" borderId="12" xfId="5" applyFont="1" applyBorder="1"/>
    <xf numFmtId="49" fontId="5" fillId="0" borderId="12" xfId="5" applyNumberFormat="1" applyBorder="1"/>
    <xf numFmtId="49" fontId="13" fillId="0" borderId="12" xfId="5" applyNumberFormat="1" applyFont="1" applyBorder="1"/>
    <xf numFmtId="49" fontId="5" fillId="0" borderId="17" xfId="5" applyNumberFormat="1" applyBorder="1"/>
    <xf numFmtId="0" fontId="27" fillId="7" borderId="11" xfId="5" applyFont="1" applyFill="1" applyBorder="1"/>
    <xf numFmtId="0" fontId="15" fillId="9" borderId="0" xfId="5" applyFont="1" applyFill="1"/>
    <xf numFmtId="0" fontId="52" fillId="9" borderId="0" xfId="5" applyFont="1" applyFill="1"/>
    <xf numFmtId="0" fontId="15" fillId="9" borderId="68" xfId="5" applyFont="1" applyFill="1" applyBorder="1"/>
    <xf numFmtId="0" fontId="15" fillId="9" borderId="43" xfId="5" applyFont="1" applyFill="1" applyBorder="1"/>
    <xf numFmtId="0" fontId="15" fillId="9" borderId="9" xfId="5" applyFont="1" applyFill="1" applyBorder="1"/>
    <xf numFmtId="0" fontId="5" fillId="9" borderId="10" xfId="5" applyFill="1" applyBorder="1"/>
    <xf numFmtId="0" fontId="5" fillId="10" borderId="4" xfId="5" applyFill="1" applyBorder="1"/>
    <xf numFmtId="0" fontId="11" fillId="0" borderId="0" xfId="0" applyFont="1"/>
    <xf numFmtId="0" fontId="5" fillId="0" borderId="14" xfId="5" applyBorder="1"/>
    <xf numFmtId="0" fontId="5" fillId="9" borderId="9" xfId="5" applyFill="1" applyBorder="1"/>
    <xf numFmtId="0" fontId="11" fillId="9" borderId="0" xfId="0" applyFont="1" applyFill="1"/>
    <xf numFmtId="0" fontId="3" fillId="9" borderId="0" xfId="0" applyFont="1" applyFill="1"/>
    <xf numFmtId="10" fontId="55" fillId="0" borderId="0" xfId="5" applyNumberFormat="1" applyFont="1"/>
    <xf numFmtId="167" fontId="17" fillId="9" borderId="0" xfId="5" applyNumberFormat="1" applyFont="1" applyFill="1" applyAlignment="1">
      <alignment horizontal="left" vertical="center"/>
    </xf>
    <xf numFmtId="0" fontId="48" fillId="9" borderId="0" xfId="3" applyFont="1" applyFill="1" applyAlignment="1">
      <alignment horizontal="center" vertical="center" wrapText="1"/>
    </xf>
    <xf numFmtId="0" fontId="3" fillId="0" borderId="0" xfId="0" applyFont="1"/>
    <xf numFmtId="0" fontId="37" fillId="0" borderId="0" xfId="7" applyFont="1" applyAlignment="1">
      <alignment horizontal="left" vertical="center" wrapText="1"/>
    </xf>
    <xf numFmtId="49" fontId="10" fillId="0" borderId="0" xfId="5" quotePrefix="1" applyNumberFormat="1" applyFont="1" applyAlignment="1">
      <alignment vertical="center"/>
    </xf>
    <xf numFmtId="49" fontId="10" fillId="0" borderId="0" xfId="5" applyNumberFormat="1" applyFont="1" applyAlignment="1">
      <alignment vertical="center"/>
    </xf>
    <xf numFmtId="49" fontId="10" fillId="0" borderId="0" xfId="5" applyNumberFormat="1" applyFont="1" applyAlignment="1">
      <alignment horizontal="right" vertical="center"/>
    </xf>
    <xf numFmtId="49" fontId="10" fillId="0" borderId="0" xfId="5" applyNumberFormat="1" applyFont="1" applyAlignment="1">
      <alignment horizontal="left" vertical="center"/>
    </xf>
    <xf numFmtId="49" fontId="17" fillId="0" borderId="0" xfId="5" applyNumberFormat="1" applyFont="1" applyAlignment="1">
      <alignment vertical="center"/>
    </xf>
    <xf numFmtId="164" fontId="26" fillId="0" borderId="0" xfId="7" applyNumberFormat="1" applyFont="1" applyAlignment="1">
      <alignment horizontal="left"/>
    </xf>
    <xf numFmtId="49" fontId="5" fillId="0" borderId="0" xfId="7" applyNumberFormat="1" applyAlignment="1">
      <alignment horizontal="center" wrapText="1"/>
    </xf>
    <xf numFmtId="0" fontId="26" fillId="0" borderId="72" xfId="0" applyFont="1" applyBorder="1" applyAlignment="1" applyProtection="1">
      <alignment horizontal="center" vertical="center" shrinkToFit="1"/>
      <protection locked="0"/>
    </xf>
    <xf numFmtId="0" fontId="26" fillId="7" borderId="14" xfId="0" applyFont="1" applyFill="1" applyBorder="1" applyAlignment="1" applyProtection="1">
      <alignment horizontal="center" vertical="center" shrinkToFit="1"/>
      <protection locked="0"/>
    </xf>
    <xf numFmtId="0" fontId="26" fillId="7" borderId="65" xfId="0" applyFont="1" applyFill="1" applyBorder="1" applyAlignment="1" applyProtection="1">
      <alignment horizontal="center" vertical="center" shrinkToFit="1"/>
      <protection locked="0"/>
    </xf>
    <xf numFmtId="0" fontId="26" fillId="0" borderId="5" xfId="0" applyFont="1" applyBorder="1" applyAlignment="1" applyProtection="1">
      <alignment horizontal="center" vertical="center" shrinkToFit="1"/>
      <protection locked="0"/>
    </xf>
    <xf numFmtId="0" fontId="26" fillId="7" borderId="5" xfId="0" applyFont="1" applyFill="1" applyBorder="1" applyAlignment="1" applyProtection="1">
      <alignment horizontal="center" vertical="center" shrinkToFit="1"/>
      <protection locked="0"/>
    </xf>
    <xf numFmtId="0" fontId="26" fillId="0" borderId="42" xfId="0" applyFont="1" applyBorder="1" applyAlignment="1" applyProtection="1">
      <alignment horizontal="center" vertical="center" shrinkToFit="1"/>
      <protection locked="0"/>
    </xf>
    <xf numFmtId="0" fontId="26" fillId="0" borderId="4" xfId="0" applyFont="1" applyBorder="1" applyAlignment="1" applyProtection="1">
      <alignment horizontal="center" vertical="center" shrinkToFit="1"/>
      <protection locked="0"/>
    </xf>
    <xf numFmtId="0" fontId="5" fillId="0" borderId="9" xfId="7" applyBorder="1" applyAlignment="1">
      <alignment horizontal="center" vertical="top" wrapText="1"/>
    </xf>
    <xf numFmtId="0" fontId="26" fillId="0" borderId="9" xfId="7" applyFont="1" applyBorder="1" applyAlignment="1">
      <alignment horizontal="left" vertical="top" wrapText="1"/>
    </xf>
    <xf numFmtId="1" fontId="26" fillId="0" borderId="16" xfId="7" applyNumberFormat="1" applyFont="1" applyBorder="1" applyAlignment="1">
      <alignment horizontal="center" vertical="top" shrinkToFit="1"/>
    </xf>
    <xf numFmtId="1" fontId="26" fillId="0" borderId="9" xfId="7" applyNumberFormat="1" applyFont="1" applyBorder="1" applyAlignment="1">
      <alignment horizontal="center" vertical="top" shrinkToFit="1"/>
    </xf>
    <xf numFmtId="0" fontId="26" fillId="0" borderId="0" xfId="2" applyFont="1" applyAlignment="1">
      <alignment horizontal="left" vertical="top" wrapText="1"/>
    </xf>
    <xf numFmtId="0" fontId="38" fillId="0" borderId="0" xfId="2" applyFont="1" applyAlignment="1">
      <alignment horizontal="center"/>
    </xf>
    <xf numFmtId="0" fontId="26" fillId="0" borderId="16" xfId="7" applyFont="1" applyBorder="1" applyAlignment="1">
      <alignment horizontal="center" vertical="top" wrapText="1"/>
    </xf>
    <xf numFmtId="49" fontId="26" fillId="0" borderId="16" xfId="7" applyNumberFormat="1" applyFont="1" applyBorder="1" applyAlignment="1">
      <alignment horizontal="center" vertical="top" wrapText="1"/>
    </xf>
    <xf numFmtId="0" fontId="5" fillId="0" borderId="4" xfId="7" applyBorder="1" applyAlignment="1">
      <alignment horizontal="center" vertical="top" wrapText="1"/>
    </xf>
    <xf numFmtId="0" fontId="26" fillId="0" borderId="4" xfId="7" applyFont="1" applyBorder="1" applyAlignment="1">
      <alignment horizontal="left" vertical="top" wrapText="1"/>
    </xf>
    <xf numFmtId="1" fontId="26" fillId="0" borderId="4" xfId="7" applyNumberFormat="1" applyFont="1" applyBorder="1" applyAlignment="1">
      <alignment horizontal="center" vertical="top" shrinkToFit="1"/>
    </xf>
    <xf numFmtId="0" fontId="26" fillId="0" borderId="4" xfId="7" applyFont="1" applyBorder="1" applyAlignment="1">
      <alignment horizontal="center" vertical="top" wrapText="1"/>
    </xf>
    <xf numFmtId="0" fontId="26" fillId="0" borderId="9" xfId="7" applyFont="1" applyBorder="1" applyAlignment="1">
      <alignment horizontal="center" vertical="top" wrapText="1"/>
    </xf>
    <xf numFmtId="49" fontId="26" fillId="0" borderId="4" xfId="7" applyNumberFormat="1" applyFont="1" applyBorder="1" applyAlignment="1">
      <alignment horizontal="center" vertical="top" wrapText="1"/>
    </xf>
    <xf numFmtId="0" fontId="26" fillId="0" borderId="32" xfId="7" applyFont="1" applyBorder="1" applyAlignment="1">
      <alignment horizontal="center" vertical="top" wrapText="1"/>
    </xf>
    <xf numFmtId="0" fontId="5" fillId="0" borderId="32" xfId="7" applyBorder="1" applyAlignment="1">
      <alignment horizontal="center" vertical="top" wrapText="1"/>
    </xf>
    <xf numFmtId="0" fontId="26" fillId="0" borderId="32" xfId="7" applyFont="1" applyBorder="1" applyAlignment="1">
      <alignment horizontal="left" vertical="top" wrapText="1"/>
    </xf>
    <xf numFmtId="1" fontId="26" fillId="0" borderId="32" xfId="7" applyNumberFormat="1" applyFont="1" applyBorder="1" applyAlignment="1">
      <alignment horizontal="center" vertical="top" shrinkToFit="1"/>
    </xf>
    <xf numFmtId="0" fontId="26" fillId="0" borderId="71" xfId="7" applyFont="1" applyBorder="1" applyAlignment="1">
      <alignment horizontal="center" vertical="top" wrapText="1"/>
    </xf>
    <xf numFmtId="0" fontId="5" fillId="0" borderId="3" xfId="7" applyBorder="1" applyAlignment="1">
      <alignment horizontal="center" vertical="top" wrapText="1"/>
    </xf>
    <xf numFmtId="0" fontId="26" fillId="0" borderId="3" xfId="7" applyFont="1" applyBorder="1" applyAlignment="1">
      <alignment horizontal="left" vertical="top" wrapText="1"/>
    </xf>
    <xf numFmtId="1" fontId="26" fillId="0" borderId="71" xfId="7" applyNumberFormat="1" applyFont="1" applyBorder="1" applyAlignment="1">
      <alignment horizontal="center" vertical="top" shrinkToFit="1"/>
    </xf>
    <xf numFmtId="0" fontId="26" fillId="0" borderId="3" xfId="7" applyFont="1" applyBorder="1" applyAlignment="1">
      <alignment horizontal="left" vertical="top"/>
    </xf>
    <xf numFmtId="0" fontId="4" fillId="0" borderId="4" xfId="3" applyFont="1" applyBorder="1"/>
    <xf numFmtId="0" fontId="4" fillId="0" borderId="38" xfId="3" applyFont="1" applyBorder="1"/>
    <xf numFmtId="0" fontId="13" fillId="0" borderId="40" xfId="6" applyFont="1" applyBorder="1" applyAlignment="1">
      <alignment vertical="center"/>
    </xf>
    <xf numFmtId="49" fontId="10" fillId="0" borderId="0" xfId="5" applyNumberFormat="1" applyFont="1" applyAlignment="1">
      <alignment horizontal="center" vertical="center"/>
    </xf>
    <xf numFmtId="14" fontId="8" fillId="15" borderId="0" xfId="3" applyNumberFormat="1" applyFont="1" applyFill="1" applyAlignment="1" applyProtection="1">
      <alignment horizontal="left" wrapText="1"/>
      <protection locked="0"/>
    </xf>
    <xf numFmtId="0" fontId="8" fillId="15" borderId="42" xfId="3" applyFont="1" applyFill="1" applyBorder="1" applyAlignment="1" applyProtection="1">
      <alignment horizontal="left" wrapText="1"/>
      <protection locked="0"/>
    </xf>
    <xf numFmtId="0" fontId="8" fillId="15" borderId="5" xfId="3" applyFont="1" applyFill="1" applyBorder="1" applyAlignment="1" applyProtection="1">
      <alignment horizontal="left" wrapText="1"/>
      <protection locked="0"/>
    </xf>
    <xf numFmtId="0" fontId="8" fillId="15" borderId="14" xfId="3" applyFont="1" applyFill="1" applyBorder="1" applyAlignment="1" applyProtection="1">
      <alignment horizontal="left" wrapText="1"/>
      <protection locked="0"/>
    </xf>
    <xf numFmtId="0" fontId="26" fillId="12" borderId="14" xfId="0" applyFont="1" applyFill="1" applyBorder="1" applyAlignment="1" applyProtection="1">
      <alignment horizontal="center" vertical="center" shrinkToFit="1"/>
      <protection locked="0"/>
    </xf>
    <xf numFmtId="0" fontId="26" fillId="12" borderId="65" xfId="0" applyFont="1" applyFill="1" applyBorder="1" applyAlignment="1" applyProtection="1">
      <alignment horizontal="center" vertical="center" shrinkToFit="1"/>
      <protection locked="0"/>
    </xf>
    <xf numFmtId="0" fontId="26" fillId="12" borderId="5" xfId="0" applyFont="1" applyFill="1" applyBorder="1" applyAlignment="1" applyProtection="1">
      <alignment horizontal="center" vertical="center" shrinkToFit="1"/>
      <protection locked="0"/>
    </xf>
    <xf numFmtId="0" fontId="26" fillId="12" borderId="42" xfId="0" applyFont="1" applyFill="1" applyBorder="1" applyAlignment="1" applyProtection="1">
      <alignment horizontal="center" vertical="center" shrinkToFit="1"/>
      <protection locked="0"/>
    </xf>
    <xf numFmtId="0" fontId="26" fillId="12" borderId="4" xfId="0" applyFont="1" applyFill="1" applyBorder="1" applyAlignment="1" applyProtection="1">
      <alignment horizontal="center" vertical="center" shrinkToFit="1"/>
      <protection locked="0"/>
    </xf>
    <xf numFmtId="0" fontId="5" fillId="0" borderId="12" xfId="5" applyBorder="1"/>
    <xf numFmtId="0" fontId="12" fillId="0" borderId="11" xfId="0" applyFont="1" applyBorder="1"/>
    <xf numFmtId="0" fontId="5" fillId="0" borderId="11" xfId="5" applyBorder="1" applyAlignment="1">
      <alignment horizontal="center" vertical="center"/>
    </xf>
    <xf numFmtId="0" fontId="63" fillId="16" borderId="0" xfId="0" applyFont="1" applyFill="1" applyAlignment="1">
      <alignment horizontal="center"/>
    </xf>
    <xf numFmtId="14" fontId="4" fillId="0" borderId="50" xfId="2" applyNumberFormat="1" applyFont="1" applyBorder="1" applyAlignment="1">
      <alignment horizontal="center" vertical="top"/>
    </xf>
    <xf numFmtId="14" fontId="4" fillId="0" borderId="64" xfId="2" applyNumberFormat="1" applyFont="1" applyBorder="1" applyAlignment="1">
      <alignment horizontal="center" vertical="top"/>
    </xf>
    <xf numFmtId="0" fontId="5" fillId="0" borderId="4" xfId="2" applyBorder="1"/>
    <xf numFmtId="0" fontId="5" fillId="0" borderId="64" xfId="2" applyBorder="1"/>
    <xf numFmtId="0" fontId="26" fillId="0" borderId="0" xfId="3" applyFont="1" applyAlignment="1">
      <alignment wrapText="1"/>
    </xf>
    <xf numFmtId="0" fontId="8" fillId="15" borderId="100" xfId="3" applyFont="1" applyFill="1" applyBorder="1" applyAlignment="1" applyProtection="1">
      <alignment wrapText="1"/>
      <protection locked="0"/>
    </xf>
    <xf numFmtId="0" fontId="8" fillId="15" borderId="101" xfId="3" applyFont="1" applyFill="1" applyBorder="1" applyAlignment="1" applyProtection="1">
      <alignment horizontal="left" wrapText="1"/>
      <protection locked="0"/>
    </xf>
    <xf numFmtId="0" fontId="8" fillId="15" borderId="51" xfId="3" applyFont="1" applyFill="1" applyBorder="1" applyAlignment="1" applyProtection="1">
      <alignment wrapText="1"/>
      <protection locked="0"/>
    </xf>
    <xf numFmtId="14" fontId="8" fillId="15" borderId="54" xfId="3" applyNumberFormat="1" applyFont="1" applyFill="1" applyBorder="1" applyAlignment="1" applyProtection="1">
      <alignment horizontal="left" wrapText="1"/>
      <protection locked="0"/>
    </xf>
    <xf numFmtId="0" fontId="8" fillId="15" borderId="54" xfId="3" applyFont="1" applyFill="1" applyBorder="1" applyAlignment="1" applyProtection="1">
      <alignment wrapText="1"/>
      <protection locked="0"/>
    </xf>
    <xf numFmtId="0" fontId="8" fillId="15" borderId="56" xfId="3" applyFont="1" applyFill="1" applyBorder="1" applyAlignment="1" applyProtection="1">
      <alignment wrapText="1"/>
      <protection locked="0"/>
    </xf>
    <xf numFmtId="0" fontId="8" fillId="15" borderId="56" xfId="3" applyFont="1" applyFill="1" applyBorder="1" applyAlignment="1" applyProtection="1">
      <alignment horizontal="left" wrapText="1"/>
      <protection locked="0"/>
    </xf>
    <xf numFmtId="0" fontId="8" fillId="15" borderId="64" xfId="3" applyFont="1" applyFill="1" applyBorder="1" applyAlignment="1" applyProtection="1">
      <alignment horizontal="left" wrapText="1"/>
      <protection locked="0"/>
    </xf>
    <xf numFmtId="0" fontId="8" fillId="15" borderId="100" xfId="3" applyFont="1" applyFill="1" applyBorder="1" applyAlignment="1" applyProtection="1">
      <alignment horizontal="left" wrapText="1"/>
      <protection locked="0"/>
    </xf>
    <xf numFmtId="0" fontId="8" fillId="15" borderId="103" xfId="3" applyFont="1" applyFill="1" applyBorder="1" applyAlignment="1" applyProtection="1">
      <alignment horizontal="left" wrapText="1"/>
      <protection locked="0"/>
    </xf>
    <xf numFmtId="0" fontId="8" fillId="15" borderId="102" xfId="3" applyFont="1" applyFill="1" applyBorder="1" applyAlignment="1" applyProtection="1">
      <alignment wrapText="1"/>
      <protection locked="0"/>
    </xf>
    <xf numFmtId="0" fontId="25" fillId="11" borderId="48" xfId="7" applyFont="1" applyFill="1" applyBorder="1" applyAlignment="1">
      <alignment vertical="center"/>
    </xf>
    <xf numFmtId="0" fontId="25" fillId="11" borderId="32" xfId="7" applyFont="1" applyFill="1" applyBorder="1" applyAlignment="1">
      <alignment vertical="center"/>
    </xf>
    <xf numFmtId="0" fontId="36" fillId="11" borderId="32" xfId="7" applyFont="1" applyFill="1" applyBorder="1" applyAlignment="1">
      <alignment vertical="center"/>
    </xf>
    <xf numFmtId="0" fontId="36" fillId="11" borderId="62" xfId="7" applyFont="1" applyFill="1" applyBorder="1" applyAlignment="1">
      <alignment vertical="center"/>
    </xf>
    <xf numFmtId="9" fontId="8" fillId="9" borderId="0" xfId="5" applyNumberFormat="1" applyFont="1" applyFill="1" applyAlignment="1">
      <alignment vertical="center"/>
    </xf>
    <xf numFmtId="9" fontId="8" fillId="0" borderId="0" xfId="5" applyNumberFormat="1" applyFont="1" applyAlignment="1">
      <alignment vertical="center"/>
    </xf>
    <xf numFmtId="0" fontId="4" fillId="0" borderId="0" xfId="0" applyFont="1" applyAlignment="1">
      <alignment wrapText="1"/>
    </xf>
    <xf numFmtId="0" fontId="0" fillId="0" borderId="104" xfId="0" applyBorder="1"/>
    <xf numFmtId="0" fontId="0" fillId="0" borderId="4" xfId="0" applyBorder="1"/>
    <xf numFmtId="0" fontId="8" fillId="15" borderId="57" xfId="3" applyFont="1" applyFill="1" applyBorder="1" applyAlignment="1" applyProtection="1">
      <alignment horizontal="left" wrapText="1"/>
      <protection locked="0"/>
    </xf>
    <xf numFmtId="0" fontId="26" fillId="0" borderId="0" xfId="0" applyFont="1" applyAlignment="1">
      <alignment horizontal="right" wrapText="1"/>
    </xf>
    <xf numFmtId="0" fontId="8" fillId="0" borderId="0" xfId="2" applyFont="1" applyAlignment="1">
      <alignment horizontal="left" vertical="center"/>
    </xf>
    <xf numFmtId="0" fontId="8" fillId="11" borderId="48" xfId="2" applyFont="1" applyFill="1" applyBorder="1" applyAlignment="1">
      <alignment vertical="center"/>
    </xf>
    <xf numFmtId="0" fontId="57" fillId="11" borderId="32" xfId="2" applyFont="1" applyFill="1" applyBorder="1" applyAlignment="1">
      <alignment vertical="center"/>
    </xf>
    <xf numFmtId="0" fontId="58" fillId="11" borderId="32" xfId="2" applyFont="1" applyFill="1" applyBorder="1" applyAlignment="1">
      <alignment vertical="center"/>
    </xf>
    <xf numFmtId="0" fontId="58" fillId="11" borderId="62" xfId="2" applyFont="1" applyFill="1" applyBorder="1" applyAlignment="1">
      <alignment vertical="center"/>
    </xf>
    <xf numFmtId="0" fontId="26" fillId="11" borderId="14" xfId="2" applyFont="1" applyFill="1" applyBorder="1" applyAlignment="1">
      <alignment vertical="top" wrapText="1"/>
    </xf>
    <xf numFmtId="0" fontId="26" fillId="11" borderId="14" xfId="2" applyFont="1" applyFill="1" applyBorder="1" applyAlignment="1">
      <alignment vertical="top"/>
    </xf>
    <xf numFmtId="9" fontId="18" fillId="0" borderId="14" xfId="2" applyNumberFormat="1" applyFont="1" applyBorder="1" applyAlignment="1">
      <alignment horizontal="center" vertical="center"/>
    </xf>
    <xf numFmtId="0" fontId="18" fillId="0" borderId="14" xfId="2" applyFont="1" applyBorder="1" applyAlignment="1">
      <alignment horizontal="center" vertical="center"/>
    </xf>
    <xf numFmtId="0" fontId="57" fillId="11" borderId="62" xfId="2" applyFont="1" applyFill="1" applyBorder="1" applyAlignment="1">
      <alignment vertical="center"/>
    </xf>
    <xf numFmtId="9" fontId="66" fillId="11" borderId="14" xfId="2" applyNumberFormat="1" applyFont="1" applyFill="1" applyBorder="1" applyAlignment="1">
      <alignment horizontal="center" vertical="center"/>
    </xf>
    <xf numFmtId="1" fontId="66" fillId="11" borderId="14" xfId="2" applyNumberFormat="1" applyFont="1" applyFill="1" applyBorder="1" applyAlignment="1">
      <alignment horizontal="center" vertical="center"/>
    </xf>
    <xf numFmtId="0" fontId="6" fillId="0" borderId="59" xfId="2" applyFont="1" applyBorder="1" applyAlignment="1">
      <alignment horizontal="center" vertical="center"/>
    </xf>
    <xf numFmtId="9" fontId="6" fillId="0" borderId="59" xfId="2" applyNumberFormat="1" applyFont="1" applyBorder="1" applyAlignment="1">
      <alignment horizontal="center" vertical="top"/>
    </xf>
    <xf numFmtId="0" fontId="6" fillId="0" borderId="59" xfId="2" applyFont="1" applyBorder="1" applyAlignment="1">
      <alignment horizontal="center" vertical="top"/>
    </xf>
    <xf numFmtId="0" fontId="6" fillId="0" borderId="60" xfId="2" applyFont="1" applyBorder="1" applyAlignment="1">
      <alignment horizontal="center" vertical="center"/>
    </xf>
    <xf numFmtId="9" fontId="6" fillId="0" borderId="60" xfId="2" applyNumberFormat="1" applyFont="1" applyBorder="1" applyAlignment="1">
      <alignment horizontal="center" vertical="top"/>
    </xf>
    <xf numFmtId="0" fontId="6" fillId="0" borderId="60" xfId="2" applyFont="1" applyBorder="1" applyAlignment="1">
      <alignment horizontal="center" vertical="top"/>
    </xf>
    <xf numFmtId="0" fontId="6" fillId="0" borderId="61" xfId="2" applyFont="1" applyBorder="1" applyAlignment="1">
      <alignment horizontal="center" vertical="center"/>
    </xf>
    <xf numFmtId="9" fontId="6" fillId="0" borderId="61" xfId="2" applyNumberFormat="1" applyFont="1" applyBorder="1" applyAlignment="1">
      <alignment horizontal="center" vertical="top"/>
    </xf>
    <xf numFmtId="0" fontId="6" fillId="0" borderId="61" xfId="2" applyFont="1" applyBorder="1" applyAlignment="1">
      <alignment horizontal="center" vertical="top"/>
    </xf>
    <xf numFmtId="0" fontId="5" fillId="11" borderId="3" xfId="2" applyFill="1" applyBorder="1" applyAlignment="1">
      <alignment horizontal="center" vertical="center" wrapText="1"/>
    </xf>
    <xf numFmtId="0" fontId="5" fillId="11" borderId="14" xfId="2" applyFill="1" applyBorder="1" applyAlignment="1">
      <alignment horizontal="center" vertical="center" wrapText="1"/>
    </xf>
    <xf numFmtId="14" fontId="39" fillId="0" borderId="59" xfId="2" applyNumberFormat="1" applyFont="1" applyBorder="1" applyAlignment="1">
      <alignment horizontal="left" vertical="top"/>
    </xf>
    <xf numFmtId="0" fontId="39" fillId="0" borderId="59" xfId="2" applyFont="1" applyBorder="1" applyAlignment="1">
      <alignment horizontal="left" vertical="top"/>
    </xf>
    <xf numFmtId="14" fontId="39" fillId="0" borderId="60" xfId="2" applyNumberFormat="1" applyFont="1" applyBorder="1" applyAlignment="1">
      <alignment horizontal="left" vertical="top"/>
    </xf>
    <xf numFmtId="0" fontId="39" fillId="0" borderId="60" xfId="2" applyFont="1" applyBorder="1" applyAlignment="1">
      <alignment horizontal="left" vertical="top"/>
    </xf>
    <xf numFmtId="14" fontId="39" fillId="0" borderId="61" xfId="2" applyNumberFormat="1" applyFont="1" applyBorder="1" applyAlignment="1">
      <alignment horizontal="left" vertical="top"/>
    </xf>
    <xf numFmtId="0" fontId="39" fillId="0" borderId="61" xfId="2" applyFont="1" applyBorder="1" applyAlignment="1">
      <alignment horizontal="left" vertical="top"/>
    </xf>
    <xf numFmtId="0" fontId="13" fillId="11" borderId="19" xfId="2" applyFont="1" applyFill="1" applyBorder="1"/>
    <xf numFmtId="0" fontId="13" fillId="11" borderId="3" xfId="2" applyFont="1" applyFill="1" applyBorder="1"/>
    <xf numFmtId="0" fontId="4" fillId="0" borderId="105" xfId="2" applyFont="1" applyBorder="1" applyAlignment="1">
      <alignment horizontal="left" vertical="center"/>
    </xf>
    <xf numFmtId="14" fontId="4" fillId="0" borderId="105" xfId="2" applyNumberFormat="1" applyFont="1" applyBorder="1" applyAlignment="1">
      <alignment vertical="center"/>
    </xf>
    <xf numFmtId="0" fontId="4" fillId="0" borderId="106" xfId="2" applyFont="1" applyBorder="1" applyAlignment="1">
      <alignment horizontal="center" vertical="center"/>
    </xf>
    <xf numFmtId="14" fontId="4" fillId="0" borderId="54" xfId="2" applyNumberFormat="1" applyFont="1" applyBorder="1" applyAlignment="1">
      <alignment horizontal="left" vertical="center"/>
    </xf>
    <xf numFmtId="14" fontId="4" fillId="0" borderId="54" xfId="2" applyNumberFormat="1" applyFont="1" applyBorder="1" applyAlignment="1">
      <alignment vertical="center"/>
    </xf>
    <xf numFmtId="0" fontId="4" fillId="0" borderId="55" xfId="2" applyFont="1" applyBorder="1" applyAlignment="1">
      <alignment horizontal="center" vertical="center"/>
    </xf>
    <xf numFmtId="14" fontId="10" fillId="0" borderId="54" xfId="2" applyNumberFormat="1" applyFont="1" applyBorder="1" applyAlignment="1">
      <alignment horizontal="right" vertical="center"/>
    </xf>
    <xf numFmtId="0" fontId="4" fillId="0" borderId="55" xfId="2" applyFont="1" applyBorder="1" applyAlignment="1">
      <alignment horizontal="left" vertical="center"/>
    </xf>
    <xf numFmtId="14" fontId="4" fillId="0" borderId="56" xfId="2" applyNumberFormat="1" applyFont="1" applyBorder="1" applyAlignment="1">
      <alignment horizontal="left" vertical="center"/>
    </xf>
    <xf numFmtId="14" fontId="4" fillId="0" borderId="57" xfId="2" applyNumberFormat="1" applyFont="1" applyBorder="1" applyAlignment="1">
      <alignment vertical="top"/>
    </xf>
    <xf numFmtId="14" fontId="4" fillId="0" borderId="56" xfId="2" applyNumberFormat="1" applyFont="1" applyBorder="1" applyAlignment="1">
      <alignment vertical="center"/>
    </xf>
    <xf numFmtId="14" fontId="4" fillId="0" borderId="57" xfId="2" applyNumberFormat="1" applyFont="1" applyBorder="1" applyAlignment="1">
      <alignment horizontal="center" vertical="top"/>
    </xf>
    <xf numFmtId="0" fontId="4" fillId="0" borderId="58" xfId="2" applyFont="1" applyBorder="1" applyAlignment="1">
      <alignment horizontal="center" vertical="center"/>
    </xf>
    <xf numFmtId="14" fontId="10" fillId="0" borderId="56" xfId="2" applyNumberFormat="1" applyFont="1" applyBorder="1" applyAlignment="1">
      <alignment horizontal="right" vertical="center"/>
    </xf>
    <xf numFmtId="0" fontId="4" fillId="0" borderId="58" xfId="2" applyFont="1" applyBorder="1" applyAlignment="1">
      <alignment horizontal="left" vertical="center"/>
    </xf>
    <xf numFmtId="0" fontId="26" fillId="0" borderId="4" xfId="2" applyFont="1" applyBorder="1"/>
    <xf numFmtId="164" fontId="26" fillId="0" borderId="4" xfId="2" applyNumberFormat="1" applyFont="1" applyBorder="1"/>
    <xf numFmtId="0" fontId="8" fillId="0" borderId="0" xfId="2" applyFont="1" applyAlignment="1">
      <alignment vertical="center"/>
    </xf>
    <xf numFmtId="0" fontId="26" fillId="0" borderId="0" xfId="2" applyFont="1" applyAlignment="1">
      <alignment vertical="center" wrapText="1"/>
    </xf>
    <xf numFmtId="0" fontId="26" fillId="0" borderId="0" xfId="2" applyFont="1" applyAlignment="1">
      <alignment vertical="center"/>
    </xf>
    <xf numFmtId="14" fontId="26" fillId="0" borderId="0" xfId="2" applyNumberFormat="1" applyFont="1" applyAlignment="1">
      <alignment horizontal="left" vertical="center"/>
    </xf>
    <xf numFmtId="14" fontId="26" fillId="0" borderId="0" xfId="2" applyNumberFormat="1" applyFont="1" applyAlignment="1">
      <alignment horizontal="left" vertical="top"/>
    </xf>
    <xf numFmtId="0" fontId="8" fillId="0" borderId="0" xfId="2" applyFont="1" applyAlignment="1">
      <alignment horizontal="left" vertical="center" wrapText="1"/>
    </xf>
    <xf numFmtId="0" fontId="26" fillId="0" borderId="0" xfId="2" applyFont="1" applyAlignment="1">
      <alignment horizontal="left" vertical="top"/>
    </xf>
    <xf numFmtId="0" fontId="26" fillId="0" borderId="0" xfId="2" applyFont="1" applyAlignment="1">
      <alignment vertical="top"/>
    </xf>
    <xf numFmtId="0" fontId="3" fillId="0" borderId="0" xfId="2" applyFont="1" applyAlignment="1">
      <alignment wrapText="1"/>
    </xf>
    <xf numFmtId="0" fontId="26" fillId="0" borderId="3" xfId="2" applyFont="1" applyBorder="1"/>
    <xf numFmtId="0" fontId="4" fillId="0" borderId="0" xfId="0" applyFont="1" applyAlignment="1">
      <alignment vertical="top"/>
    </xf>
    <xf numFmtId="1" fontId="3" fillId="9" borderId="0" xfId="5" applyNumberFormat="1" applyFont="1" applyFill="1" applyAlignment="1">
      <alignment vertical="center"/>
    </xf>
    <xf numFmtId="0" fontId="4" fillId="9" borderId="0" xfId="8" applyFill="1"/>
    <xf numFmtId="0" fontId="4" fillId="0" borderId="0" xfId="8"/>
    <xf numFmtId="0" fontId="4" fillId="0" borderId="6" xfId="8" applyBorder="1"/>
    <xf numFmtId="0" fontId="5" fillId="0" borderId="7" xfId="5" applyBorder="1" applyAlignment="1">
      <alignment horizontal="right"/>
    </xf>
    <xf numFmtId="0" fontId="8" fillId="9" borderId="0" xfId="8" applyFont="1" applyFill="1" applyAlignment="1">
      <alignment vertical="center"/>
    </xf>
    <xf numFmtId="0" fontId="13" fillId="9" borderId="0" xfId="8" applyFont="1" applyFill="1" applyAlignment="1">
      <alignment vertical="center"/>
    </xf>
    <xf numFmtId="0" fontId="46" fillId="9" borderId="0" xfId="8" applyFont="1" applyFill="1" applyAlignment="1">
      <alignment vertical="center"/>
    </xf>
    <xf numFmtId="1" fontId="8" fillId="9" borderId="0" xfId="5" applyNumberFormat="1" applyFont="1" applyFill="1" applyAlignment="1">
      <alignment vertical="center" wrapText="1"/>
    </xf>
    <xf numFmtId="0" fontId="6" fillId="9" borderId="0" xfId="8" applyFont="1" applyFill="1" applyAlignment="1">
      <alignment vertical="center"/>
    </xf>
    <xf numFmtId="0" fontId="17" fillId="0" borderId="0" xfId="8" applyFont="1" applyAlignment="1">
      <alignment horizontal="center" vertical="center"/>
    </xf>
    <xf numFmtId="0" fontId="8" fillId="0" borderId="0" xfId="8" applyFont="1" applyAlignment="1">
      <alignment vertical="center" wrapText="1"/>
    </xf>
    <xf numFmtId="0" fontId="4" fillId="0" borderId="6" xfId="8" applyBorder="1" applyAlignment="1">
      <alignment horizontal="center" vertical="center"/>
    </xf>
    <xf numFmtId="0" fontId="4" fillId="0" borderId="0" xfId="8" applyAlignment="1">
      <alignment horizontal="center" vertical="center"/>
    </xf>
    <xf numFmtId="0" fontId="3" fillId="11" borderId="20" xfId="5" applyFont="1" applyFill="1" applyBorder="1" applyAlignment="1">
      <alignment vertical="center"/>
    </xf>
    <xf numFmtId="0" fontId="10" fillId="9" borderId="11" xfId="5" applyFont="1" applyFill="1" applyBorder="1" applyAlignment="1">
      <alignment vertical="center"/>
    </xf>
    <xf numFmtId="0" fontId="15" fillId="9" borderId="11" xfId="5" applyFont="1" applyFill="1" applyBorder="1" applyAlignment="1">
      <alignment vertical="center"/>
    </xf>
    <xf numFmtId="0" fontId="5" fillId="9" borderId="11" xfId="5" applyFill="1" applyBorder="1" applyAlignment="1">
      <alignment vertical="center"/>
    </xf>
    <xf numFmtId="0" fontId="4" fillId="9" borderId="11" xfId="8" applyFill="1" applyBorder="1" applyAlignment="1">
      <alignment vertical="center"/>
    </xf>
    <xf numFmtId="0" fontId="4" fillId="9" borderId="34" xfId="8" applyFill="1" applyBorder="1" applyAlignment="1">
      <alignment vertical="center"/>
    </xf>
    <xf numFmtId="0" fontId="3" fillId="11" borderId="18" xfId="5" applyFont="1" applyFill="1" applyBorder="1" applyAlignment="1">
      <alignment vertical="center"/>
    </xf>
    <xf numFmtId="0" fontId="10" fillId="9" borderId="0" xfId="5" applyFont="1" applyFill="1" applyAlignment="1">
      <alignment vertical="center"/>
    </xf>
    <xf numFmtId="0" fontId="15" fillId="9" borderId="0" xfId="5" applyFont="1" applyFill="1" applyAlignment="1">
      <alignment vertical="center"/>
    </xf>
    <xf numFmtId="0" fontId="17" fillId="9" borderId="0" xfId="5" applyFont="1" applyFill="1" applyAlignment="1">
      <alignment vertical="center"/>
    </xf>
    <xf numFmtId="0" fontId="17" fillId="9" borderId="6" xfId="5" applyFont="1" applyFill="1" applyBorder="1" applyAlignment="1">
      <alignment vertical="center"/>
    </xf>
    <xf numFmtId="0" fontId="12" fillId="0" borderId="0" xfId="8" applyFont="1"/>
    <xf numFmtId="0" fontId="3" fillId="5" borderId="18" xfId="5" applyFont="1" applyFill="1" applyBorder="1" applyAlignment="1">
      <alignment vertical="center"/>
    </xf>
    <xf numFmtId="0" fontId="17" fillId="9" borderId="0" xfId="8" applyFont="1" applyFill="1" applyAlignment="1">
      <alignment vertical="center"/>
    </xf>
    <xf numFmtId="0" fontId="8" fillId="0" borderId="0" xfId="5" applyFont="1" applyAlignment="1">
      <alignment vertical="top"/>
    </xf>
    <xf numFmtId="9" fontId="41" fillId="0" borderId="0" xfId="8" applyNumberFormat="1" applyFont="1" applyAlignment="1">
      <alignment vertical="center"/>
    </xf>
    <xf numFmtId="0" fontId="3" fillId="5" borderId="47" xfId="5" applyFont="1" applyFill="1" applyBorder="1" applyAlignment="1">
      <alignment vertical="center"/>
    </xf>
    <xf numFmtId="0" fontId="10" fillId="9" borderId="9" xfId="5" applyFont="1" applyFill="1" applyBorder="1" applyAlignment="1">
      <alignment vertical="center"/>
    </xf>
    <xf numFmtId="0" fontId="15" fillId="9" borderId="9" xfId="5" applyFont="1" applyFill="1" applyBorder="1" applyAlignment="1">
      <alignment vertical="center"/>
    </xf>
    <xf numFmtId="0" fontId="5" fillId="9" borderId="9" xfId="5" applyFill="1" applyBorder="1" applyAlignment="1">
      <alignment vertical="center"/>
    </xf>
    <xf numFmtId="0" fontId="17" fillId="9" borderId="9" xfId="5" applyFont="1" applyFill="1" applyBorder="1" applyAlignment="1">
      <alignment vertical="center"/>
    </xf>
    <xf numFmtId="0" fontId="17" fillId="9" borderId="10" xfId="5" applyFont="1" applyFill="1" applyBorder="1" applyAlignment="1">
      <alignment vertical="center"/>
    </xf>
    <xf numFmtId="1" fontId="3" fillId="0" borderId="0" xfId="8" applyNumberFormat="1" applyFont="1" applyAlignment="1">
      <alignment horizontal="center" vertical="center"/>
    </xf>
    <xf numFmtId="1" fontId="3" fillId="0" borderId="6" xfId="8" applyNumberFormat="1" applyFont="1" applyBorder="1" applyAlignment="1">
      <alignment horizontal="center" vertical="center"/>
    </xf>
    <xf numFmtId="0" fontId="3" fillId="0" borderId="0" xfId="8" applyFont="1" applyAlignment="1">
      <alignment horizontal="center" vertical="center"/>
    </xf>
    <xf numFmtId="0" fontId="5" fillId="0" borderId="0" xfId="8" applyFont="1" applyAlignment="1">
      <alignment horizontal="left" vertical="center"/>
    </xf>
    <xf numFmtId="0" fontId="3" fillId="9" borderId="0" xfId="8" applyFont="1" applyFill="1"/>
    <xf numFmtId="0" fontId="15" fillId="0" borderId="9" xfId="8" applyFont="1" applyBorder="1"/>
    <xf numFmtId="0" fontId="4" fillId="0" borderId="9" xfId="8" applyBorder="1"/>
    <xf numFmtId="0" fontId="4" fillId="0" borderId="10" xfId="8" applyBorder="1"/>
    <xf numFmtId="49" fontId="10" fillId="12" borderId="0" xfId="5" applyNumberFormat="1" applyFont="1" applyFill="1" applyAlignment="1">
      <alignment horizontal="center" vertical="center"/>
    </xf>
    <xf numFmtId="49" fontId="10" fillId="12" borderId="0" xfId="5" quotePrefix="1" applyNumberFormat="1" applyFont="1" applyFill="1" applyAlignment="1">
      <alignment vertical="center"/>
    </xf>
    <xf numFmtId="0" fontId="4" fillId="12" borderId="0" xfId="5" applyFont="1" applyFill="1" applyAlignment="1">
      <alignment vertical="center"/>
    </xf>
    <xf numFmtId="0" fontId="15" fillId="12" borderId="0" xfId="5" applyFont="1" applyFill="1" applyAlignment="1">
      <alignment vertical="center"/>
    </xf>
    <xf numFmtId="0" fontId="5" fillId="12" borderId="0" xfId="5" applyFill="1" applyAlignment="1">
      <alignment vertical="center"/>
    </xf>
    <xf numFmtId="0" fontId="5" fillId="12" borderId="14" xfId="5" applyFill="1" applyBorder="1" applyAlignment="1">
      <alignment horizontal="center" vertical="center"/>
    </xf>
    <xf numFmtId="0" fontId="5" fillId="0" borderId="4" xfId="5" applyBorder="1" applyAlignment="1">
      <alignment wrapText="1"/>
    </xf>
    <xf numFmtId="0" fontId="5" fillId="0" borderId="27" xfId="5" applyBorder="1"/>
    <xf numFmtId="0" fontId="5" fillId="0" borderId="4" xfId="5" applyBorder="1" applyAlignment="1">
      <alignment vertical="center"/>
    </xf>
    <xf numFmtId="0" fontId="4" fillId="0" borderId="4" xfId="5" applyFont="1" applyBorder="1" applyAlignment="1">
      <alignment horizontal="center" vertical="center"/>
    </xf>
    <xf numFmtId="0" fontId="12" fillId="0" borderId="4" xfId="0" applyFont="1" applyBorder="1"/>
    <xf numFmtId="0" fontId="0" fillId="0" borderId="38" xfId="0" applyBorder="1"/>
    <xf numFmtId="0" fontId="10" fillId="0" borderId="0" xfId="5" applyFont="1" applyAlignment="1">
      <alignment horizontal="center"/>
    </xf>
    <xf numFmtId="0" fontId="16" fillId="0" borderId="0" xfId="0" applyFont="1" applyAlignment="1">
      <alignment horizontal="left" vertical="center"/>
    </xf>
    <xf numFmtId="0" fontId="0" fillId="11" borderId="0" xfId="0" applyFill="1"/>
    <xf numFmtId="0" fontId="4" fillId="11" borderId="0" xfId="0" applyFont="1" applyFill="1" applyAlignment="1">
      <alignment wrapText="1"/>
    </xf>
    <xf numFmtId="0" fontId="0" fillId="11" borderId="0" xfId="0" applyFill="1" applyAlignment="1">
      <alignment wrapText="1"/>
    </xf>
    <xf numFmtId="0" fontId="0" fillId="17" borderId="0" xfId="0" applyFill="1"/>
    <xf numFmtId="0" fontId="0" fillId="17" borderId="0" xfId="0" applyFill="1" applyAlignment="1">
      <alignment wrapText="1"/>
    </xf>
    <xf numFmtId="0" fontId="71" fillId="0" borderId="0" xfId="0" applyFont="1"/>
    <xf numFmtId="0" fontId="72" fillId="0" borderId="0" xfId="0" applyFont="1" applyAlignment="1">
      <alignment wrapText="1"/>
    </xf>
    <xf numFmtId="170" fontId="16" fillId="0" borderId="45" xfId="5" applyNumberFormat="1" applyFont="1" applyBorder="1" applyAlignment="1">
      <alignment horizontal="center" vertical="center"/>
    </xf>
    <xf numFmtId="0" fontId="5" fillId="0" borderId="109" xfId="5" applyBorder="1"/>
    <xf numFmtId="0" fontId="8" fillId="0" borderId="108" xfId="5" applyFont="1" applyBorder="1" applyAlignment="1">
      <alignment vertical="center"/>
    </xf>
    <xf numFmtId="0" fontId="5" fillId="0" borderId="108" xfId="5" applyBorder="1" applyAlignment="1">
      <alignment vertical="center"/>
    </xf>
    <xf numFmtId="0" fontId="22" fillId="0" borderId="108" xfId="5" applyFont="1" applyBorder="1" applyAlignment="1">
      <alignment vertical="center"/>
    </xf>
    <xf numFmtId="0" fontId="5" fillId="0" borderId="107" xfId="5" applyBorder="1" applyAlignment="1">
      <alignment vertical="center"/>
    </xf>
    <xf numFmtId="0" fontId="5" fillId="0" borderId="108" xfId="5" applyBorder="1"/>
    <xf numFmtId="0" fontId="0" fillId="0" borderId="108" xfId="0" applyBorder="1"/>
    <xf numFmtId="0" fontId="0" fillId="0" borderId="107" xfId="0" applyBorder="1"/>
    <xf numFmtId="0" fontId="3" fillId="18" borderId="0" xfId="5" applyFont="1" applyFill="1" applyAlignment="1">
      <alignment wrapText="1"/>
    </xf>
    <xf numFmtId="0" fontId="3" fillId="18" borderId="7" xfId="5" applyFont="1" applyFill="1" applyBorder="1"/>
    <xf numFmtId="0" fontId="3" fillId="18" borderId="0" xfId="5" applyFont="1" applyFill="1" applyAlignment="1">
      <alignment vertical="center"/>
    </xf>
    <xf numFmtId="0" fontId="3" fillId="18" borderId="0" xfId="5" applyFont="1" applyFill="1" applyAlignment="1">
      <alignment horizontal="center"/>
    </xf>
    <xf numFmtId="0" fontId="3" fillId="18" borderId="0" xfId="5" applyFont="1" applyFill="1"/>
    <xf numFmtId="0" fontId="17" fillId="18" borderId="0" xfId="5" applyFont="1" applyFill="1" applyAlignment="1">
      <alignment horizontal="right" vertical="center"/>
    </xf>
    <xf numFmtId="9" fontId="22" fillId="18" borderId="0" xfId="5" applyNumberFormat="1" applyFont="1" applyFill="1" applyAlignment="1">
      <alignment horizontal="center" vertical="center"/>
    </xf>
    <xf numFmtId="0" fontId="3" fillId="18" borderId="0" xfId="5" applyFont="1" applyFill="1" applyAlignment="1">
      <alignment horizontal="center" vertical="center"/>
    </xf>
    <xf numFmtId="0" fontId="13" fillId="18" borderId="0" xfId="5" applyFont="1" applyFill="1" applyAlignment="1">
      <alignment horizontal="center" vertical="center"/>
    </xf>
    <xf numFmtId="1" fontId="3" fillId="18" borderId="0" xfId="5" applyNumberFormat="1" applyFont="1" applyFill="1" applyAlignment="1">
      <alignment horizontal="center" vertical="center"/>
    </xf>
    <xf numFmtId="0" fontId="0" fillId="18" borderId="6" xfId="0" applyFill="1" applyBorder="1"/>
    <xf numFmtId="0" fontId="0" fillId="18" borderId="0" xfId="0" applyFill="1"/>
    <xf numFmtId="170" fontId="16" fillId="0" borderId="44" xfId="5" applyNumberFormat="1" applyFont="1" applyBorder="1" applyAlignment="1">
      <alignment horizontal="center" vertical="center"/>
    </xf>
    <xf numFmtId="170" fontId="16" fillId="12" borderId="46" xfId="5" applyNumberFormat="1" applyFont="1" applyFill="1" applyBorder="1" applyAlignment="1">
      <alignment horizontal="center" vertical="center"/>
    </xf>
    <xf numFmtId="170" fontId="16" fillId="12" borderId="45" xfId="5" applyNumberFormat="1" applyFont="1" applyFill="1" applyBorder="1" applyAlignment="1">
      <alignment horizontal="center" vertical="center"/>
    </xf>
    <xf numFmtId="170" fontId="16" fillId="0" borderId="46" xfId="5" applyNumberFormat="1" applyFont="1" applyBorder="1" applyAlignment="1">
      <alignment horizontal="center" vertical="center"/>
    </xf>
    <xf numFmtId="170" fontId="16" fillId="12" borderId="44" xfId="5" applyNumberFormat="1" applyFont="1" applyFill="1" applyBorder="1" applyAlignment="1">
      <alignment horizontal="center" vertical="center"/>
    </xf>
    <xf numFmtId="0" fontId="57" fillId="13" borderId="31" xfId="7" applyFont="1" applyFill="1" applyBorder="1" applyAlignment="1">
      <alignment horizontal="center" vertical="top"/>
    </xf>
    <xf numFmtId="0" fontId="57" fillId="13" borderId="32" xfId="7" applyFont="1" applyFill="1" applyBorder="1" applyAlignment="1">
      <alignment horizontal="center" vertical="top"/>
    </xf>
    <xf numFmtId="0" fontId="61" fillId="13" borderId="32" xfId="7" applyFont="1" applyFill="1" applyBorder="1" applyAlignment="1">
      <alignment horizontal="center" vertical="top" wrapText="1"/>
    </xf>
    <xf numFmtId="0" fontId="57" fillId="13" borderId="32" xfId="7" applyFont="1" applyFill="1" applyBorder="1" applyAlignment="1">
      <alignment horizontal="left" vertical="top"/>
    </xf>
    <xf numFmtId="0" fontId="60" fillId="13" borderId="32" xfId="7" applyFont="1" applyFill="1" applyBorder="1" applyAlignment="1">
      <alignment horizontal="left" vertical="top"/>
    </xf>
    <xf numFmtId="0" fontId="57" fillId="13" borderId="32" xfId="7" applyFont="1" applyFill="1" applyBorder="1" applyAlignment="1">
      <alignment horizontal="left" vertical="top" wrapText="1"/>
    </xf>
    <xf numFmtId="0" fontId="58" fillId="13" borderId="32" xfId="7" applyFont="1" applyFill="1" applyBorder="1" applyAlignment="1">
      <alignment vertical="top" wrapText="1"/>
    </xf>
    <xf numFmtId="169" fontId="58" fillId="13" borderId="32" xfId="7" applyNumberFormat="1" applyFont="1" applyFill="1" applyBorder="1" applyAlignment="1">
      <alignment horizontal="center" vertical="top" shrinkToFit="1"/>
    </xf>
    <xf numFmtId="0" fontId="58" fillId="13" borderId="32" xfId="7" applyFont="1" applyFill="1" applyBorder="1" applyAlignment="1">
      <alignment horizontal="left" vertical="top" wrapText="1"/>
    </xf>
    <xf numFmtId="14" fontId="58" fillId="13" borderId="32" xfId="7" applyNumberFormat="1" applyFont="1" applyFill="1" applyBorder="1" applyAlignment="1">
      <alignment horizontal="left" vertical="top" wrapText="1"/>
    </xf>
    <xf numFmtId="49" fontId="31" fillId="0" borderId="16" xfId="0" applyNumberFormat="1" applyFont="1" applyBorder="1" applyAlignment="1">
      <alignment vertical="top"/>
    </xf>
    <xf numFmtId="0" fontId="31" fillId="0" borderId="16" xfId="0" applyFont="1" applyBorder="1" applyAlignment="1">
      <alignment vertical="top"/>
    </xf>
    <xf numFmtId="49" fontId="31" fillId="0" borderId="16" xfId="0" applyNumberFormat="1" applyFont="1" applyBorder="1" applyAlignment="1">
      <alignment vertical="top" wrapText="1"/>
    </xf>
    <xf numFmtId="0" fontId="31" fillId="0" borderId="16" xfId="0" applyFont="1" applyBorder="1" applyAlignment="1">
      <alignment vertical="top" wrapText="1"/>
    </xf>
    <xf numFmtId="0" fontId="31" fillId="0" borderId="0" xfId="0" applyFont="1" applyAlignment="1">
      <alignment vertical="top"/>
    </xf>
    <xf numFmtId="0" fontId="61" fillId="13" borderId="31" xfId="7" applyFont="1" applyFill="1" applyBorder="1" applyAlignment="1">
      <alignment horizontal="center" vertical="top" wrapText="1"/>
    </xf>
    <xf numFmtId="0" fontId="57" fillId="13" borderId="31" xfId="7" applyFont="1" applyFill="1" applyBorder="1" applyAlignment="1">
      <alignment horizontal="left" vertical="top"/>
    </xf>
    <xf numFmtId="0" fontId="60" fillId="13" borderId="31" xfId="7" applyFont="1" applyFill="1" applyBorder="1" applyAlignment="1">
      <alignment horizontal="left" vertical="top"/>
    </xf>
    <xf numFmtId="0" fontId="57" fillId="13" borderId="31" xfId="7" applyFont="1" applyFill="1" applyBorder="1" applyAlignment="1">
      <alignment horizontal="left" vertical="top" wrapText="1"/>
    </xf>
    <xf numFmtId="0" fontId="58" fillId="13" borderId="31" xfId="7" applyFont="1" applyFill="1" applyBorder="1" applyAlignment="1">
      <alignment vertical="top" wrapText="1"/>
    </xf>
    <xf numFmtId="169" fontId="58" fillId="13" borderId="31" xfId="7" applyNumberFormat="1" applyFont="1" applyFill="1" applyBorder="1" applyAlignment="1">
      <alignment horizontal="center" vertical="top" shrinkToFit="1"/>
    </xf>
    <xf numFmtId="0" fontId="58" fillId="13" borderId="31" xfId="7" applyFont="1" applyFill="1" applyBorder="1" applyAlignment="1">
      <alignment horizontal="left" vertical="top" wrapText="1"/>
    </xf>
    <xf numFmtId="14" fontId="58" fillId="13" borderId="31" xfId="7" applyNumberFormat="1" applyFont="1" applyFill="1" applyBorder="1" applyAlignment="1">
      <alignment horizontal="left" vertical="top" wrapText="1"/>
    </xf>
    <xf numFmtId="0" fontId="26" fillId="0" borderId="16" xfId="0" applyFont="1" applyBorder="1" applyAlignment="1">
      <alignment horizontal="right" vertical="top"/>
    </xf>
    <xf numFmtId="0" fontId="26" fillId="0" borderId="4" xfId="0" applyFont="1" applyBorder="1" applyAlignment="1">
      <alignment horizontal="right" vertical="top"/>
    </xf>
    <xf numFmtId="0" fontId="31" fillId="0" borderId="4" xfId="0" applyFont="1" applyBorder="1" applyAlignment="1">
      <alignment vertical="top"/>
    </xf>
    <xf numFmtId="0" fontId="31" fillId="0" borderId="4" xfId="0" applyFont="1" applyBorder="1" applyAlignment="1">
      <alignment vertical="top" wrapText="1"/>
    </xf>
    <xf numFmtId="0" fontId="31" fillId="0" borderId="9" xfId="0" applyFont="1" applyBorder="1" applyAlignment="1">
      <alignment vertical="top"/>
    </xf>
    <xf numFmtId="0" fontId="31" fillId="0" borderId="9" xfId="0" applyFont="1" applyBorder="1" applyAlignment="1">
      <alignment vertical="top" wrapText="1"/>
    </xf>
    <xf numFmtId="0" fontId="26" fillId="0" borderId="32" xfId="0" applyFont="1" applyBorder="1" applyAlignment="1">
      <alignment horizontal="right" vertical="top"/>
    </xf>
    <xf numFmtId="0" fontId="31" fillId="0" borderId="32" xfId="0" applyFont="1" applyBorder="1" applyAlignment="1">
      <alignment vertical="top"/>
    </xf>
    <xf numFmtId="0" fontId="31" fillId="0" borderId="32" xfId="0" applyFont="1" applyBorder="1" applyAlignment="1">
      <alignment vertical="top" wrapText="1"/>
    </xf>
    <xf numFmtId="0" fontId="26" fillId="0" borderId="16" xfId="0" applyFont="1" applyBorder="1" applyAlignment="1">
      <alignment vertical="top"/>
    </xf>
    <xf numFmtId="0" fontId="26" fillId="0" borderId="71" xfId="0" applyFont="1" applyBorder="1" applyAlignment="1">
      <alignment vertical="top"/>
    </xf>
    <xf numFmtId="0" fontId="31" fillId="0" borderId="71" xfId="0" applyFont="1" applyBorder="1" applyAlignment="1">
      <alignment vertical="top"/>
    </xf>
    <xf numFmtId="0" fontId="31" fillId="0" borderId="3" xfId="0" applyFont="1" applyBorder="1" applyAlignment="1">
      <alignment vertical="top"/>
    </xf>
    <xf numFmtId="49" fontId="31" fillId="0" borderId="71" xfId="0" applyNumberFormat="1" applyFont="1" applyBorder="1" applyAlignment="1">
      <alignment vertical="top" wrapText="1"/>
    </xf>
    <xf numFmtId="49" fontId="26" fillId="0" borderId="71" xfId="0" applyNumberFormat="1" applyFont="1" applyBorder="1" applyAlignment="1">
      <alignment vertical="top" wrapText="1"/>
    </xf>
    <xf numFmtId="0" fontId="17" fillId="9" borderId="0" xfId="8" applyFont="1" applyFill="1" applyAlignment="1">
      <alignment vertical="center" wrapText="1"/>
    </xf>
    <xf numFmtId="170" fontId="16" fillId="0" borderId="30" xfId="5" applyNumberFormat="1" applyFont="1" applyBorder="1" applyAlignment="1">
      <alignment horizontal="center" vertical="center"/>
    </xf>
    <xf numFmtId="0" fontId="5" fillId="10" borderId="0" xfId="5" applyFill="1" applyAlignment="1">
      <alignment horizontal="right"/>
    </xf>
    <xf numFmtId="0" fontId="5" fillId="10" borderId="2" xfId="5" applyFill="1" applyBorder="1" applyAlignment="1">
      <alignment horizontal="right"/>
    </xf>
    <xf numFmtId="1" fontId="10" fillId="0" borderId="0" xfId="5" applyNumberFormat="1" applyFont="1" applyAlignment="1">
      <alignment horizontal="center"/>
    </xf>
    <xf numFmtId="0" fontId="8" fillId="11" borderId="48" xfId="2" applyFont="1" applyFill="1" applyBorder="1" applyAlignment="1">
      <alignment horizontal="left" vertical="center"/>
    </xf>
    <xf numFmtId="0" fontId="8" fillId="0" borderId="0" xfId="2" applyFont="1" applyAlignment="1">
      <alignment horizontal="right" vertical="center"/>
    </xf>
    <xf numFmtId="0" fontId="8" fillId="0" borderId="0" xfId="7" applyFont="1" applyAlignment="1">
      <alignment horizontal="right" vertical="top"/>
    </xf>
    <xf numFmtId="0" fontId="8" fillId="0" borderId="0" xfId="7" applyFont="1" applyAlignment="1">
      <alignment horizontal="right"/>
    </xf>
    <xf numFmtId="0" fontId="26" fillId="12" borderId="67" xfId="0" applyFont="1" applyFill="1" applyBorder="1" applyAlignment="1" applyProtection="1">
      <alignment horizontal="center" vertical="center" shrinkToFit="1"/>
      <protection locked="0"/>
    </xf>
    <xf numFmtId="0" fontId="26" fillId="12" borderId="73" xfId="0" applyFont="1" applyFill="1" applyBorder="1" applyAlignment="1" applyProtection="1">
      <alignment horizontal="center" vertical="center" shrinkToFit="1"/>
      <protection locked="0"/>
    </xf>
    <xf numFmtId="0" fontId="25" fillId="11" borderId="62" xfId="7" applyFont="1" applyFill="1" applyBorder="1" applyAlignment="1">
      <alignment vertical="center"/>
    </xf>
    <xf numFmtId="0" fontId="8" fillId="15" borderId="50" xfId="3" applyFont="1" applyFill="1" applyBorder="1" applyAlignment="1" applyProtection="1">
      <alignment horizontal="left" wrapText="1"/>
      <protection locked="0"/>
    </xf>
    <xf numFmtId="0" fontId="75" fillId="0" borderId="14" xfId="2" applyFont="1" applyBorder="1" applyAlignment="1">
      <alignment horizontal="right" wrapText="1"/>
    </xf>
    <xf numFmtId="1" fontId="5" fillId="0" borderId="14" xfId="5" applyNumberFormat="1" applyBorder="1" applyAlignment="1">
      <alignment horizontal="center" vertical="center"/>
    </xf>
    <xf numFmtId="9" fontId="8" fillId="9" borderId="0" xfId="5" applyNumberFormat="1" applyFont="1" applyFill="1" applyAlignment="1">
      <alignment horizontal="center" vertical="center" wrapText="1"/>
    </xf>
    <xf numFmtId="0" fontId="46" fillId="9" borderId="0" xfId="0" applyFont="1" applyFill="1" applyAlignment="1">
      <alignment horizontal="center" vertical="center"/>
    </xf>
    <xf numFmtId="0" fontId="17" fillId="9" borderId="0" xfId="0" applyFont="1" applyFill="1" applyAlignment="1">
      <alignment horizontal="center" vertical="center" wrapText="1"/>
    </xf>
    <xf numFmtId="0" fontId="31" fillId="9" borderId="0" xfId="5" applyFont="1" applyFill="1" applyAlignment="1">
      <alignment horizontal="center"/>
    </xf>
    <xf numFmtId="14" fontId="4" fillId="0" borderId="0" xfId="2" applyNumberFormat="1" applyFont="1" applyAlignment="1">
      <alignment horizontal="center" vertical="top"/>
    </xf>
    <xf numFmtId="0" fontId="26" fillId="0" borderId="0" xfId="2" applyFont="1" applyAlignment="1">
      <alignment horizontal="left" vertical="center" wrapText="1"/>
    </xf>
    <xf numFmtId="0" fontId="4" fillId="0" borderId="106" xfId="2" applyFont="1" applyBorder="1" applyAlignment="1">
      <alignment horizontal="left" vertical="center"/>
    </xf>
    <xf numFmtId="0" fontId="26" fillId="0" borderId="0" xfId="2" applyFont="1" applyAlignment="1">
      <alignment horizontal="left" vertical="center"/>
    </xf>
    <xf numFmtId="0" fontId="25" fillId="11" borderId="32" xfId="7" applyFont="1" applyFill="1" applyBorder="1" applyAlignment="1">
      <alignment horizontal="center" vertical="center"/>
    </xf>
    <xf numFmtId="0" fontId="3" fillId="17" borderId="0" xfId="5" applyFont="1" applyFill="1" applyAlignment="1">
      <alignment horizontal="center"/>
    </xf>
    <xf numFmtId="0" fontId="3" fillId="19" borderId="0" xfId="5" applyFont="1" applyFill="1" applyAlignment="1">
      <alignment horizontal="center"/>
    </xf>
    <xf numFmtId="49" fontId="10" fillId="0" borderId="13" xfId="5" quotePrefix="1" applyNumberFormat="1" applyFont="1" applyBorder="1" applyAlignment="1">
      <alignment vertical="center"/>
    </xf>
    <xf numFmtId="49" fontId="10" fillId="0" borderId="11" xfId="5" applyNumberFormat="1" applyFont="1" applyBorder="1" applyAlignment="1">
      <alignment vertical="center"/>
    </xf>
    <xf numFmtId="49" fontId="10" fillId="0" borderId="11" xfId="5" quotePrefix="1" applyNumberFormat="1" applyFont="1" applyBorder="1" applyAlignment="1">
      <alignment vertical="center"/>
    </xf>
    <xf numFmtId="49" fontId="10" fillId="12" borderId="34" xfId="5" quotePrefix="1" applyNumberFormat="1" applyFont="1" applyFill="1" applyBorder="1" applyAlignment="1">
      <alignment vertical="center"/>
    </xf>
    <xf numFmtId="0" fontId="10" fillId="0" borderId="6" xfId="5" applyFont="1" applyBorder="1" applyAlignment="1">
      <alignment horizontal="center"/>
    </xf>
    <xf numFmtId="0" fontId="3" fillId="19" borderId="6" xfId="5" applyFont="1" applyFill="1" applyBorder="1" applyAlignment="1">
      <alignment horizontal="center"/>
    </xf>
    <xf numFmtId="0" fontId="17" fillId="0" borderId="15" xfId="5" applyFont="1" applyBorder="1" applyAlignment="1">
      <alignment horizontal="left" vertical="center"/>
    </xf>
    <xf numFmtId="0" fontId="17" fillId="0" borderId="9" xfId="5" applyFont="1" applyBorder="1" applyAlignment="1">
      <alignment horizontal="center" vertical="center"/>
    </xf>
    <xf numFmtId="0" fontId="9" fillId="0" borderId="9" xfId="5" applyFont="1" applyBorder="1"/>
    <xf numFmtId="49" fontId="10" fillId="12" borderId="11" xfId="5" quotePrefix="1" applyNumberFormat="1" applyFont="1" applyFill="1" applyBorder="1" applyAlignment="1">
      <alignment vertical="center"/>
    </xf>
    <xf numFmtId="49" fontId="10" fillId="0" borderId="34" xfId="5" quotePrefix="1" applyNumberFormat="1" applyFont="1" applyBorder="1" applyAlignment="1">
      <alignment vertical="center"/>
    </xf>
    <xf numFmtId="0" fontId="5" fillId="0" borderId="7" xfId="5" applyBorder="1" applyAlignment="1">
      <alignment vertical="center"/>
    </xf>
    <xf numFmtId="0" fontId="3" fillId="0" borderId="9" xfId="5" applyFont="1" applyBorder="1" applyAlignment="1">
      <alignment horizontal="center" vertical="center"/>
    </xf>
    <xf numFmtId="0" fontId="10" fillId="0" borderId="7" xfId="5" applyFont="1" applyBorder="1" applyAlignment="1">
      <alignment horizontal="center"/>
    </xf>
    <xf numFmtId="0" fontId="3" fillId="17" borderId="7" xfId="5" applyFont="1" applyFill="1" applyBorder="1" applyAlignment="1">
      <alignment horizontal="center"/>
    </xf>
    <xf numFmtId="0" fontId="3" fillId="0" borderId="9" xfId="5" applyFont="1" applyBorder="1" applyAlignment="1">
      <alignment horizontal="left" vertical="center"/>
    </xf>
    <xf numFmtId="49" fontId="10" fillId="12" borderId="13" xfId="5" quotePrefix="1" applyNumberFormat="1" applyFont="1" applyFill="1" applyBorder="1" applyAlignment="1">
      <alignment vertical="center"/>
    </xf>
    <xf numFmtId="1" fontId="3" fillId="0" borderId="15" xfId="5" applyNumberFormat="1" applyFont="1" applyBorder="1" applyAlignment="1">
      <alignment horizontal="center" vertical="center"/>
    </xf>
    <xf numFmtId="0" fontId="5" fillId="0" borderId="9" xfId="5" applyBorder="1"/>
    <xf numFmtId="49" fontId="15" fillId="0" borderId="13" xfId="5" quotePrefix="1" applyNumberFormat="1" applyFont="1" applyBorder="1" applyAlignment="1">
      <alignment horizontal="center" vertical="center" shrinkToFit="1"/>
    </xf>
    <xf numFmtId="49" fontId="15" fillId="0" borderId="11" xfId="5" quotePrefix="1" applyNumberFormat="1" applyFont="1" applyBorder="1" applyAlignment="1">
      <alignment horizontal="center" vertical="center" shrinkToFit="1"/>
    </xf>
    <xf numFmtId="49" fontId="15" fillId="0" borderId="34" xfId="5" quotePrefix="1" applyNumberFormat="1" applyFont="1" applyBorder="1" applyAlignment="1">
      <alignment horizontal="center" vertical="center" shrinkToFit="1"/>
    </xf>
    <xf numFmtId="1" fontId="13" fillId="0" borderId="6" xfId="5" applyNumberFormat="1" applyFont="1" applyBorder="1" applyAlignment="1">
      <alignment horizontal="center"/>
    </xf>
    <xf numFmtId="1" fontId="9" fillId="0" borderId="9" xfId="5" applyNumberFormat="1" applyFont="1" applyBorder="1" applyAlignment="1">
      <alignment horizontal="center"/>
    </xf>
    <xf numFmtId="0" fontId="3" fillId="19" borderId="7" xfId="5" applyFont="1" applyFill="1" applyBorder="1" applyAlignment="1">
      <alignment horizontal="center"/>
    </xf>
    <xf numFmtId="0" fontId="4" fillId="18" borderId="0" xfId="5" applyFont="1" applyFill="1" applyAlignment="1">
      <alignment horizontal="center" vertical="center"/>
    </xf>
    <xf numFmtId="1" fontId="13" fillId="18" borderId="14" xfId="5" applyNumberFormat="1" applyFont="1" applyFill="1" applyBorder="1" applyAlignment="1">
      <alignment horizontal="center" vertical="center"/>
    </xf>
    <xf numFmtId="0" fontId="6" fillId="15" borderId="42" xfId="3" applyFont="1" applyFill="1" applyBorder="1" applyAlignment="1" applyProtection="1">
      <alignment horizontal="center" wrapText="1"/>
      <protection locked="0"/>
    </xf>
    <xf numFmtId="0" fontId="6" fillId="15" borderId="14" xfId="3" applyFont="1" applyFill="1" applyBorder="1" applyAlignment="1" applyProtection="1">
      <alignment horizontal="center" wrapText="1"/>
      <protection locked="0"/>
    </xf>
    <xf numFmtId="0" fontId="8" fillId="0" borderId="0" xfId="3" applyFont="1" applyAlignment="1">
      <alignment horizontal="right" wrapText="1"/>
    </xf>
    <xf numFmtId="0" fontId="6" fillId="0" borderId="11" xfId="3" applyFont="1" applyBorder="1"/>
    <xf numFmtId="0" fontId="31" fillId="0" borderId="92" xfId="3" applyFont="1" applyBorder="1" applyAlignment="1">
      <alignment wrapText="1"/>
    </xf>
    <xf numFmtId="0" fontId="6" fillId="0" borderId="0" xfId="3" applyFont="1" applyAlignment="1">
      <alignment horizontal="right"/>
    </xf>
    <xf numFmtId="0" fontId="31" fillId="0" borderId="0" xfId="3" applyFont="1" applyAlignment="1">
      <alignment vertical="top" wrapText="1"/>
    </xf>
    <xf numFmtId="0" fontId="31" fillId="0" borderId="0" xfId="3" applyFont="1" applyAlignment="1">
      <alignment horizontal="right" vertical="top" wrapText="1"/>
    </xf>
    <xf numFmtId="0" fontId="31" fillId="0" borderId="39" xfId="3" applyFont="1" applyBorder="1" applyAlignment="1">
      <alignment wrapText="1"/>
    </xf>
    <xf numFmtId="0" fontId="31" fillId="0" borderId="8" xfId="3" applyFont="1" applyBorder="1" applyAlignment="1">
      <alignment wrapText="1"/>
    </xf>
    <xf numFmtId="0" fontId="8" fillId="0" borderId="0" xfId="3" applyFont="1" applyAlignment="1">
      <alignment wrapText="1"/>
    </xf>
    <xf numFmtId="0" fontId="26" fillId="0" borderId="0" xfId="3" applyFont="1" applyAlignment="1">
      <alignment horizontal="right" wrapText="1"/>
    </xf>
    <xf numFmtId="0" fontId="25" fillId="0" borderId="4" xfId="3" applyFont="1" applyBorder="1" applyAlignment="1">
      <alignment horizontal="center" wrapText="1"/>
    </xf>
    <xf numFmtId="0" fontId="25" fillId="0" borderId="99" xfId="3" applyFont="1" applyBorder="1" applyAlignment="1">
      <alignment horizontal="center"/>
    </xf>
    <xf numFmtId="0" fontId="8" fillId="0" borderId="4" xfId="3" applyFont="1" applyBorder="1" applyAlignment="1">
      <alignment horizontal="center" vertical="top" wrapText="1"/>
    </xf>
    <xf numFmtId="0" fontId="26" fillId="0" borderId="0" xfId="3" applyFont="1"/>
    <xf numFmtId="0" fontId="26" fillId="0" borderId="0" xfId="3" applyFont="1" applyAlignment="1">
      <alignment horizontal="left" wrapText="1"/>
    </xf>
    <xf numFmtId="0" fontId="25" fillId="0" borderId="0" xfId="3" applyFont="1" applyAlignment="1">
      <alignment horizontal="right" wrapText="1"/>
    </xf>
    <xf numFmtId="0" fontId="8" fillId="0" borderId="4" xfId="3" applyFont="1" applyBorder="1" applyAlignment="1">
      <alignment horizontal="right" vertical="top" wrapText="1"/>
    </xf>
    <xf numFmtId="0" fontId="8" fillId="0" borderId="0" xfId="3" applyFont="1"/>
    <xf numFmtId="0" fontId="26" fillId="0" borderId="0" xfId="3" applyFont="1" applyAlignment="1">
      <alignment horizontal="right"/>
    </xf>
    <xf numFmtId="0" fontId="9" fillId="0" borderId="6" xfId="3" applyFont="1" applyBorder="1"/>
    <xf numFmtId="0" fontId="8" fillId="0" borderId="0" xfId="3" applyFont="1" applyAlignment="1">
      <alignment horizontal="center" wrapText="1"/>
    </xf>
    <xf numFmtId="0" fontId="8" fillId="0" borderId="6" xfId="3" applyFont="1" applyBorder="1" applyAlignment="1">
      <alignment horizontal="left" wrapText="1"/>
    </xf>
    <xf numFmtId="0" fontId="8" fillId="0" borderId="0" xfId="3" applyFont="1" applyAlignment="1">
      <alignment horizontal="left" wrapText="1"/>
    </xf>
    <xf numFmtId="0" fontId="4" fillId="0" borderId="104" xfId="0" applyFont="1" applyBorder="1"/>
    <xf numFmtId="0" fontId="27" fillId="0" borderId="82" xfId="0" applyFont="1" applyBorder="1" applyAlignment="1">
      <alignment wrapText="1" shrinkToFit="1"/>
    </xf>
    <xf numFmtId="1" fontId="31" fillId="0" borderId="82" xfId="0" applyNumberFormat="1" applyFont="1" applyBorder="1" applyAlignment="1">
      <alignment horizontal="right"/>
    </xf>
    <xf numFmtId="0" fontId="31" fillId="0" borderId="0" xfId="0" applyFont="1" applyAlignment="1">
      <alignment vertical="top" wrapText="1" shrinkToFit="1"/>
    </xf>
    <xf numFmtId="1" fontId="31" fillId="0" borderId="0" xfId="0" applyNumberFormat="1" applyFont="1" applyAlignment="1">
      <alignment horizontal="right" vertical="top"/>
    </xf>
    <xf numFmtId="0" fontId="31" fillId="0" borderId="0" xfId="0" applyFont="1" applyAlignment="1">
      <alignment wrapText="1" shrinkToFit="1"/>
    </xf>
    <xf numFmtId="1" fontId="0" fillId="0" borderId="0" xfId="0" applyNumberFormat="1" applyAlignment="1">
      <alignment vertical="top" wrapText="1" shrinkToFit="1"/>
    </xf>
    <xf numFmtId="0" fontId="0" fillId="0" borderId="0" xfId="0" applyAlignment="1">
      <alignment vertical="top"/>
    </xf>
    <xf numFmtId="0" fontId="0" fillId="0" borderId="0" xfId="0" applyAlignment="1">
      <alignment wrapText="1" shrinkToFit="1"/>
    </xf>
    <xf numFmtId="1" fontId="0" fillId="0" borderId="0" xfId="0" applyNumberFormat="1" applyAlignment="1">
      <alignment wrapText="1" shrinkToFit="1"/>
    </xf>
    <xf numFmtId="0" fontId="25" fillId="0" borderId="0" xfId="0" applyFont="1" applyAlignment="1">
      <alignment wrapText="1" shrinkToFit="1"/>
    </xf>
    <xf numFmtId="1" fontId="31" fillId="0" borderId="0" xfId="0" applyNumberFormat="1" applyFont="1" applyAlignment="1">
      <alignment wrapText="1" shrinkToFit="1"/>
    </xf>
    <xf numFmtId="49" fontId="0" fillId="0" borderId="75" xfId="0" applyNumberFormat="1" applyBorder="1"/>
    <xf numFmtId="49" fontId="0" fillId="0" borderId="2" xfId="0" applyNumberFormat="1" applyBorder="1" applyAlignment="1">
      <alignment horizontal="center"/>
    </xf>
    <xf numFmtId="0" fontId="0" fillId="0" borderId="1" xfId="0" applyBorder="1" applyAlignment="1">
      <alignment wrapText="1" shrinkToFit="1"/>
    </xf>
    <xf numFmtId="49" fontId="25" fillId="0" borderId="76" xfId="0" applyNumberFormat="1" applyFont="1" applyBorder="1" applyAlignment="1">
      <alignment vertical="top"/>
    </xf>
    <xf numFmtId="49" fontId="8" fillId="0" borderId="30" xfId="0" applyNumberFormat="1" applyFont="1" applyBorder="1" applyAlignment="1">
      <alignment horizontal="center" vertical="center" textRotation="90"/>
    </xf>
    <xf numFmtId="0" fontId="25" fillId="0" borderId="30" xfId="0" applyFont="1" applyBorder="1" applyAlignment="1">
      <alignment vertical="top" wrapText="1" shrinkToFit="1"/>
    </xf>
    <xf numFmtId="1" fontId="8" fillId="0" borderId="30" xfId="0" applyNumberFormat="1" applyFont="1" applyBorder="1" applyAlignment="1">
      <alignment horizontal="center" wrapText="1" shrinkToFit="1"/>
    </xf>
    <xf numFmtId="49" fontId="0" fillId="0" borderId="77" xfId="0" applyNumberFormat="1" applyBorder="1"/>
    <xf numFmtId="0" fontId="25" fillId="0" borderId="0" xfId="0" applyFont="1" applyAlignment="1">
      <alignment horizontal="right" wrapText="1" shrinkToFit="1"/>
    </xf>
    <xf numFmtId="0" fontId="26" fillId="0" borderId="6" xfId="0" applyFont="1" applyBorder="1" applyAlignment="1">
      <alignment wrapText="1" shrinkToFit="1"/>
    </xf>
    <xf numFmtId="49" fontId="56" fillId="13" borderId="15" xfId="0" applyNumberFormat="1" applyFont="1" applyFill="1" applyBorder="1" applyAlignment="1">
      <alignment horizontal="center" vertical="center"/>
    </xf>
    <xf numFmtId="168" fontId="57" fillId="13" borderId="47" xfId="0" applyNumberFormat="1" applyFont="1" applyFill="1" applyBorder="1" applyAlignment="1">
      <alignment horizontal="center" vertical="center" textRotation="90"/>
    </xf>
    <xf numFmtId="0" fontId="56" fillId="13" borderId="47" xfId="0" applyFont="1" applyFill="1" applyBorder="1" applyAlignment="1">
      <alignment horizontal="left" vertical="center" wrapText="1" indent="3" shrinkToFit="1"/>
    </xf>
    <xf numFmtId="1" fontId="57" fillId="13" borderId="30" xfId="0" applyNumberFormat="1" applyFont="1" applyFill="1" applyBorder="1" applyAlignment="1">
      <alignment horizontal="center" vertical="center" textRotation="90" shrinkToFit="1"/>
    </xf>
    <xf numFmtId="1" fontId="57" fillId="14" borderId="47" xfId="0" applyNumberFormat="1" applyFont="1" applyFill="1" applyBorder="1" applyAlignment="1">
      <alignment horizontal="left" vertical="center" wrapText="1" shrinkToFit="1"/>
    </xf>
    <xf numFmtId="49" fontId="25" fillId="0" borderId="79" xfId="0" applyNumberFormat="1" applyFont="1" applyBorder="1" applyAlignment="1">
      <alignment vertical="top"/>
    </xf>
    <xf numFmtId="49" fontId="25" fillId="0" borderId="4" xfId="0" applyNumberFormat="1" applyFont="1" applyBorder="1" applyAlignment="1">
      <alignment horizontal="center" vertical="top"/>
    </xf>
    <xf numFmtId="0" fontId="26" fillId="0" borderId="42" xfId="0" applyFont="1" applyBorder="1" applyAlignment="1">
      <alignment vertical="top" wrapText="1" shrinkToFit="1"/>
    </xf>
    <xf numFmtId="49" fontId="25" fillId="0" borderId="80" xfId="0" applyNumberFormat="1" applyFont="1" applyBorder="1" applyAlignment="1">
      <alignment vertical="top"/>
    </xf>
    <xf numFmtId="0" fontId="26" fillId="0" borderId="14" xfId="0" applyFont="1" applyBorder="1" applyAlignment="1">
      <alignment vertical="top" wrapText="1" shrinkToFit="1"/>
    </xf>
    <xf numFmtId="49" fontId="25" fillId="7" borderId="80" xfId="0" applyNumberFormat="1" applyFont="1" applyFill="1" applyBorder="1" applyAlignment="1">
      <alignment vertical="top"/>
    </xf>
    <xf numFmtId="49" fontId="25" fillId="7" borderId="4" xfId="0" applyNumberFormat="1" applyFont="1" applyFill="1" applyBorder="1" applyAlignment="1">
      <alignment horizontal="center" vertical="top"/>
    </xf>
    <xf numFmtId="49" fontId="25" fillId="0" borderId="81" xfId="0" applyNumberFormat="1" applyFont="1" applyBorder="1" applyAlignment="1">
      <alignment vertical="top"/>
    </xf>
    <xf numFmtId="49" fontId="25" fillId="0" borderId="0" xfId="0" applyNumberFormat="1" applyFont="1" applyAlignment="1">
      <alignment horizontal="center" vertical="top"/>
    </xf>
    <xf numFmtId="0" fontId="26" fillId="0" borderId="67" xfId="0" applyFont="1" applyBorder="1" applyAlignment="1">
      <alignment vertical="top" wrapText="1" shrinkToFit="1"/>
    </xf>
    <xf numFmtId="0" fontId="57" fillId="13" borderId="24" xfId="0" applyFont="1" applyFill="1" applyBorder="1" applyAlignment="1">
      <alignment wrapText="1"/>
    </xf>
    <xf numFmtId="1" fontId="57" fillId="14" borderId="24" xfId="0" applyNumberFormat="1" applyFont="1" applyFill="1" applyBorder="1" applyAlignment="1">
      <alignment horizontal="left" vertical="top" wrapText="1" shrinkToFit="1"/>
    </xf>
    <xf numFmtId="0" fontId="59" fillId="0" borderId="0" xfId="0" applyFont="1" applyAlignment="1">
      <alignment vertical="top"/>
    </xf>
    <xf numFmtId="168" fontId="60" fillId="13" borderId="47" xfId="0" applyNumberFormat="1" applyFont="1" applyFill="1" applyBorder="1" applyAlignment="1">
      <alignment vertical="center" textRotation="90"/>
    </xf>
    <xf numFmtId="0" fontId="57" fillId="13" borderId="47" xfId="0" applyFont="1" applyFill="1" applyBorder="1" applyAlignment="1">
      <alignment wrapText="1"/>
    </xf>
    <xf numFmtId="1" fontId="57" fillId="14" borderId="28" xfId="0" applyNumberFormat="1" applyFont="1" applyFill="1" applyBorder="1" applyAlignment="1">
      <alignment horizontal="left" vertical="top" wrapText="1" shrinkToFit="1"/>
    </xf>
    <xf numFmtId="0" fontId="25" fillId="0" borderId="87" xfId="0" applyFont="1" applyBorder="1" applyAlignment="1">
      <alignment vertical="top" wrapText="1" shrinkToFit="1"/>
    </xf>
    <xf numFmtId="0" fontId="25" fillId="0" borderId="73" xfId="0" applyFont="1" applyBorder="1" applyAlignment="1">
      <alignment horizontal="center" vertical="top" wrapText="1" shrinkToFit="1"/>
    </xf>
    <xf numFmtId="0" fontId="26" fillId="0" borderId="73" xfId="0" applyFont="1" applyBorder="1" applyAlignment="1">
      <alignment vertical="top" wrapText="1" shrinkToFit="1"/>
    </xf>
    <xf numFmtId="0" fontId="25" fillId="0" borderId="80" xfId="0" applyFont="1" applyBorder="1" applyAlignment="1">
      <alignment vertical="top" wrapText="1" shrinkToFit="1"/>
    </xf>
    <xf numFmtId="0" fontId="25" fillId="0" borderId="14" xfId="0" applyFont="1" applyBorder="1" applyAlignment="1">
      <alignment horizontal="center" vertical="top" wrapText="1" shrinkToFit="1"/>
    </xf>
    <xf numFmtId="0" fontId="26" fillId="0" borderId="14" xfId="0" applyFont="1" applyBorder="1" applyAlignment="1">
      <alignment horizontal="right" vertical="top" wrapText="1" shrinkToFit="1"/>
    </xf>
    <xf numFmtId="0" fontId="25" fillId="0" borderId="88" xfId="0" applyFont="1" applyBorder="1" applyAlignment="1">
      <alignment vertical="top" wrapText="1" shrinkToFit="1"/>
    </xf>
    <xf numFmtId="0" fontId="25" fillId="0" borderId="65" xfId="0" applyFont="1" applyBorder="1" applyAlignment="1">
      <alignment horizontal="center" vertical="top" wrapText="1" shrinkToFit="1"/>
    </xf>
    <xf numFmtId="0" fontId="26" fillId="0" borderId="65" xfId="0" applyFont="1" applyBorder="1" applyAlignment="1">
      <alignment horizontal="right" vertical="top" wrapText="1" shrinkToFit="1"/>
    </xf>
    <xf numFmtId="0" fontId="25" fillId="7" borderId="79" xfId="0" applyFont="1" applyFill="1" applyBorder="1" applyAlignment="1">
      <alignment vertical="top" wrapText="1" shrinkToFit="1"/>
    </xf>
    <xf numFmtId="0" fontId="25" fillId="7" borderId="42" xfId="0" applyFont="1" applyFill="1" applyBorder="1" applyAlignment="1">
      <alignment horizontal="center" vertical="top" wrapText="1" shrinkToFit="1"/>
    </xf>
    <xf numFmtId="0" fontId="25" fillId="7" borderId="80" xfId="0" applyFont="1" applyFill="1" applyBorder="1" applyAlignment="1">
      <alignment vertical="top" wrapText="1" shrinkToFit="1"/>
    </xf>
    <xf numFmtId="0" fontId="25" fillId="7" borderId="14" xfId="0" applyFont="1" applyFill="1" applyBorder="1" applyAlignment="1">
      <alignment horizontal="center" vertical="top" wrapText="1" shrinkToFit="1"/>
    </xf>
    <xf numFmtId="0" fontId="25" fillId="7" borderId="88" xfId="0" applyFont="1" applyFill="1" applyBorder="1" applyAlignment="1">
      <alignment vertical="top" wrapText="1" shrinkToFit="1"/>
    </xf>
    <xf numFmtId="0" fontId="25" fillId="7" borderId="65" xfId="0" applyFont="1" applyFill="1" applyBorder="1" applyAlignment="1">
      <alignment horizontal="center" vertical="top" wrapText="1" shrinkToFit="1"/>
    </xf>
    <xf numFmtId="0" fontId="25" fillId="0" borderId="79" xfId="0" applyFont="1" applyBorder="1" applyAlignment="1">
      <alignment vertical="top" wrapText="1" shrinkToFit="1"/>
    </xf>
    <xf numFmtId="0" fontId="25" fillId="0" borderId="42" xfId="0" applyFont="1" applyBorder="1" applyAlignment="1">
      <alignment horizontal="center" vertical="top" wrapText="1" shrinkToFit="1"/>
    </xf>
    <xf numFmtId="168" fontId="60" fillId="13" borderId="24" xfId="0" applyNumberFormat="1" applyFont="1" applyFill="1" applyBorder="1" applyAlignment="1">
      <alignment horizontal="center" vertical="center" textRotation="90"/>
    </xf>
    <xf numFmtId="1" fontId="57" fillId="14" borderId="47" xfId="0" applyNumberFormat="1" applyFont="1" applyFill="1" applyBorder="1" applyAlignment="1">
      <alignment horizontal="left" vertical="top" wrapText="1" shrinkToFit="1"/>
    </xf>
    <xf numFmtId="0" fontId="25" fillId="12" borderId="87" xfId="0" applyFont="1" applyFill="1" applyBorder="1" applyAlignment="1">
      <alignment vertical="top" wrapText="1" shrinkToFit="1"/>
    </xf>
    <xf numFmtId="0" fontId="8" fillId="12" borderId="73" xfId="0" applyFont="1" applyFill="1" applyBorder="1" applyAlignment="1">
      <alignment horizontal="center" vertical="top" wrapText="1" shrinkToFit="1"/>
    </xf>
    <xf numFmtId="0" fontId="25" fillId="12" borderId="80" xfId="0" applyFont="1" applyFill="1" applyBorder="1" applyAlignment="1">
      <alignment vertical="top" wrapText="1" shrinkToFit="1"/>
    </xf>
    <xf numFmtId="0" fontId="25" fillId="12" borderId="14" xfId="0" applyFont="1" applyFill="1" applyBorder="1" applyAlignment="1">
      <alignment horizontal="center" vertical="top" wrapText="1" shrinkToFit="1"/>
    </xf>
    <xf numFmtId="0" fontId="25" fillId="12" borderId="88" xfId="0" applyFont="1" applyFill="1" applyBorder="1" applyAlignment="1">
      <alignment vertical="top" wrapText="1" shrinkToFit="1"/>
    </xf>
    <xf numFmtId="0" fontId="25" fillId="12" borderId="65" xfId="0" applyFont="1" applyFill="1" applyBorder="1" applyAlignment="1">
      <alignment horizontal="center" vertical="top" wrapText="1" shrinkToFit="1"/>
    </xf>
    <xf numFmtId="0" fontId="26" fillId="0" borderId="17" xfId="0" applyFont="1" applyBorder="1" applyAlignment="1">
      <alignment vertical="top" wrapText="1" shrinkToFit="1"/>
    </xf>
    <xf numFmtId="0" fontId="25" fillId="12" borderId="75" xfId="0" applyFont="1" applyFill="1" applyBorder="1" applyAlignment="1">
      <alignment vertical="top" wrapText="1" shrinkToFit="1"/>
    </xf>
    <xf numFmtId="0" fontId="8" fillId="12" borderId="1" xfId="0" applyFont="1" applyFill="1" applyBorder="1" applyAlignment="1">
      <alignment horizontal="center" vertical="top" wrapText="1" shrinkToFit="1"/>
    </xf>
    <xf numFmtId="49" fontId="56" fillId="13" borderId="76" xfId="0" applyNumberFormat="1" applyFont="1" applyFill="1" applyBorder="1" applyAlignment="1">
      <alignment vertical="center"/>
    </xf>
    <xf numFmtId="168" fontId="57" fillId="13" borderId="30" xfId="0" applyNumberFormat="1" applyFont="1" applyFill="1" applyBorder="1" applyAlignment="1">
      <alignment horizontal="center" vertical="center" textRotation="90"/>
    </xf>
    <xf numFmtId="0" fontId="56" fillId="13" borderId="68" xfId="0" applyFont="1" applyFill="1" applyBorder="1" applyAlignment="1">
      <alignment horizontal="left" vertical="center" wrapText="1" indent="2" shrinkToFit="1"/>
    </xf>
    <xf numFmtId="1" fontId="57" fillId="14" borderId="30" xfId="0" applyNumberFormat="1" applyFont="1" applyFill="1" applyBorder="1" applyAlignment="1">
      <alignment horizontal="left" vertical="center" wrapText="1" shrinkToFit="1"/>
    </xf>
    <xf numFmtId="49" fontId="25" fillId="0" borderId="75" xfId="0" applyNumberFormat="1" applyFont="1" applyBorder="1" applyAlignment="1">
      <alignment vertical="top"/>
    </xf>
    <xf numFmtId="0" fontId="26" fillId="0" borderId="74" xfId="0" applyFont="1" applyBorder="1" applyAlignment="1">
      <alignment vertical="top" wrapText="1" shrinkToFit="1"/>
    </xf>
    <xf numFmtId="49" fontId="25" fillId="0" borderId="32" xfId="0" applyNumberFormat="1" applyFont="1" applyBorder="1" applyAlignment="1">
      <alignment horizontal="center" vertical="top"/>
    </xf>
    <xf numFmtId="0" fontId="26" fillId="0" borderId="1" xfId="0" applyFont="1" applyBorder="1" applyAlignment="1">
      <alignment vertical="top" wrapText="1" shrinkToFit="1"/>
    </xf>
    <xf numFmtId="49" fontId="25" fillId="7" borderId="32" xfId="0" applyNumberFormat="1" applyFont="1" applyFill="1" applyBorder="1" applyAlignment="1">
      <alignment horizontal="center" vertical="top"/>
    </xf>
    <xf numFmtId="1" fontId="58" fillId="14" borderId="30" xfId="0" applyNumberFormat="1" applyFont="1" applyFill="1" applyBorder="1" applyAlignment="1">
      <alignment horizontal="left" vertical="top" wrapText="1" shrinkToFit="1"/>
    </xf>
    <xf numFmtId="49" fontId="33" fillId="11" borderId="78" xfId="0" applyNumberFormat="1" applyFont="1" applyFill="1" applyBorder="1" applyAlignment="1">
      <alignment vertical="top"/>
    </xf>
    <xf numFmtId="9" fontId="33" fillId="11" borderId="30" xfId="1" applyFont="1" applyFill="1" applyBorder="1" applyAlignment="1" applyProtection="1">
      <alignment horizontal="center" vertical="top" textRotation="90"/>
    </xf>
    <xf numFmtId="0" fontId="33" fillId="11" borderId="30" xfId="0" applyFont="1" applyFill="1" applyBorder="1" applyAlignment="1">
      <alignment vertical="top" wrapText="1" shrinkToFit="1"/>
    </xf>
    <xf numFmtId="0" fontId="25" fillId="0" borderId="75" xfId="0" applyFont="1" applyBorder="1" applyAlignment="1">
      <alignment vertical="top" wrapText="1" shrinkToFit="1"/>
    </xf>
    <xf numFmtId="0" fontId="25" fillId="0" borderId="4" xfId="0" applyFont="1" applyBorder="1" applyAlignment="1">
      <alignment horizontal="center" vertical="top" wrapText="1" shrinkToFit="1"/>
    </xf>
    <xf numFmtId="0" fontId="26" fillId="0" borderId="84" xfId="0" applyFont="1" applyBorder="1" applyAlignment="1">
      <alignment vertical="top" wrapText="1" shrinkToFit="1"/>
    </xf>
    <xf numFmtId="0" fontId="4" fillId="0" borderId="75" xfId="0" applyFont="1" applyBorder="1" applyAlignment="1">
      <alignment horizontal="center" vertical="center" wrapText="1" shrinkToFit="1"/>
    </xf>
    <xf numFmtId="0" fontId="25" fillId="0" borderId="86" xfId="0" applyFont="1" applyBorder="1" applyAlignment="1">
      <alignment vertical="top" wrapText="1" shrinkToFit="1"/>
    </xf>
    <xf numFmtId="0" fontId="25" fillId="0" borderId="31" xfId="0" applyFont="1" applyBorder="1" applyAlignment="1">
      <alignment horizontal="center" vertical="top" wrapText="1" shrinkToFit="1"/>
    </xf>
    <xf numFmtId="0" fontId="25" fillId="0" borderId="32" xfId="0" applyFont="1" applyBorder="1" applyAlignment="1">
      <alignment horizontal="center" vertical="top" wrapText="1" shrinkToFit="1"/>
    </xf>
    <xf numFmtId="0" fontId="8" fillId="12" borderId="86" xfId="0" quotePrefix="1" applyFont="1" applyFill="1" applyBorder="1" applyAlignment="1">
      <alignment vertical="top" wrapText="1" shrinkToFit="1"/>
    </xf>
    <xf numFmtId="0" fontId="8" fillId="12" borderId="31" xfId="0" applyFont="1" applyFill="1" applyBorder="1" applyAlignment="1">
      <alignment horizontal="center" vertical="top" wrapText="1" shrinkToFit="1"/>
    </xf>
    <xf numFmtId="0" fontId="4" fillId="12" borderId="75" xfId="0" applyFont="1" applyFill="1" applyBorder="1" applyAlignment="1">
      <alignment horizontal="center" vertical="center" wrapText="1" shrinkToFit="1"/>
    </xf>
    <xf numFmtId="0" fontId="25" fillId="12" borderId="32" xfId="0" applyFont="1" applyFill="1" applyBorder="1" applyAlignment="1">
      <alignment horizontal="center" vertical="top" wrapText="1" shrinkToFit="1"/>
    </xf>
    <xf numFmtId="9" fontId="33" fillId="11" borderId="30" xfId="0" applyNumberFormat="1" applyFont="1" applyFill="1" applyBorder="1" applyAlignment="1">
      <alignment horizontal="center" vertical="top" textRotation="90"/>
    </xf>
    <xf numFmtId="0" fontId="8" fillId="0" borderId="4" xfId="0" applyFont="1" applyBorder="1" applyAlignment="1">
      <alignment horizontal="center" vertical="top" wrapText="1" shrinkToFit="1"/>
    </xf>
    <xf numFmtId="0" fontId="25" fillId="12" borderId="86" xfId="0" applyFont="1" applyFill="1" applyBorder="1" applyAlignment="1">
      <alignment vertical="top" wrapText="1" shrinkToFit="1"/>
    </xf>
    <xf numFmtId="0" fontId="25" fillId="7" borderId="86" xfId="0" applyFont="1" applyFill="1" applyBorder="1" applyAlignment="1">
      <alignment vertical="top" wrapText="1" shrinkToFit="1"/>
    </xf>
    <xf numFmtId="0" fontId="25" fillId="7" borderId="31" xfId="0" applyFont="1" applyFill="1" applyBorder="1" applyAlignment="1">
      <alignment horizontal="center" vertical="top" wrapText="1" shrinkToFit="1"/>
    </xf>
    <xf numFmtId="0" fontId="4" fillId="7" borderId="75" xfId="0" applyFont="1" applyFill="1" applyBorder="1" applyAlignment="1">
      <alignment horizontal="center" vertical="center" wrapText="1" shrinkToFit="1"/>
    </xf>
    <xf numFmtId="0" fontId="8" fillId="7" borderId="4" xfId="0" applyFont="1" applyFill="1" applyBorder="1" applyAlignment="1">
      <alignment horizontal="center" vertical="top" wrapText="1" shrinkToFit="1"/>
    </xf>
    <xf numFmtId="0" fontId="8" fillId="7" borderId="31" xfId="0" applyFont="1" applyFill="1" applyBorder="1" applyAlignment="1">
      <alignment horizontal="center" vertical="top" wrapText="1" shrinkToFit="1"/>
    </xf>
    <xf numFmtId="0" fontId="8" fillId="0" borderId="86" xfId="0" quotePrefix="1" applyFont="1" applyBorder="1" applyAlignment="1">
      <alignment vertical="top" wrapText="1" shrinkToFit="1"/>
    </xf>
    <xf numFmtId="49" fontId="25" fillId="7" borderId="75" xfId="0" applyNumberFormat="1" applyFont="1" applyFill="1" applyBorder="1" applyAlignment="1">
      <alignment vertical="top"/>
    </xf>
    <xf numFmtId="49" fontId="25" fillId="7" borderId="0" xfId="0" applyNumberFormat="1" applyFont="1" applyFill="1" applyAlignment="1">
      <alignment horizontal="center" vertical="top"/>
    </xf>
    <xf numFmtId="49" fontId="25" fillId="12" borderId="80" xfId="0" applyNumberFormat="1" applyFont="1" applyFill="1" applyBorder="1" applyAlignment="1">
      <alignment vertical="top"/>
    </xf>
    <xf numFmtId="49" fontId="8" fillId="12" borderId="32" xfId="0" applyNumberFormat="1" applyFont="1" applyFill="1" applyBorder="1" applyAlignment="1">
      <alignment horizontal="center" vertical="top"/>
    </xf>
    <xf numFmtId="0" fontId="0" fillId="0" borderId="82" xfId="0" applyBorder="1"/>
    <xf numFmtId="0" fontId="0" fillId="0" borderId="82" xfId="0" applyBorder="1" applyAlignment="1">
      <alignment horizontal="center"/>
    </xf>
    <xf numFmtId="49" fontId="4" fillId="0" borderId="0" xfId="0" applyNumberFormat="1" applyFont="1"/>
    <xf numFmtId="49" fontId="4" fillId="0" borderId="0" xfId="0" applyNumberFormat="1" applyFont="1" applyAlignment="1">
      <alignment horizontal="center"/>
    </xf>
    <xf numFmtId="0" fontId="4" fillId="0" borderId="0" xfId="0" applyFont="1" applyAlignment="1">
      <alignment wrapText="1" shrinkToFit="1"/>
    </xf>
    <xf numFmtId="1" fontId="4" fillId="0" borderId="0" xfId="0" applyNumberFormat="1" applyFont="1" applyAlignment="1">
      <alignment wrapText="1" shrinkToFit="1"/>
    </xf>
    <xf numFmtId="0" fontId="26" fillId="0" borderId="0" xfId="0" applyFont="1" applyAlignment="1">
      <alignment wrapText="1" shrinkToFit="1"/>
    </xf>
    <xf numFmtId="0" fontId="4" fillId="0" borderId="0" xfId="0" applyFont="1" applyAlignment="1">
      <alignment horizontal="right" wrapText="1" shrinkToFit="1"/>
    </xf>
    <xf numFmtId="1" fontId="4" fillId="0" borderId="0" xfId="0" applyNumberFormat="1" applyFont="1" applyAlignment="1">
      <alignment horizontal="right" wrapText="1" shrinkToFit="1"/>
    </xf>
    <xf numFmtId="49" fontId="0" fillId="0" borderId="0" xfId="0" applyNumberFormat="1"/>
    <xf numFmtId="49" fontId="0" fillId="0" borderId="0" xfId="0" applyNumberFormat="1" applyAlignment="1">
      <alignment horizontal="center"/>
    </xf>
    <xf numFmtId="49" fontId="26" fillId="6" borderId="66" xfId="0" applyNumberFormat="1" applyFont="1" applyFill="1" applyBorder="1" applyAlignment="1" applyProtection="1">
      <alignment vertical="top" wrapText="1" shrinkToFit="1"/>
      <protection locked="0"/>
    </xf>
    <xf numFmtId="170" fontId="5" fillId="0" borderId="14" xfId="5" applyNumberFormat="1" applyBorder="1" applyAlignment="1">
      <alignment horizontal="center" vertical="center"/>
    </xf>
    <xf numFmtId="170" fontId="5" fillId="12" borderId="14" xfId="5" applyNumberFormat="1" applyFill="1" applyBorder="1" applyAlignment="1">
      <alignment horizontal="center" vertical="center"/>
    </xf>
    <xf numFmtId="0" fontId="5" fillId="18" borderId="0" xfId="5" applyFill="1" applyAlignment="1">
      <alignment horizontal="center" vertical="center"/>
    </xf>
    <xf numFmtId="0" fontId="0" fillId="0" borderId="13" xfId="0" applyBorder="1"/>
    <xf numFmtId="0" fontId="0" fillId="0" borderId="7" xfId="0" applyBorder="1"/>
    <xf numFmtId="0" fontId="26" fillId="0" borderId="0" xfId="8" applyFont="1" applyAlignment="1">
      <alignment vertical="center"/>
    </xf>
    <xf numFmtId="0" fontId="26" fillId="0" borderId="0" xfId="8" applyFont="1" applyAlignment="1">
      <alignment horizontal="center" vertical="center"/>
    </xf>
    <xf numFmtId="0" fontId="4" fillId="0" borderId="0" xfId="8" applyAlignment="1">
      <alignment horizontal="left" vertical="center"/>
    </xf>
    <xf numFmtId="0" fontId="31" fillId="0" borderId="0" xfId="0" applyFont="1" applyAlignment="1">
      <alignment horizontal="center" vertical="center"/>
    </xf>
    <xf numFmtId="0" fontId="5" fillId="0" borderId="7" xfId="5" applyBorder="1" applyProtection="1">
      <protection locked="0"/>
    </xf>
    <xf numFmtId="0" fontId="5" fillId="0" borderId="109" xfId="5" applyBorder="1" applyProtection="1">
      <protection locked="0"/>
    </xf>
    <xf numFmtId="0" fontId="8" fillId="11" borderId="3" xfId="0" applyFont="1" applyFill="1" applyBorder="1"/>
    <xf numFmtId="0" fontId="8" fillId="11" borderId="8" xfId="0" applyFont="1" applyFill="1" applyBorder="1"/>
    <xf numFmtId="0" fontId="8" fillId="11" borderId="3" xfId="0" applyFont="1" applyFill="1" applyBorder="1" applyAlignment="1">
      <alignment wrapText="1"/>
    </xf>
    <xf numFmtId="0" fontId="8" fillId="11" borderId="8" xfId="0" applyFont="1" applyFill="1" applyBorder="1" applyAlignment="1">
      <alignment wrapText="1"/>
    </xf>
    <xf numFmtId="0" fontId="8" fillId="0" borderId="0" xfId="0" applyFont="1"/>
    <xf numFmtId="0" fontId="8" fillId="0" borderId="0" xfId="0" applyFont="1" applyAlignment="1">
      <alignment wrapText="1"/>
    </xf>
    <xf numFmtId="0" fontId="26" fillId="0" borderId="0" xfId="0" applyFont="1"/>
    <xf numFmtId="0" fontId="8" fillId="0" borderId="4" xfId="0" applyFont="1" applyBorder="1" applyAlignment="1">
      <alignment wrapText="1"/>
    </xf>
    <xf numFmtId="0" fontId="26" fillId="0" borderId="0" xfId="0" applyFont="1" applyAlignment="1">
      <alignment vertical="center"/>
    </xf>
    <xf numFmtId="0" fontId="5" fillId="0" borderId="0" xfId="0" applyFont="1" applyAlignment="1">
      <alignment wrapText="1"/>
    </xf>
    <xf numFmtId="0" fontId="26" fillId="0" borderId="16" xfId="7" applyFont="1" applyBorder="1" applyAlignment="1" applyProtection="1">
      <alignment horizontal="left" vertical="top" wrapText="1"/>
      <protection locked="0"/>
    </xf>
    <xf numFmtId="0" fontId="26" fillId="0" borderId="4" xfId="7" applyFont="1" applyBorder="1" applyAlignment="1" applyProtection="1">
      <alignment horizontal="left" vertical="top" wrapText="1"/>
      <protection locked="0"/>
    </xf>
    <xf numFmtId="0" fontId="26" fillId="0" borderId="71" xfId="7" applyFont="1" applyBorder="1" applyAlignment="1" applyProtection="1">
      <alignment horizontal="left" vertical="top" wrapText="1"/>
      <protection locked="0"/>
    </xf>
    <xf numFmtId="0" fontId="26" fillId="0" borderId="0" xfId="7" applyFont="1" applyAlignment="1" applyProtection="1">
      <alignment horizontal="left" vertical="top" wrapText="1"/>
      <protection locked="0"/>
    </xf>
    <xf numFmtId="0" fontId="26" fillId="0" borderId="32" xfId="7" applyFont="1" applyBorder="1" applyAlignment="1" applyProtection="1">
      <alignment horizontal="left" vertical="top" wrapText="1"/>
      <protection locked="0"/>
    </xf>
    <xf numFmtId="0" fontId="26" fillId="0" borderId="9" xfId="7" applyFont="1" applyBorder="1" applyAlignment="1" applyProtection="1">
      <alignment horizontal="left" vertical="top" wrapText="1"/>
      <protection locked="0"/>
    </xf>
    <xf numFmtId="14" fontId="26" fillId="0" borderId="16" xfId="7" applyNumberFormat="1" applyFont="1" applyBorder="1" applyAlignment="1" applyProtection="1">
      <alignment horizontal="left" vertical="top" wrapText="1"/>
      <protection locked="0"/>
    </xf>
    <xf numFmtId="14" fontId="26" fillId="0" borderId="4" xfId="7" applyNumberFormat="1" applyFont="1" applyBorder="1" applyAlignment="1" applyProtection="1">
      <alignment horizontal="left" vertical="top" wrapText="1"/>
      <protection locked="0"/>
    </xf>
    <xf numFmtId="14" fontId="26" fillId="0" borderId="9" xfId="7" applyNumberFormat="1" applyFont="1" applyBorder="1" applyAlignment="1" applyProtection="1">
      <alignment horizontal="left" vertical="top" wrapText="1"/>
      <protection locked="0"/>
    </xf>
    <xf numFmtId="14" fontId="26" fillId="0" borderId="32" xfId="7" applyNumberFormat="1" applyFont="1" applyBorder="1" applyAlignment="1" applyProtection="1">
      <alignment horizontal="left" vertical="top" wrapText="1"/>
      <protection locked="0"/>
    </xf>
    <xf numFmtId="14" fontId="26" fillId="0" borderId="71" xfId="7" applyNumberFormat="1" applyFont="1" applyBorder="1" applyAlignment="1" applyProtection="1">
      <alignment horizontal="left" vertical="top" wrapText="1"/>
      <protection locked="0"/>
    </xf>
    <xf numFmtId="1" fontId="57" fillId="13" borderId="47" xfId="0" applyNumberFormat="1" applyFont="1" applyFill="1" applyBorder="1" applyAlignment="1">
      <alignment horizontal="center" vertical="center" textRotation="90" shrinkToFit="1"/>
    </xf>
    <xf numFmtId="49" fontId="0" fillId="0" borderId="15" xfId="0" applyNumberFormat="1" applyBorder="1"/>
    <xf numFmtId="0" fontId="25" fillId="0" borderId="9" xfId="0" applyFont="1" applyBorder="1" applyAlignment="1">
      <alignment horizontal="right" wrapText="1" shrinkToFit="1"/>
    </xf>
    <xf numFmtId="0" fontId="26" fillId="0" borderId="10" xfId="0" applyFont="1" applyBorder="1" applyAlignment="1">
      <alignment wrapText="1" shrinkToFit="1"/>
    </xf>
    <xf numFmtId="49" fontId="0" fillId="0" borderId="20" xfId="0" applyNumberFormat="1" applyBorder="1" applyAlignment="1">
      <alignment horizontal="center"/>
    </xf>
    <xf numFmtId="49" fontId="0" fillId="0" borderId="47" xfId="0" applyNumberFormat="1" applyBorder="1" applyAlignment="1">
      <alignment horizontal="center"/>
    </xf>
    <xf numFmtId="1" fontId="31" fillId="0" borderId="20" xfId="0" applyNumberFormat="1" applyFont="1" applyBorder="1" applyAlignment="1">
      <alignment wrapText="1" shrinkToFit="1"/>
    </xf>
    <xf numFmtId="1" fontId="31" fillId="0" borderId="47" xfId="0" applyNumberFormat="1" applyFont="1" applyBorder="1" applyAlignment="1">
      <alignment wrapText="1" shrinkToFit="1"/>
    </xf>
    <xf numFmtId="0" fontId="26" fillId="0" borderId="12" xfId="0" applyFont="1" applyBorder="1" applyAlignment="1">
      <alignment wrapText="1" shrinkToFit="1"/>
    </xf>
    <xf numFmtId="49" fontId="8" fillId="0" borderId="110" xfId="0" applyNumberFormat="1" applyFont="1" applyBorder="1"/>
    <xf numFmtId="0" fontId="31" fillId="0" borderId="111" xfId="0" applyFont="1" applyBorder="1" applyAlignment="1">
      <alignment horizontal="right" wrapText="1" shrinkToFit="1"/>
    </xf>
    <xf numFmtId="0" fontId="26" fillId="0" borderId="6" xfId="0" applyFont="1" applyBorder="1" applyAlignment="1">
      <alignment horizontal="right" wrapText="1" shrinkToFit="1"/>
    </xf>
    <xf numFmtId="0" fontId="4" fillId="0" borderId="7" xfId="0" applyFont="1" applyBorder="1" applyAlignment="1">
      <alignment horizontal="center" vertical="top"/>
    </xf>
    <xf numFmtId="14" fontId="26" fillId="0" borderId="6" xfId="0" applyNumberFormat="1" applyFont="1" applyBorder="1" applyAlignment="1">
      <alignment horizontal="right" vertical="top"/>
    </xf>
    <xf numFmtId="49" fontId="0" fillId="0" borderId="7" xfId="0" applyNumberFormat="1" applyBorder="1"/>
    <xf numFmtId="0" fontId="31" fillId="0" borderId="6" xfId="0" applyFont="1" applyBorder="1" applyAlignment="1">
      <alignment wrapText="1" shrinkToFit="1"/>
    </xf>
    <xf numFmtId="0" fontId="0" fillId="0" borderId="6" xfId="0" applyBorder="1" applyAlignment="1">
      <alignment wrapText="1" shrinkToFit="1"/>
    </xf>
    <xf numFmtId="0" fontId="4" fillId="0" borderId="27" xfId="0" applyFont="1" applyBorder="1" applyAlignment="1">
      <alignment horizontal="center"/>
    </xf>
    <xf numFmtId="0" fontId="26" fillId="0" borderId="4" xfId="0" applyFont="1" applyBorder="1" applyAlignment="1">
      <alignment horizontal="left"/>
    </xf>
    <xf numFmtId="1" fontId="26" fillId="0" borderId="4" xfId="0" applyNumberFormat="1" applyFont="1" applyBorder="1" applyAlignment="1">
      <alignment horizontal="center" textRotation="90" wrapText="1" shrinkToFit="1"/>
    </xf>
    <xf numFmtId="0" fontId="26" fillId="9" borderId="38" xfId="0" applyFont="1" applyFill="1" applyBorder="1" applyAlignment="1">
      <alignment vertical="top" wrapText="1" shrinkToFit="1"/>
    </xf>
    <xf numFmtId="14" fontId="9" fillId="0" borderId="0" xfId="0" applyNumberFormat="1" applyFont="1" applyAlignment="1">
      <alignment horizontal="left"/>
    </xf>
    <xf numFmtId="0" fontId="61" fillId="0" borderId="0" xfId="5" applyFont="1" applyAlignment="1">
      <alignment wrapText="1"/>
    </xf>
    <xf numFmtId="0" fontId="5" fillId="9" borderId="0" xfId="5" applyFill="1" applyAlignment="1">
      <alignment horizontal="center" vertical="center" wrapText="1"/>
    </xf>
    <xf numFmtId="0" fontId="10" fillId="0" borderId="12" xfId="2" applyFont="1" applyBorder="1" applyAlignment="1">
      <alignment horizontal="right" vertical="center" wrapText="1"/>
    </xf>
    <xf numFmtId="49" fontId="8" fillId="12" borderId="87" xfId="0" applyNumberFormat="1" applyFont="1" applyFill="1" applyBorder="1" applyAlignment="1">
      <alignment vertical="top" wrapText="1" shrinkToFit="1"/>
    </xf>
    <xf numFmtId="0" fontId="5" fillId="12" borderId="62" xfId="5" applyFill="1" applyBorder="1" applyAlignment="1">
      <alignment horizontal="center" vertical="center"/>
    </xf>
    <xf numFmtId="170" fontId="5" fillId="12" borderId="62" xfId="5" applyNumberFormat="1" applyFill="1" applyBorder="1" applyAlignment="1">
      <alignment horizontal="center" vertical="center"/>
    </xf>
    <xf numFmtId="49" fontId="10" fillId="0" borderId="0" xfId="5" applyNumberFormat="1" applyFont="1" applyAlignment="1">
      <alignment horizontal="center"/>
    </xf>
    <xf numFmtId="49" fontId="10" fillId="12" borderId="0" xfId="5" applyNumberFormat="1" applyFont="1" applyFill="1" applyAlignment="1">
      <alignment horizontal="center"/>
    </xf>
    <xf numFmtId="0" fontId="5" fillId="0" borderId="6" xfId="5" applyBorder="1" applyAlignment="1">
      <alignment horizontal="center"/>
    </xf>
    <xf numFmtId="0" fontId="15" fillId="0" borderId="0" xfId="5" applyFont="1" applyAlignment="1">
      <alignment horizontal="right"/>
    </xf>
    <xf numFmtId="0" fontId="13" fillId="0" borderId="0" xfId="5" applyFont="1" applyAlignment="1">
      <alignment wrapText="1"/>
    </xf>
    <xf numFmtId="0" fontId="13" fillId="0" borderId="7" xfId="5" applyFont="1" applyBorder="1"/>
    <xf numFmtId="0" fontId="13" fillId="19" borderId="0" xfId="5" applyFont="1" applyFill="1" applyAlignment="1">
      <alignment horizontal="center"/>
    </xf>
    <xf numFmtId="0" fontId="13" fillId="0" borderId="0" xfId="5" applyFont="1"/>
    <xf numFmtId="1" fontId="13" fillId="0" borderId="0" xfId="5" applyNumberFormat="1" applyFont="1" applyAlignment="1">
      <alignment horizontal="center" vertical="center"/>
    </xf>
    <xf numFmtId="0" fontId="5" fillId="0" borderId="112" xfId="5" applyBorder="1" applyAlignment="1">
      <alignment vertical="center"/>
    </xf>
    <xf numFmtId="0" fontId="8" fillId="0" borderId="31" xfId="0" applyFont="1" applyBorder="1" applyAlignment="1">
      <alignment horizontal="center" vertical="top" wrapText="1" shrinkToFit="1"/>
    </xf>
    <xf numFmtId="0" fontId="8" fillId="12" borderId="4" xfId="0" applyFont="1" applyFill="1" applyBorder="1" applyAlignment="1">
      <alignment horizontal="center" vertical="top" wrapText="1" shrinkToFit="1"/>
    </xf>
    <xf numFmtId="0" fontId="8" fillId="0" borderId="73" xfId="0" applyFont="1" applyBorder="1" applyAlignment="1">
      <alignment horizontal="center" vertical="top" wrapText="1" shrinkToFit="1"/>
    </xf>
    <xf numFmtId="49" fontId="31" fillId="0" borderId="32" xfId="0" applyNumberFormat="1" applyFont="1" applyBorder="1" applyAlignment="1">
      <alignment vertical="top" wrapText="1"/>
    </xf>
    <xf numFmtId="0" fontId="5" fillId="0" borderId="3" xfId="2" applyBorder="1"/>
    <xf numFmtId="0" fontId="78" fillId="0" borderId="0" xfId="5" applyFont="1" applyAlignment="1">
      <alignment horizontal="center" vertical="center"/>
    </xf>
    <xf numFmtId="0" fontId="78" fillId="0" borderId="0" xfId="5" applyFont="1" applyAlignment="1">
      <alignment vertical="center"/>
    </xf>
    <xf numFmtId="0" fontId="79" fillId="11" borderId="60" xfId="2" applyFont="1" applyFill="1" applyBorder="1" applyAlignment="1">
      <alignment horizontal="center" vertical="center"/>
    </xf>
    <xf numFmtId="0" fontId="26" fillId="0" borderId="3" xfId="7" applyFont="1" applyBorder="1" applyAlignment="1" applyProtection="1">
      <alignment horizontal="left" vertical="top" wrapText="1"/>
      <protection locked="0"/>
    </xf>
    <xf numFmtId="0" fontId="5" fillId="0" borderId="3" xfId="0" applyFont="1" applyBorder="1" applyAlignment="1">
      <alignment vertical="center" wrapText="1"/>
    </xf>
    <xf numFmtId="0" fontId="57" fillId="0" borderId="14" xfId="7" applyFont="1" applyBorder="1" applyAlignment="1">
      <alignment horizontal="center" vertical="center" wrapText="1"/>
    </xf>
    <xf numFmtId="0" fontId="6" fillId="0" borderId="0" xfId="3" applyFont="1" applyAlignment="1">
      <alignment horizontal="right" wrapText="1"/>
    </xf>
    <xf numFmtId="0" fontId="6" fillId="0" borderId="0" xfId="3" applyFont="1" applyAlignment="1">
      <alignment horizontal="center" wrapText="1"/>
    </xf>
    <xf numFmtId="0" fontId="8" fillId="15" borderId="14" xfId="3" applyFont="1" applyFill="1" applyBorder="1" applyAlignment="1" applyProtection="1">
      <alignment horizontal="center" wrapText="1"/>
      <protection locked="0"/>
    </xf>
    <xf numFmtId="3" fontId="47" fillId="15" borderId="14" xfId="3" applyNumberFormat="1" applyFont="1" applyFill="1" applyBorder="1" applyAlignment="1" applyProtection="1">
      <alignment horizontal="left" vertical="center" wrapText="1" indent="2"/>
      <protection locked="0"/>
    </xf>
    <xf numFmtId="0" fontId="80" fillId="0" borderId="0" xfId="3" applyFont="1"/>
    <xf numFmtId="0" fontId="81" fillId="0" borderId="0" xfId="3" applyFont="1"/>
    <xf numFmtId="0" fontId="82" fillId="0" borderId="0" xfId="3" applyFont="1"/>
    <xf numFmtId="0" fontId="83" fillId="0" borderId="0" xfId="3" applyFont="1"/>
    <xf numFmtId="0" fontId="83" fillId="0" borderId="0" xfId="0" applyFont="1"/>
    <xf numFmtId="0" fontId="82" fillId="0" borderId="0" xfId="0" applyFont="1"/>
    <xf numFmtId="0" fontId="8" fillId="15" borderId="50" xfId="3" applyFont="1" applyFill="1" applyBorder="1" applyAlignment="1" applyProtection="1">
      <alignment wrapText="1"/>
      <protection locked="0"/>
    </xf>
    <xf numFmtId="0" fontId="31" fillId="0" borderId="50" xfId="3" applyFont="1" applyBorder="1" applyAlignment="1">
      <alignment horizontal="right" wrapText="1"/>
    </xf>
    <xf numFmtId="0" fontId="26" fillId="0" borderId="50" xfId="3" applyFont="1" applyBorder="1" applyAlignment="1">
      <alignment horizontal="right"/>
    </xf>
    <xf numFmtId="0" fontId="4" fillId="0" borderId="0" xfId="8" applyAlignment="1">
      <alignment wrapText="1"/>
    </xf>
    <xf numFmtId="0" fontId="4" fillId="0" borderId="104" xfId="8" applyBorder="1"/>
    <xf numFmtId="0" fontId="4" fillId="0" borderId="0" xfId="8" applyAlignment="1">
      <alignment vertical="top"/>
    </xf>
    <xf numFmtId="0" fontId="4" fillId="11" borderId="0" xfId="8" applyFill="1" applyAlignment="1">
      <alignment wrapText="1"/>
    </xf>
    <xf numFmtId="0" fontId="4" fillId="17" borderId="0" xfId="8" applyFill="1" applyAlignment="1">
      <alignment wrapText="1"/>
    </xf>
    <xf numFmtId="0" fontId="72" fillId="0" borderId="0" xfId="8" applyFont="1" applyAlignment="1">
      <alignment wrapText="1"/>
    </xf>
    <xf numFmtId="0" fontId="5" fillId="0" borderId="114" xfId="5" applyBorder="1"/>
    <xf numFmtId="0" fontId="5" fillId="0" borderId="115" xfId="5" applyBorder="1" applyAlignment="1">
      <alignment vertical="center"/>
    </xf>
    <xf numFmtId="0" fontId="5" fillId="0" borderId="115" xfId="5" applyBorder="1" applyAlignment="1">
      <alignment horizontal="center" vertical="center"/>
    </xf>
    <xf numFmtId="0" fontId="5" fillId="0" borderId="116" xfId="5" applyBorder="1" applyAlignment="1">
      <alignment horizontal="center" vertical="center"/>
    </xf>
    <xf numFmtId="0" fontId="6" fillId="0" borderId="0" xfId="3" applyFont="1" applyAlignment="1">
      <alignment vertical="top" wrapText="1"/>
    </xf>
    <xf numFmtId="0" fontId="8" fillId="0" borderId="4" xfId="3" applyFont="1" applyBorder="1" applyAlignment="1">
      <alignment horizontal="center" wrapText="1"/>
    </xf>
    <xf numFmtId="0" fontId="8" fillId="0" borderId="16" xfId="7" applyFont="1" applyBorder="1" applyAlignment="1" applyProtection="1">
      <alignment horizontal="center" vertical="top" wrapText="1"/>
      <protection locked="0"/>
    </xf>
    <xf numFmtId="0" fontId="8" fillId="0" borderId="4" xfId="7" applyFont="1" applyBorder="1" applyAlignment="1" applyProtection="1">
      <alignment horizontal="center" vertical="top" wrapText="1"/>
      <protection locked="0"/>
    </xf>
    <xf numFmtId="0" fontId="8" fillId="18" borderId="4" xfId="7" applyFont="1" applyFill="1" applyBorder="1" applyAlignment="1" applyProtection="1">
      <alignment horizontal="center" vertical="top" wrapText="1"/>
      <protection locked="0"/>
    </xf>
    <xf numFmtId="0" fontId="8" fillId="18" borderId="16" xfId="7" applyFont="1" applyFill="1" applyBorder="1" applyAlignment="1" applyProtection="1">
      <alignment horizontal="center" vertical="top" wrapText="1"/>
      <protection locked="0"/>
    </xf>
    <xf numFmtId="0" fontId="8" fillId="18" borderId="32" xfId="7" applyFont="1" applyFill="1" applyBorder="1" applyAlignment="1" applyProtection="1">
      <alignment horizontal="center" vertical="top" wrapText="1"/>
      <protection locked="0"/>
    </xf>
    <xf numFmtId="0" fontId="8" fillId="0" borderId="71" xfId="7" applyFont="1" applyBorder="1" applyAlignment="1" applyProtection="1">
      <alignment horizontal="center" vertical="top" wrapText="1"/>
      <protection locked="0"/>
    </xf>
    <xf numFmtId="0" fontId="0" fillId="0" borderId="0" xfId="0" applyAlignment="1">
      <alignment horizontal="right"/>
    </xf>
    <xf numFmtId="0" fontId="0" fillId="0" borderId="7" xfId="0" applyBorder="1" applyAlignment="1">
      <alignment horizontal="center" vertical="center"/>
    </xf>
    <xf numFmtId="0" fontId="0" fillId="11" borderId="13" xfId="0" applyFill="1" applyBorder="1"/>
    <xf numFmtId="0" fontId="0" fillId="11" borderId="11" xfId="0" applyFill="1" applyBorder="1"/>
    <xf numFmtId="0" fontId="0" fillId="11" borderId="34" xfId="0" applyFill="1" applyBorder="1"/>
    <xf numFmtId="0" fontId="0" fillId="11" borderId="7" xfId="0" applyFill="1" applyBorder="1"/>
    <xf numFmtId="0" fontId="0" fillId="11" borderId="6" xfId="0" applyFill="1" applyBorder="1"/>
    <xf numFmtId="0" fontId="0" fillId="11" borderId="15" xfId="0" applyFill="1" applyBorder="1"/>
    <xf numFmtId="0" fontId="0" fillId="11" borderId="9" xfId="0" applyFill="1" applyBorder="1"/>
    <xf numFmtId="0" fontId="0" fillId="11" borderId="10" xfId="0" applyFill="1" applyBorder="1"/>
    <xf numFmtId="0" fontId="0" fillId="11" borderId="117" xfId="0" applyFill="1" applyBorder="1"/>
    <xf numFmtId="0" fontId="0" fillId="11" borderId="118" xfId="0" applyFill="1" applyBorder="1"/>
    <xf numFmtId="0" fontId="0" fillId="11" borderId="119" xfId="0" applyFill="1" applyBorder="1"/>
    <xf numFmtId="0" fontId="0" fillId="13" borderId="30" xfId="0" applyFill="1" applyBorder="1"/>
    <xf numFmtId="0" fontId="0" fillId="13" borderId="20" xfId="0" applyFill="1" applyBorder="1"/>
    <xf numFmtId="0" fontId="0" fillId="13" borderId="47" xfId="0" applyFill="1" applyBorder="1"/>
    <xf numFmtId="0" fontId="0" fillId="13" borderId="18" xfId="0" applyFill="1" applyBorder="1"/>
    <xf numFmtId="0" fontId="3" fillId="0" borderId="0" xfId="0" applyFont="1" applyAlignment="1">
      <alignment horizontal="center" vertical="center"/>
    </xf>
    <xf numFmtId="0" fontId="3" fillId="0" borderId="117" xfId="0" applyFont="1" applyBorder="1" applyAlignment="1">
      <alignment horizontal="center" vertical="center"/>
    </xf>
    <xf numFmtId="0" fontId="8" fillId="0" borderId="29" xfId="0" applyFont="1" applyBorder="1" applyAlignment="1">
      <alignment horizontal="center" vertical="top" wrapText="1" shrinkToFit="1"/>
    </xf>
    <xf numFmtId="0" fontId="25" fillId="0" borderId="4" xfId="7" applyFont="1" applyBorder="1" applyAlignment="1">
      <alignment vertical="center" textRotation="90"/>
    </xf>
    <xf numFmtId="0" fontId="25" fillId="0" borderId="4" xfId="7" applyFont="1" applyBorder="1" applyAlignment="1">
      <alignment vertical="center" wrapText="1"/>
    </xf>
    <xf numFmtId="0" fontId="25" fillId="0" borderId="4" xfId="7" applyFont="1" applyBorder="1" applyAlignment="1">
      <alignment horizontal="center" vertical="center" wrapText="1"/>
    </xf>
    <xf numFmtId="0" fontId="17" fillId="3" borderId="14" xfId="4" applyFont="1" applyFill="1" applyBorder="1" applyAlignment="1">
      <alignment horizontal="center" vertical="center" wrapText="1"/>
    </xf>
    <xf numFmtId="0" fontId="0" fillId="3" borderId="14" xfId="0" applyFill="1" applyBorder="1" applyAlignment="1">
      <alignment horizontal="center" vertical="center"/>
    </xf>
    <xf numFmtId="14" fontId="0" fillId="3" borderId="14" xfId="0" applyNumberFormat="1" applyFill="1" applyBorder="1" applyAlignment="1">
      <alignment horizontal="center" vertical="center"/>
    </xf>
    <xf numFmtId="0" fontId="4" fillId="3" borderId="14" xfId="0" applyFont="1" applyFill="1" applyBorder="1" applyAlignment="1">
      <alignment horizontal="center" vertical="center"/>
    </xf>
    <xf numFmtId="0" fontId="4" fillId="3" borderId="14" xfId="0" applyFont="1" applyFill="1" applyBorder="1" applyAlignment="1">
      <alignment horizontal="center" vertical="center" wrapText="1"/>
    </xf>
    <xf numFmtId="0" fontId="26" fillId="0" borderId="9" xfId="0" applyFont="1" applyBorder="1" applyAlignment="1">
      <alignment vertical="top"/>
    </xf>
    <xf numFmtId="49" fontId="31" fillId="0" borderId="9" xfId="0" applyNumberFormat="1" applyFont="1" applyBorder="1" applyAlignment="1">
      <alignment vertical="top" wrapText="1"/>
    </xf>
    <xf numFmtId="0" fontId="8" fillId="0" borderId="9" xfId="7" applyFont="1" applyBorder="1" applyAlignment="1" applyProtection="1">
      <alignment horizontal="center" vertical="top" wrapText="1"/>
      <protection locked="0"/>
    </xf>
    <xf numFmtId="0" fontId="25" fillId="0" borderId="0" xfId="3" applyFont="1" applyAlignment="1">
      <alignment horizontal="center" wrapText="1"/>
    </xf>
    <xf numFmtId="0" fontId="27" fillId="0" borderId="0" xfId="3" applyFont="1" applyAlignment="1">
      <alignment horizontal="right"/>
    </xf>
    <xf numFmtId="0" fontId="9" fillId="0" borderId="0" xfId="3" applyFont="1" applyAlignment="1">
      <alignment horizontal="left"/>
    </xf>
    <xf numFmtId="0" fontId="0" fillId="0" borderId="34" xfId="0" applyBorder="1"/>
    <xf numFmtId="0" fontId="8" fillId="15" borderId="50" xfId="3" quotePrefix="1" applyFont="1" applyFill="1" applyBorder="1" applyAlignment="1" applyProtection="1">
      <alignment horizontal="left" wrapText="1"/>
      <protection locked="0"/>
    </xf>
    <xf numFmtId="0" fontId="4" fillId="0" borderId="12" xfId="3" applyFont="1" applyBorder="1"/>
    <xf numFmtId="0" fontId="3" fillId="0" borderId="6" xfId="5" applyFont="1" applyBorder="1"/>
    <xf numFmtId="0" fontId="3" fillId="18" borderId="10" xfId="5" applyFont="1" applyFill="1" applyBorder="1" applyAlignment="1">
      <alignment horizontal="center"/>
    </xf>
    <xf numFmtId="0" fontId="5" fillId="18" borderId="10" xfId="5" applyFill="1" applyBorder="1" applyAlignment="1">
      <alignment horizontal="center" vertical="center"/>
    </xf>
    <xf numFmtId="0" fontId="10" fillId="0" borderId="13" xfId="5" applyFont="1" applyBorder="1" applyAlignment="1">
      <alignment horizontal="center"/>
    </xf>
    <xf numFmtId="0" fontId="10" fillId="0" borderId="11" xfId="5" applyFont="1" applyBorder="1" applyAlignment="1">
      <alignment horizontal="center"/>
    </xf>
    <xf numFmtId="0" fontId="5" fillId="0" borderId="34" xfId="5" applyBorder="1" applyAlignment="1">
      <alignment horizontal="center" vertical="center"/>
    </xf>
    <xf numFmtId="170" fontId="16" fillId="12" borderId="120" xfId="5" applyNumberFormat="1" applyFont="1" applyFill="1" applyBorder="1" applyAlignment="1">
      <alignment horizontal="center" vertical="center"/>
    </xf>
    <xf numFmtId="0" fontId="0" fillId="0" borderId="18" xfId="0" applyBorder="1"/>
    <xf numFmtId="0" fontId="10" fillId="0" borderId="18" xfId="5" applyFont="1" applyBorder="1" applyAlignment="1">
      <alignment horizontal="center"/>
    </xf>
    <xf numFmtId="0" fontId="3" fillId="19" borderId="18" xfId="5" applyFont="1" applyFill="1" applyBorder="1" applyAlignment="1">
      <alignment horizontal="center"/>
    </xf>
    <xf numFmtId="0" fontId="3" fillId="17" borderId="18" xfId="5" applyFont="1" applyFill="1" applyBorder="1" applyAlignment="1">
      <alignment horizontal="center"/>
    </xf>
    <xf numFmtId="0" fontId="5" fillId="5" borderId="121" xfId="5" applyFill="1" applyBorder="1" applyAlignment="1">
      <alignment horizontal="center" vertical="center"/>
    </xf>
    <xf numFmtId="0" fontId="26" fillId="0" borderId="9" xfId="0" applyFont="1" applyBorder="1" applyAlignment="1">
      <alignment horizontal="right" vertical="top"/>
    </xf>
    <xf numFmtId="49" fontId="31" fillId="0" borderId="9" xfId="0" applyNumberFormat="1" applyFont="1" applyBorder="1" applyAlignment="1">
      <alignment vertical="top"/>
    </xf>
    <xf numFmtId="0" fontId="8" fillId="18" borderId="9" xfId="7" applyFont="1" applyFill="1" applyBorder="1" applyAlignment="1" applyProtection="1">
      <alignment horizontal="center" vertical="top" wrapText="1"/>
      <protection locked="0"/>
    </xf>
    <xf numFmtId="49" fontId="26" fillId="6" borderId="6" xfId="0" applyNumberFormat="1" applyFont="1" applyFill="1" applyBorder="1" applyAlignment="1" applyProtection="1">
      <alignment vertical="top" wrapText="1" shrinkToFit="1"/>
      <protection locked="0"/>
    </xf>
    <xf numFmtId="0" fontId="8" fillId="0" borderId="63" xfId="3" applyFont="1" applyBorder="1" applyAlignment="1">
      <alignment horizontal="center" wrapText="1"/>
    </xf>
    <xf numFmtId="0" fontId="26" fillId="0" borderId="0" xfId="7" applyFont="1" applyAlignment="1">
      <alignment horizontal="center" vertical="top" wrapText="1"/>
    </xf>
    <xf numFmtId="0" fontId="26" fillId="0" borderId="0" xfId="0" applyFont="1" applyAlignment="1">
      <alignment vertical="top"/>
    </xf>
    <xf numFmtId="49" fontId="31" fillId="0" borderId="0" xfId="0" applyNumberFormat="1" applyFont="1" applyAlignment="1">
      <alignment vertical="top" wrapText="1"/>
    </xf>
    <xf numFmtId="1" fontId="26" fillId="0" borderId="0" xfId="7" applyNumberFormat="1" applyFont="1" applyAlignment="1">
      <alignment horizontal="center" vertical="top" shrinkToFit="1"/>
    </xf>
    <xf numFmtId="0" fontId="8" fillId="0" borderId="0" xfId="7" applyFont="1" applyAlignment="1" applyProtection="1">
      <alignment horizontal="center" vertical="top" wrapText="1"/>
      <protection locked="0"/>
    </xf>
    <xf numFmtId="14" fontId="26" fillId="0" borderId="0" xfId="7" applyNumberFormat="1" applyFont="1" applyAlignment="1" applyProtection="1">
      <alignment horizontal="left" vertical="top" wrapText="1"/>
      <protection locked="0"/>
    </xf>
    <xf numFmtId="0" fontId="57" fillId="21" borderId="42" xfId="7" applyFont="1" applyFill="1" applyBorder="1" applyAlignment="1">
      <alignment horizontal="center" vertical="center" wrapText="1"/>
    </xf>
    <xf numFmtId="0" fontId="57" fillId="21" borderId="14" xfId="7" applyFont="1" applyFill="1" applyBorder="1" applyAlignment="1">
      <alignment horizontal="center" vertical="center" textRotation="90"/>
    </xf>
    <xf numFmtId="0" fontId="57" fillId="21" borderId="14" xfId="7" applyFont="1" applyFill="1" applyBorder="1" applyAlignment="1">
      <alignment horizontal="center" vertical="center" wrapText="1"/>
    </xf>
    <xf numFmtId="0" fontId="57" fillId="21" borderId="17" xfId="7" applyFont="1" applyFill="1" applyBorder="1" applyAlignment="1">
      <alignment horizontal="center" vertical="center" wrapText="1"/>
    </xf>
    <xf numFmtId="0" fontId="57" fillId="21" borderId="5" xfId="7" applyFont="1" applyFill="1" applyBorder="1" applyAlignment="1">
      <alignment horizontal="center" vertical="center" wrapText="1"/>
    </xf>
    <xf numFmtId="0" fontId="84" fillId="21" borderId="0" xfId="2" applyFont="1" applyFill="1"/>
    <xf numFmtId="0" fontId="26" fillId="21" borderId="19" xfId="2" applyFont="1" applyFill="1" applyBorder="1" applyAlignment="1">
      <alignment horizontal="left" vertical="center"/>
    </xf>
    <xf numFmtId="0" fontId="57" fillId="21" borderId="3" xfId="2" applyFont="1" applyFill="1" applyBorder="1" applyAlignment="1">
      <alignment vertical="center"/>
    </xf>
    <xf numFmtId="0" fontId="58" fillId="21" borderId="3" xfId="2" applyFont="1" applyFill="1" applyBorder="1" applyAlignment="1">
      <alignment vertical="center"/>
    </xf>
    <xf numFmtId="0" fontId="64" fillId="21" borderId="3" xfId="2" applyFont="1" applyFill="1" applyBorder="1" applyAlignment="1">
      <alignment horizontal="center" vertical="center" wrapText="1"/>
    </xf>
    <xf numFmtId="0" fontId="26" fillId="21" borderId="12" xfId="2" applyFont="1" applyFill="1" applyBorder="1" applyAlignment="1">
      <alignment horizontal="left" vertical="center"/>
    </xf>
    <xf numFmtId="0" fontId="26" fillId="21" borderId="17" xfId="2" applyFont="1" applyFill="1" applyBorder="1"/>
    <xf numFmtId="0" fontId="8" fillId="21" borderId="4" xfId="2" applyFont="1" applyFill="1" applyBorder="1"/>
    <xf numFmtId="0" fontId="8" fillId="21" borderId="4" xfId="0" applyFont="1" applyFill="1" applyBorder="1"/>
    <xf numFmtId="0" fontId="8" fillId="21" borderId="4" xfId="2" applyFont="1" applyFill="1" applyBorder="1" applyAlignment="1">
      <alignment wrapText="1"/>
    </xf>
    <xf numFmtId="0" fontId="8" fillId="21" borderId="4" xfId="0" applyFont="1" applyFill="1" applyBorder="1" applyAlignment="1">
      <alignment wrapText="1"/>
    </xf>
    <xf numFmtId="0" fontId="26" fillId="21" borderId="5" xfId="2" applyFont="1" applyFill="1" applyBorder="1"/>
    <xf numFmtId="0" fontId="26" fillId="21" borderId="8" xfId="2" applyFont="1" applyFill="1" applyBorder="1" applyAlignment="1">
      <alignment vertical="top"/>
    </xf>
    <xf numFmtId="0" fontId="26" fillId="21" borderId="2" xfId="2" applyFont="1" applyFill="1" applyBorder="1" applyAlignment="1">
      <alignment vertical="top"/>
    </xf>
    <xf numFmtId="0" fontId="26" fillId="21" borderId="0" xfId="2" applyFont="1" applyFill="1" applyAlignment="1">
      <alignment vertical="top"/>
    </xf>
    <xf numFmtId="0" fontId="36" fillId="21" borderId="0" xfId="2" applyFont="1" applyFill="1" applyAlignment="1">
      <alignment vertical="center"/>
    </xf>
    <xf numFmtId="0" fontId="57" fillId="21" borderId="0" xfId="2" applyFont="1" applyFill="1" applyAlignment="1">
      <alignment vertical="center"/>
    </xf>
    <xf numFmtId="0" fontId="26" fillId="21" borderId="0" xfId="2" applyFont="1" applyFill="1" applyAlignment="1">
      <alignment vertical="center"/>
    </xf>
    <xf numFmtId="0" fontId="26" fillId="21" borderId="1" xfId="2" applyFont="1" applyFill="1" applyBorder="1" applyAlignment="1">
      <alignment vertical="top"/>
    </xf>
    <xf numFmtId="0" fontId="58" fillId="21" borderId="0" xfId="2" applyFont="1" applyFill="1" applyAlignment="1">
      <alignment vertical="top"/>
    </xf>
    <xf numFmtId="0" fontId="35" fillId="21" borderId="0" xfId="2" applyFont="1" applyFill="1" applyAlignment="1">
      <alignment vertical="center"/>
    </xf>
    <xf numFmtId="0" fontId="58" fillId="21" borderId="0" xfId="2" applyFont="1" applyFill="1" applyAlignment="1">
      <alignment vertical="center"/>
    </xf>
    <xf numFmtId="0" fontId="5" fillId="21" borderId="0" xfId="2" applyFill="1"/>
    <xf numFmtId="0" fontId="5" fillId="21" borderId="19" xfId="2" applyFill="1" applyBorder="1"/>
    <xf numFmtId="0" fontId="8" fillId="21" borderId="12" xfId="2" applyFont="1" applyFill="1" applyBorder="1"/>
    <xf numFmtId="0" fontId="26" fillId="21" borderId="12" xfId="2" applyFont="1" applyFill="1" applyBorder="1"/>
    <xf numFmtId="0" fontId="26" fillId="21" borderId="8" xfId="2" applyFont="1" applyFill="1" applyBorder="1"/>
    <xf numFmtId="0" fontId="26" fillId="21" borderId="2" xfId="2" applyFont="1" applyFill="1" applyBorder="1"/>
    <xf numFmtId="0" fontId="60" fillId="21" borderId="3" xfId="2" applyFont="1" applyFill="1" applyBorder="1" applyAlignment="1">
      <alignment vertical="center"/>
    </xf>
    <xf numFmtId="0" fontId="8" fillId="21" borderId="3" xfId="2" applyFont="1" applyFill="1" applyBorder="1" applyAlignment="1">
      <alignment vertical="center"/>
    </xf>
    <xf numFmtId="0" fontId="8" fillId="21" borderId="3" xfId="0" applyFont="1" applyFill="1" applyBorder="1" applyAlignment="1">
      <alignment vertical="center"/>
    </xf>
    <xf numFmtId="0" fontId="8" fillId="21" borderId="3" xfId="2" applyFont="1" applyFill="1" applyBorder="1" applyAlignment="1">
      <alignment vertical="center" wrapText="1"/>
    </xf>
    <xf numFmtId="0" fontId="8" fillId="21" borderId="3" xfId="0" applyFont="1" applyFill="1" applyBorder="1" applyAlignment="1">
      <alignment vertical="center" wrapText="1"/>
    </xf>
    <xf numFmtId="0" fontId="58" fillId="21" borderId="1" xfId="2" applyFont="1" applyFill="1" applyBorder="1" applyAlignment="1">
      <alignment vertical="center"/>
    </xf>
    <xf numFmtId="0" fontId="39" fillId="21" borderId="0" xfId="2" applyFont="1" applyFill="1" applyAlignment="1">
      <alignment vertical="top"/>
    </xf>
    <xf numFmtId="0" fontId="58" fillId="21" borderId="1" xfId="2" applyFont="1" applyFill="1" applyBorder="1" applyAlignment="1">
      <alignment vertical="center" wrapText="1"/>
    </xf>
    <xf numFmtId="14" fontId="39" fillId="21" borderId="0" xfId="2" applyNumberFormat="1" applyFont="1" applyFill="1" applyAlignment="1">
      <alignment vertical="top"/>
    </xf>
    <xf numFmtId="14" fontId="60" fillId="21" borderId="4" xfId="2" applyNumberFormat="1" applyFont="1" applyFill="1" applyBorder="1" applyAlignment="1">
      <alignment vertical="center"/>
    </xf>
    <xf numFmtId="0" fontId="5" fillId="21" borderId="0" xfId="2" applyFill="1" applyAlignment="1">
      <alignment vertical="center"/>
    </xf>
    <xf numFmtId="14" fontId="64" fillId="21" borderId="0" xfId="2" applyNumberFormat="1" applyFont="1" applyFill="1" applyAlignment="1">
      <alignment vertical="center"/>
    </xf>
    <xf numFmtId="0" fontId="26" fillId="21" borderId="0" xfId="2" applyFont="1" applyFill="1"/>
    <xf numFmtId="0" fontId="8" fillId="21" borderId="0" xfId="2" applyFont="1" applyFill="1"/>
    <xf numFmtId="0" fontId="8" fillId="21" borderId="0" xfId="0" applyFont="1" applyFill="1"/>
    <xf numFmtId="0" fontId="8" fillId="21" borderId="0" xfId="2" applyFont="1" applyFill="1" applyAlignment="1">
      <alignment wrapText="1"/>
    </xf>
    <xf numFmtId="0" fontId="8" fillId="21" borderId="0" xfId="0" applyFont="1" applyFill="1" applyAlignment="1">
      <alignment wrapText="1"/>
    </xf>
    <xf numFmtId="14" fontId="4" fillId="21" borderId="0" xfId="2" applyNumberFormat="1" applyFont="1" applyFill="1" applyAlignment="1">
      <alignment vertical="top"/>
    </xf>
    <xf numFmtId="0" fontId="3" fillId="21" borderId="0" xfId="2" applyFont="1" applyFill="1" applyAlignment="1">
      <alignment wrapText="1"/>
    </xf>
    <xf numFmtId="0" fontId="4" fillId="21" borderId="12" xfId="2" applyFont="1" applyFill="1" applyBorder="1" applyAlignment="1">
      <alignment vertical="center"/>
    </xf>
    <xf numFmtId="0" fontId="26" fillId="21" borderId="19" xfId="2" applyFont="1" applyFill="1" applyBorder="1" applyAlignment="1">
      <alignment vertical="top"/>
    </xf>
    <xf numFmtId="0" fontId="26" fillId="21" borderId="12" xfId="2" applyFont="1" applyFill="1" applyBorder="1" applyAlignment="1">
      <alignment vertical="top"/>
    </xf>
    <xf numFmtId="0" fontId="4" fillId="21" borderId="12" xfId="2" applyFont="1" applyFill="1" applyBorder="1" applyAlignment="1">
      <alignment wrapText="1"/>
    </xf>
    <xf numFmtId="0" fontId="56" fillId="21" borderId="3" xfId="2" applyFont="1" applyFill="1" applyBorder="1" applyAlignment="1">
      <alignment vertical="center"/>
    </xf>
    <xf numFmtId="0" fontId="26" fillId="21" borderId="3" xfId="2" applyFont="1" applyFill="1" applyBorder="1" applyAlignment="1">
      <alignment vertical="top"/>
    </xf>
    <xf numFmtId="0" fontId="5" fillId="21" borderId="2" xfId="2" applyFill="1" applyBorder="1"/>
    <xf numFmtId="0" fontId="4" fillId="21" borderId="2" xfId="2" applyFont="1" applyFill="1" applyBorder="1" applyAlignment="1">
      <alignment wrapText="1"/>
    </xf>
    <xf numFmtId="0" fontId="26" fillId="21" borderId="32" xfId="2" applyFont="1" applyFill="1" applyBorder="1" applyAlignment="1">
      <alignment vertical="top"/>
    </xf>
    <xf numFmtId="0" fontId="26" fillId="21" borderId="4" xfId="2" applyFont="1" applyFill="1" applyBorder="1"/>
    <xf numFmtId="0" fontId="5" fillId="21" borderId="22" xfId="5" applyFill="1" applyBorder="1"/>
    <xf numFmtId="0" fontId="5" fillId="21" borderId="32" xfId="5" applyFill="1" applyBorder="1"/>
    <xf numFmtId="0" fontId="5" fillId="21" borderId="36" xfId="5" applyFill="1" applyBorder="1"/>
    <xf numFmtId="0" fontId="87" fillId="9" borderId="0" xfId="11" applyFill="1"/>
    <xf numFmtId="0" fontId="87" fillId="9" borderId="0" xfId="11" applyFill="1" applyAlignment="1">
      <alignment horizontal="center"/>
    </xf>
    <xf numFmtId="0" fontId="85" fillId="0" borderId="0" xfId="12"/>
    <xf numFmtId="0" fontId="85" fillId="9" borderId="0" xfId="11" applyFont="1" applyFill="1"/>
    <xf numFmtId="0" fontId="85" fillId="9" borderId="0" xfId="11" applyFont="1" applyFill="1" applyAlignment="1">
      <alignment horizontal="center"/>
    </xf>
    <xf numFmtId="0" fontId="85" fillId="0" borderId="0" xfId="12" applyAlignment="1">
      <alignment horizontal="center"/>
    </xf>
    <xf numFmtId="0" fontId="88" fillId="9" borderId="0" xfId="11" applyFont="1" applyFill="1" applyAlignment="1">
      <alignment horizontal="center" textRotation="90"/>
    </xf>
    <xf numFmtId="0" fontId="89" fillId="9" borderId="0" xfId="11" applyFont="1" applyFill="1" applyAlignment="1">
      <alignment horizontal="right"/>
    </xf>
    <xf numFmtId="0" fontId="3" fillId="9" borderId="0" xfId="11" applyFont="1" applyFill="1" applyAlignment="1">
      <alignment horizontal="center" vertical="center"/>
    </xf>
    <xf numFmtId="9" fontId="3" fillId="9" borderId="0" xfId="11" applyNumberFormat="1" applyFont="1" applyFill="1" applyAlignment="1">
      <alignment horizontal="left"/>
    </xf>
    <xf numFmtId="0" fontId="90" fillId="9" borderId="0" xfId="11" applyFont="1" applyFill="1" applyAlignment="1">
      <alignment horizontal="right"/>
    </xf>
    <xf numFmtId="0" fontId="87" fillId="9" borderId="0" xfId="11" applyFill="1" applyAlignment="1">
      <alignment horizontal="left"/>
    </xf>
    <xf numFmtId="14" fontId="3" fillId="0" borderId="0" xfId="11" applyNumberFormat="1" applyFont="1" applyAlignment="1">
      <alignment horizontal="right"/>
    </xf>
    <xf numFmtId="14" fontId="89" fillId="9" borderId="0" xfId="11" applyNumberFormat="1" applyFont="1" applyFill="1" applyAlignment="1">
      <alignment horizontal="center" vertical="center"/>
    </xf>
    <xf numFmtId="14" fontId="89" fillId="9" borderId="0" xfId="11" applyNumberFormat="1" applyFont="1" applyFill="1" applyAlignment="1">
      <alignment horizontal="left" vertical="center"/>
    </xf>
    <xf numFmtId="0" fontId="91" fillId="9" borderId="0" xfId="11" applyFont="1" applyFill="1" applyAlignment="1">
      <alignment vertical="center"/>
    </xf>
    <xf numFmtId="0" fontId="4" fillId="9" borderId="0" xfId="11" applyFont="1" applyFill="1"/>
    <xf numFmtId="14" fontId="90" fillId="9" borderId="0" xfId="11" applyNumberFormat="1" applyFont="1" applyFill="1" applyAlignment="1">
      <alignment horizontal="center"/>
    </xf>
    <xf numFmtId="14" fontId="90" fillId="9" borderId="0" xfId="11" applyNumberFormat="1" applyFont="1" applyFill="1" applyAlignment="1">
      <alignment horizontal="left"/>
    </xf>
    <xf numFmtId="0" fontId="89" fillId="9" borderId="9" xfId="11" applyFont="1" applyFill="1" applyBorder="1" applyAlignment="1">
      <alignment horizontal="center"/>
    </xf>
    <xf numFmtId="0" fontId="8" fillId="6" borderId="29" xfId="7" applyFont="1" applyFill="1" applyBorder="1" applyAlignment="1">
      <alignment horizontal="center" vertical="center" wrapText="1"/>
    </xf>
    <xf numFmtId="0" fontId="8" fillId="6" borderId="30" xfId="7" applyFont="1" applyFill="1" applyBorder="1" applyAlignment="1">
      <alignment horizontal="center" vertical="center" wrapText="1"/>
    </xf>
    <xf numFmtId="0" fontId="8" fillId="6" borderId="30" xfId="7" applyFont="1" applyFill="1" applyBorder="1" applyAlignment="1">
      <alignment horizontal="center" vertical="center" textRotation="90"/>
    </xf>
    <xf numFmtId="14" fontId="85" fillId="0" borderId="0" xfId="12" applyNumberFormat="1"/>
    <xf numFmtId="0" fontId="93" fillId="0" borderId="0" xfId="13" applyAlignment="1">
      <alignment horizontal="center" vertical="center"/>
    </xf>
    <xf numFmtId="0" fontId="86" fillId="22" borderId="0" xfId="12" applyFont="1" applyFill="1" applyAlignment="1">
      <alignment horizontal="left"/>
    </xf>
    <xf numFmtId="0" fontId="85" fillId="0" borderId="0" xfId="12" applyAlignment="1">
      <alignment horizontal="left"/>
    </xf>
    <xf numFmtId="14" fontId="85" fillId="0" borderId="0" xfId="12" applyNumberFormat="1" applyAlignment="1">
      <alignment horizontal="left"/>
    </xf>
    <xf numFmtId="0" fontId="85" fillId="0" borderId="0" xfId="12" quotePrefix="1" applyAlignment="1">
      <alignment horizontal="left"/>
    </xf>
    <xf numFmtId="49" fontId="92" fillId="0" borderId="122" xfId="11" applyNumberFormat="1" applyFont="1" applyBorder="1" applyAlignment="1">
      <alignment horizontal="left" vertical="top" wrapText="1"/>
    </xf>
    <xf numFmtId="49" fontId="92" fillId="0" borderId="42" xfId="11" applyNumberFormat="1" applyFont="1" applyBorder="1" applyAlignment="1">
      <alignment horizontal="center" vertical="top" wrapText="1"/>
    </xf>
    <xf numFmtId="1" fontId="92" fillId="0" borderId="42" xfId="11" applyNumberFormat="1" applyFont="1" applyBorder="1" applyAlignment="1">
      <alignment horizontal="center" vertical="top" wrapText="1"/>
    </xf>
    <xf numFmtId="0" fontId="92" fillId="0" borderId="85" xfId="11" applyFont="1" applyBorder="1" applyAlignment="1">
      <alignment horizontal="left" vertical="top" wrapText="1"/>
    </xf>
    <xf numFmtId="49" fontId="92" fillId="0" borderId="14" xfId="11" applyNumberFormat="1" applyFont="1" applyBorder="1" applyAlignment="1">
      <alignment horizontal="center" vertical="top" wrapText="1"/>
    </xf>
    <xf numFmtId="1" fontId="92" fillId="0" borderId="14" xfId="11" applyNumberFormat="1" applyFont="1" applyBorder="1" applyAlignment="1">
      <alignment horizontal="center" vertical="top" wrapText="1"/>
    </xf>
    <xf numFmtId="49" fontId="92" fillId="0" borderId="85" xfId="11" applyNumberFormat="1" applyFont="1" applyBorder="1" applyAlignment="1">
      <alignment horizontal="left" vertical="top" wrapText="1"/>
    </xf>
    <xf numFmtId="0" fontId="2" fillId="0" borderId="0" xfId="15"/>
    <xf numFmtId="0" fontId="8" fillId="21" borderId="4" xfId="15" applyFont="1" applyFill="1" applyBorder="1"/>
    <xf numFmtId="0" fontId="8" fillId="21" borderId="4" xfId="15" applyFont="1" applyFill="1" applyBorder="1" applyAlignment="1">
      <alignment wrapText="1"/>
    </xf>
    <xf numFmtId="0" fontId="8" fillId="21" borderId="3" xfId="15" applyFont="1" applyFill="1" applyBorder="1" applyAlignment="1">
      <alignment vertical="center"/>
    </xf>
    <xf numFmtId="0" fontId="8" fillId="21" borderId="3" xfId="15" applyFont="1" applyFill="1" applyBorder="1" applyAlignment="1">
      <alignment vertical="center" wrapText="1"/>
    </xf>
    <xf numFmtId="0" fontId="8" fillId="11" borderId="3" xfId="15" applyFont="1" applyFill="1" applyBorder="1"/>
    <xf numFmtId="0" fontId="8" fillId="11" borderId="8" xfId="15" applyFont="1" applyFill="1" applyBorder="1"/>
    <xf numFmtId="0" fontId="8" fillId="21" borderId="0" xfId="15" applyFont="1" applyFill="1"/>
    <xf numFmtId="0" fontId="8" fillId="11" borderId="3" xfId="15" applyFont="1" applyFill="1" applyBorder="1" applyAlignment="1">
      <alignment wrapText="1"/>
    </xf>
    <xf numFmtId="0" fontId="8" fillId="11" borderId="8" xfId="15" applyFont="1" applyFill="1" applyBorder="1" applyAlignment="1">
      <alignment wrapText="1"/>
    </xf>
    <xf numFmtId="0" fontId="8" fillId="21" borderId="0" xfId="15" applyFont="1" applyFill="1" applyAlignment="1">
      <alignment wrapText="1"/>
    </xf>
    <xf numFmtId="0" fontId="8" fillId="0" borderId="0" xfId="15" applyFont="1"/>
    <xf numFmtId="0" fontId="8" fillId="0" borderId="0" xfId="15" applyFont="1" applyAlignment="1">
      <alignment wrapText="1"/>
    </xf>
    <xf numFmtId="0" fontId="26" fillId="0" borderId="0" xfId="15" applyFont="1"/>
    <xf numFmtId="0" fontId="8" fillId="0" borderId="4" xfId="15" applyFont="1" applyBorder="1" applyAlignment="1">
      <alignment wrapText="1"/>
    </xf>
    <xf numFmtId="0" fontId="8" fillId="0" borderId="0" xfId="15" applyFont="1" applyAlignment="1">
      <alignment vertical="center"/>
    </xf>
    <xf numFmtId="0" fontId="26" fillId="0" borderId="0" xfId="15" applyFont="1" applyAlignment="1">
      <alignment vertical="center"/>
    </xf>
    <xf numFmtId="0" fontId="5" fillId="0" borderId="3" xfId="15" applyFont="1" applyBorder="1" applyAlignment="1">
      <alignment vertical="center" wrapText="1"/>
    </xf>
    <xf numFmtId="0" fontId="5" fillId="0" borderId="0" xfId="15" applyFont="1" applyAlignment="1">
      <alignment wrapText="1"/>
    </xf>
    <xf numFmtId="0" fontId="4" fillId="0" borderId="0" xfId="15" applyFont="1" applyAlignment="1">
      <alignment wrapText="1"/>
    </xf>
    <xf numFmtId="0" fontId="13" fillId="0" borderId="0" xfId="5" applyFont="1" applyAlignment="1">
      <alignment horizontal="center" vertical="center"/>
    </xf>
    <xf numFmtId="0" fontId="13" fillId="0" borderId="11" xfId="5" applyFont="1" applyBorder="1" applyAlignment="1">
      <alignment horizontal="centerContinuous"/>
    </xf>
    <xf numFmtId="0" fontId="6" fillId="0" borderId="0" xfId="5" applyFont="1" applyAlignment="1">
      <alignment vertical="center"/>
    </xf>
    <xf numFmtId="0" fontId="6" fillId="0" borderId="0" xfId="5" applyFont="1"/>
    <xf numFmtId="0" fontId="4" fillId="0" borderId="0" xfId="14"/>
    <xf numFmtId="0" fontId="8" fillId="0" borderId="0" xfId="6" applyFont="1"/>
    <xf numFmtId="1" fontId="13" fillId="0" borderId="0" xfId="5" applyNumberFormat="1" applyFont="1" applyAlignment="1">
      <alignment vertical="center"/>
    </xf>
    <xf numFmtId="0" fontId="14" fillId="0" borderId="0" xfId="6" applyFont="1"/>
    <xf numFmtId="0" fontId="13" fillId="0" borderId="108" xfId="5" applyFont="1" applyBorder="1" applyAlignment="1">
      <alignment vertical="center"/>
    </xf>
    <xf numFmtId="0" fontId="4" fillId="0" borderId="108" xfId="14" applyBorder="1"/>
    <xf numFmtId="0" fontId="5" fillId="0" borderId="0" xfId="14" applyFont="1"/>
    <xf numFmtId="0" fontId="5" fillId="0" borderId="6" xfId="14" applyFont="1" applyBorder="1"/>
    <xf numFmtId="0" fontId="4" fillId="0" borderId="6" xfId="14" applyBorder="1"/>
    <xf numFmtId="0" fontId="15" fillId="0" borderId="0" xfId="14" applyFont="1" applyAlignment="1">
      <alignment horizontal="right"/>
    </xf>
    <xf numFmtId="0" fontId="4" fillId="0" borderId="107" xfId="14" applyBorder="1"/>
    <xf numFmtId="9" fontId="13" fillId="18" borderId="0" xfId="5" applyNumberFormat="1" applyFont="1" applyFill="1" applyAlignment="1">
      <alignment horizontal="center" vertical="center"/>
    </xf>
    <xf numFmtId="0" fontId="4" fillId="18" borderId="0" xfId="14" applyFill="1"/>
    <xf numFmtId="0" fontId="4" fillId="18" borderId="6" xfId="14" applyFill="1" applyBorder="1"/>
    <xf numFmtId="0" fontId="4" fillId="0" borderId="4" xfId="14" applyBorder="1"/>
    <xf numFmtId="0" fontId="12" fillId="0" borderId="4" xfId="14" applyFont="1" applyBorder="1"/>
    <xf numFmtId="0" fontId="4" fillId="0" borderId="38" xfId="14" applyBorder="1"/>
    <xf numFmtId="0" fontId="6" fillId="0" borderId="0" xfId="6" applyFont="1"/>
    <xf numFmtId="0" fontId="13" fillId="0" borderId="115" xfId="5" applyFont="1" applyBorder="1" applyAlignment="1">
      <alignment vertical="center"/>
    </xf>
    <xf numFmtId="0" fontId="12" fillId="0" borderId="115" xfId="14" applyFont="1" applyBorder="1"/>
    <xf numFmtId="0" fontId="4" fillId="0" borderId="115" xfId="14" applyBorder="1"/>
    <xf numFmtId="0" fontId="13" fillId="0" borderId="6" xfId="5" applyFont="1" applyBorder="1" applyAlignment="1">
      <alignment vertical="center"/>
    </xf>
    <xf numFmtId="1" fontId="13" fillId="0" borderId="0" xfId="5" applyNumberFormat="1" applyFont="1" applyAlignment="1">
      <alignment horizontal="centerContinuous" vertical="center"/>
    </xf>
    <xf numFmtId="0" fontId="13" fillId="0" borderId="0" xfId="5" applyFont="1" applyAlignment="1">
      <alignment horizontal="centerContinuous" vertical="center"/>
    </xf>
    <xf numFmtId="0" fontId="12" fillId="0" borderId="11" xfId="14" applyFont="1" applyBorder="1"/>
    <xf numFmtId="0" fontId="4" fillId="0" borderId="18" xfId="14" applyBorder="1"/>
    <xf numFmtId="170" fontId="5" fillId="0" borderId="44" xfId="5" applyNumberFormat="1" applyBorder="1" applyAlignment="1">
      <alignment horizontal="center" vertical="center"/>
    </xf>
    <xf numFmtId="170" fontId="5" fillId="0" borderId="45" xfId="5" applyNumberFormat="1" applyBorder="1" applyAlignment="1">
      <alignment horizontal="center" vertical="center"/>
    </xf>
    <xf numFmtId="170" fontId="5" fillId="12" borderId="46" xfId="5" applyNumberFormat="1" applyFill="1" applyBorder="1" applyAlignment="1">
      <alignment horizontal="center" vertical="center"/>
    </xf>
    <xf numFmtId="1" fontId="5" fillId="0" borderId="0" xfId="14" applyNumberFormat="1" applyFont="1"/>
    <xf numFmtId="170" fontId="5" fillId="12" borderId="45" xfId="5" applyNumberFormat="1" applyFill="1" applyBorder="1" applyAlignment="1">
      <alignment horizontal="center" vertical="center"/>
    </xf>
    <xf numFmtId="170" fontId="5" fillId="0" borderId="46" xfId="5" applyNumberFormat="1" applyBorder="1" applyAlignment="1">
      <alignment horizontal="center" vertical="center"/>
    </xf>
    <xf numFmtId="170" fontId="5" fillId="12" borderId="120" xfId="5" applyNumberFormat="1" applyFill="1" applyBorder="1" applyAlignment="1">
      <alignment horizontal="center" vertical="center"/>
    </xf>
    <xf numFmtId="1" fontId="5" fillId="0" borderId="0" xfId="5" applyNumberFormat="1" applyAlignment="1">
      <alignment horizontal="center" vertical="center"/>
    </xf>
    <xf numFmtId="170" fontId="5" fillId="12" borderId="44" xfId="5" applyNumberFormat="1" applyFill="1" applyBorder="1" applyAlignment="1">
      <alignment horizontal="center" vertical="center"/>
    </xf>
    <xf numFmtId="0" fontId="15" fillId="0" borderId="0" xfId="14" applyFont="1" applyAlignment="1">
      <alignment horizontal="center" vertical="center"/>
    </xf>
    <xf numFmtId="170" fontId="5" fillId="0" borderId="30" xfId="5" applyNumberFormat="1" applyBorder="1" applyAlignment="1">
      <alignment horizontal="center" vertical="center"/>
    </xf>
    <xf numFmtId="0" fontId="3" fillId="0" borderId="9" xfId="5" applyFont="1" applyBorder="1"/>
    <xf numFmtId="1" fontId="3" fillId="0" borderId="9" xfId="5" applyNumberFormat="1" applyFont="1" applyBorder="1" applyAlignment="1">
      <alignment horizontal="center"/>
    </xf>
    <xf numFmtId="9" fontId="17" fillId="0" borderId="0" xfId="1" applyFont="1" applyBorder="1" applyAlignment="1" applyProtection="1">
      <alignment horizontal="center"/>
    </xf>
    <xf numFmtId="0" fontId="15" fillId="0" borderId="0" xfId="2" applyFont="1" applyAlignment="1">
      <alignment horizontal="left" vertical="center"/>
    </xf>
    <xf numFmtId="0" fontId="4" fillId="0" borderId="0" xfId="14" applyAlignment="1">
      <alignment horizontal="left" vertical="center"/>
    </xf>
    <xf numFmtId="0" fontId="26" fillId="9" borderId="0" xfId="5" applyFont="1" applyFill="1"/>
    <xf numFmtId="0" fontId="26" fillId="9" borderId="0" xfId="5" applyFont="1" applyFill="1" applyAlignment="1">
      <alignment horizontal="center"/>
    </xf>
    <xf numFmtId="0" fontId="26" fillId="9" borderId="0" xfId="5" applyFont="1" applyFill="1" applyAlignment="1">
      <alignment horizontal="left"/>
    </xf>
    <xf numFmtId="0" fontId="3" fillId="9" borderId="0" xfId="5" applyFont="1" applyFill="1"/>
    <xf numFmtId="0" fontId="6" fillId="7" borderId="11" xfId="5" applyFont="1" applyFill="1" applyBorder="1"/>
    <xf numFmtId="0" fontId="4" fillId="10" borderId="3" xfId="5" applyFont="1" applyFill="1" applyBorder="1"/>
    <xf numFmtId="0" fontId="4" fillId="10" borderId="8" xfId="5" applyFont="1" applyFill="1" applyBorder="1"/>
    <xf numFmtId="0" fontId="4" fillId="10" borderId="12" xfId="5" applyFont="1" applyFill="1" applyBorder="1"/>
    <xf numFmtId="0" fontId="4" fillId="10" borderId="0" xfId="5" applyFont="1" applyFill="1"/>
    <xf numFmtId="0" fontId="4" fillId="10" borderId="2" xfId="5" applyFont="1" applyFill="1" applyBorder="1"/>
    <xf numFmtId="0" fontId="4" fillId="10" borderId="17" xfId="5" applyFont="1" applyFill="1" applyBorder="1"/>
    <xf numFmtId="0" fontId="4" fillId="10" borderId="4" xfId="5" applyFont="1" applyFill="1" applyBorder="1"/>
    <xf numFmtId="0" fontId="4" fillId="10" borderId="5" xfId="5" applyFont="1" applyFill="1" applyBorder="1"/>
    <xf numFmtId="0" fontId="4" fillId="9" borderId="0" xfId="14" applyFill="1"/>
    <xf numFmtId="0" fontId="4" fillId="9" borderId="0" xfId="14" applyFill="1" applyAlignment="1">
      <alignment horizontal="center" vertical="center"/>
    </xf>
    <xf numFmtId="0" fontId="46" fillId="9" borderId="0" xfId="14" applyFont="1" applyFill="1" applyAlignment="1">
      <alignment vertical="center"/>
    </xf>
    <xf numFmtId="0" fontId="46" fillId="9" borderId="0" xfId="14" applyFont="1" applyFill="1" applyAlignment="1">
      <alignment horizontal="center" vertical="center"/>
    </xf>
    <xf numFmtId="0" fontId="46" fillId="0" borderId="0" xfId="14" applyFont="1" applyAlignment="1">
      <alignment horizontal="center" vertical="center"/>
    </xf>
    <xf numFmtId="0" fontId="17" fillId="0" borderId="0" xfId="14" applyFont="1" applyAlignment="1">
      <alignment horizontal="center" vertical="center"/>
    </xf>
    <xf numFmtId="0" fontId="8" fillId="0" borderId="0" xfId="14" applyFont="1" applyAlignment="1">
      <alignment vertical="center" wrapText="1"/>
    </xf>
    <xf numFmtId="0" fontId="4" fillId="0" borderId="6" xfId="14" applyBorder="1" applyAlignment="1">
      <alignment horizontal="center" vertical="center"/>
    </xf>
    <xf numFmtId="0" fontId="4" fillId="0" borderId="0" xfId="14" applyAlignment="1">
      <alignment horizontal="center" vertical="center"/>
    </xf>
    <xf numFmtId="0" fontId="17" fillId="9" borderId="0" xfId="14" applyFont="1" applyFill="1" applyAlignment="1">
      <alignment vertical="center" wrapText="1"/>
    </xf>
    <xf numFmtId="0" fontId="17" fillId="9" borderId="0" xfId="14" applyFont="1" applyFill="1" applyAlignment="1">
      <alignment horizontal="center" vertical="center" wrapText="1"/>
    </xf>
    <xf numFmtId="0" fontId="17" fillId="0" borderId="0" xfId="14" applyFont="1" applyAlignment="1">
      <alignment horizontal="center" vertical="center" wrapText="1"/>
    </xf>
    <xf numFmtId="0" fontId="12" fillId="0" borderId="0" xfId="14" applyFont="1"/>
    <xf numFmtId="0" fontId="4" fillId="0" borderId="0" xfId="14" applyAlignment="1">
      <alignment horizontal="left"/>
    </xf>
    <xf numFmtId="0" fontId="8" fillId="0" borderId="0" xfId="14" applyFont="1" applyAlignment="1">
      <alignment vertical="center"/>
    </xf>
    <xf numFmtId="0" fontId="8" fillId="0" borderId="0" xfId="14" applyFont="1"/>
    <xf numFmtId="0" fontId="26" fillId="0" borderId="0" xfId="14" applyFont="1" applyAlignment="1">
      <alignment horizontal="center" vertical="center"/>
    </xf>
    <xf numFmtId="0" fontId="3" fillId="0" borderId="0" xfId="14" applyFont="1" applyAlignment="1">
      <alignment horizontal="center" vertical="center"/>
    </xf>
    <xf numFmtId="1" fontId="3" fillId="0" borderId="0" xfId="14" applyNumberFormat="1" applyFont="1" applyAlignment="1">
      <alignment horizontal="center" vertical="center"/>
    </xf>
    <xf numFmtId="1" fontId="3" fillId="0" borderId="6" xfId="14" applyNumberFormat="1" applyFont="1" applyBorder="1" applyAlignment="1">
      <alignment horizontal="center" vertical="center"/>
    </xf>
    <xf numFmtId="0" fontId="5" fillId="0" borderId="0" xfId="14" applyFont="1" applyAlignment="1">
      <alignment horizontal="left" vertical="center"/>
    </xf>
    <xf numFmtId="0" fontId="3" fillId="9" borderId="0" xfId="14" applyFont="1" applyFill="1"/>
    <xf numFmtId="0" fontId="15" fillId="0" borderId="9" xfId="14" applyFont="1" applyBorder="1"/>
    <xf numFmtId="0" fontId="4" fillId="0" borderId="9" xfId="14" applyBorder="1"/>
    <xf numFmtId="0" fontId="4" fillId="0" borderId="10" xfId="14" applyBorder="1"/>
    <xf numFmtId="0" fontId="57" fillId="9" borderId="0" xfId="8" applyFont="1" applyFill="1"/>
    <xf numFmtId="0" fontId="26" fillId="6" borderId="66" xfId="0" applyFont="1" applyFill="1" applyBorder="1" applyAlignment="1" applyProtection="1">
      <alignment vertical="top" wrapText="1" shrinkToFit="1"/>
      <protection locked="0"/>
    </xf>
    <xf numFmtId="0" fontId="85" fillId="0" borderId="0" xfId="1" applyNumberFormat="1" applyFont="1" applyAlignment="1">
      <alignment horizontal="center" vertical="center"/>
    </xf>
    <xf numFmtId="9" fontId="4" fillId="0" borderId="7" xfId="1" applyFont="1" applyBorder="1" applyAlignment="1" applyProtection="1">
      <alignment horizontal="center"/>
    </xf>
    <xf numFmtId="0" fontId="26" fillId="18" borderId="42" xfId="0" applyFont="1" applyFill="1" applyBorder="1" applyAlignment="1">
      <alignment vertical="top" wrapText="1" shrinkToFit="1"/>
    </xf>
    <xf numFmtId="0" fontId="68" fillId="15" borderId="0" xfId="3" applyFont="1" applyFill="1" applyAlignment="1">
      <alignment horizontal="center" vertical="center" wrapText="1"/>
    </xf>
    <xf numFmtId="0" fontId="68" fillId="15" borderId="6" xfId="3" applyFont="1" applyFill="1" applyBorder="1" applyAlignment="1">
      <alignment horizontal="center" vertical="center" wrapText="1"/>
    </xf>
    <xf numFmtId="0" fontId="8" fillId="0" borderId="0" xfId="3" applyFont="1" applyAlignment="1">
      <alignment wrapText="1"/>
    </xf>
    <xf numFmtId="0" fontId="0" fillId="0" borderId="0" xfId="0" applyAlignment="1">
      <alignment wrapText="1"/>
    </xf>
    <xf numFmtId="0" fontId="7" fillId="0" borderId="0" xfId="3" applyFont="1" applyAlignment="1">
      <alignment horizontal="center" vertical="center" wrapText="1"/>
    </xf>
    <xf numFmtId="0" fontId="7" fillId="0" borderId="6" xfId="3" applyFont="1" applyBorder="1" applyAlignment="1">
      <alignment horizontal="center" vertical="center" wrapText="1"/>
    </xf>
    <xf numFmtId="0" fontId="7" fillId="7" borderId="0" xfId="3" applyFont="1" applyFill="1" applyAlignment="1">
      <alignment horizontal="center" vertical="center" wrapText="1"/>
    </xf>
    <xf numFmtId="0" fontId="0" fillId="0" borderId="4" xfId="0" applyBorder="1" applyAlignment="1">
      <alignment horizontal="center" vertical="center" wrapText="1"/>
    </xf>
    <xf numFmtId="0" fontId="8" fillId="15" borderId="50" xfId="3" applyFont="1" applyFill="1" applyBorder="1" applyAlignment="1" applyProtection="1">
      <alignment horizontal="left" wrapText="1"/>
      <protection locked="0"/>
    </xf>
    <xf numFmtId="0" fontId="8" fillId="15" borderId="64" xfId="3" applyFont="1" applyFill="1" applyBorder="1" applyAlignment="1" applyProtection="1">
      <alignment horizontal="left" vertical="top" wrapText="1"/>
      <protection locked="0"/>
    </xf>
    <xf numFmtId="0" fontId="8" fillId="15" borderId="113" xfId="3" applyFont="1" applyFill="1" applyBorder="1" applyAlignment="1" applyProtection="1">
      <alignment horizontal="left" wrapText="1"/>
      <protection locked="0"/>
    </xf>
    <xf numFmtId="0" fontId="26" fillId="0" borderId="0" xfId="3" applyFont="1" applyAlignment="1">
      <alignment horizontal="right" vertical="top"/>
    </xf>
    <xf numFmtId="0" fontId="0" fillId="0" borderId="12" xfId="0" applyBorder="1"/>
    <xf numFmtId="0" fontId="0" fillId="0" borderId="0" xfId="0"/>
    <xf numFmtId="0" fontId="25" fillId="0" borderId="0" xfId="3" applyFont="1" applyAlignment="1">
      <alignment horizontal="center" wrapText="1"/>
    </xf>
    <xf numFmtId="0" fontId="25" fillId="0" borderId="6" xfId="3" applyFont="1" applyBorder="1" applyAlignment="1">
      <alignment horizontal="center" wrapText="1"/>
    </xf>
    <xf numFmtId="0" fontId="13" fillId="0" borderId="0" xfId="3" applyFont="1" applyAlignment="1">
      <alignment horizontal="center" wrapText="1"/>
    </xf>
    <xf numFmtId="0" fontId="8" fillId="0" borderId="0" xfId="3" applyFont="1" applyAlignment="1">
      <alignment horizontal="center" wrapText="1"/>
    </xf>
    <xf numFmtId="0" fontId="8" fillId="0" borderId="6" xfId="3" applyFont="1" applyBorder="1" applyAlignment="1">
      <alignment horizontal="center" wrapText="1"/>
    </xf>
    <xf numFmtId="0" fontId="0" fillId="0" borderId="0" xfId="0" applyAlignment="1">
      <alignment horizontal="center" vertical="center" wrapText="1"/>
    </xf>
    <xf numFmtId="0" fontId="0" fillId="0" borderId="6" xfId="0" applyBorder="1" applyAlignment="1">
      <alignment horizontal="center" vertical="center" wrapText="1"/>
    </xf>
    <xf numFmtId="49" fontId="56" fillId="13" borderId="97" xfId="0" applyNumberFormat="1" applyFont="1" applyFill="1" applyBorder="1" applyAlignment="1">
      <alignment horizontal="center" vertical="center" wrapText="1"/>
    </xf>
    <xf numFmtId="49" fontId="56" fillId="13" borderId="98" xfId="0" applyNumberFormat="1" applyFont="1" applyFill="1" applyBorder="1" applyAlignment="1">
      <alignment horizontal="center" vertical="center" wrapText="1"/>
    </xf>
    <xf numFmtId="0" fontId="56" fillId="13" borderId="20" xfId="0" applyFont="1" applyFill="1" applyBorder="1" applyAlignment="1">
      <alignment horizontal="left" vertical="center" wrapText="1" indent="2"/>
    </xf>
    <xf numFmtId="0" fontId="56" fillId="13" borderId="47" xfId="0" applyFont="1" applyFill="1" applyBorder="1" applyAlignment="1">
      <alignment horizontal="left" vertical="center" wrapText="1" indent="2"/>
    </xf>
    <xf numFmtId="49" fontId="56" fillId="13" borderId="95" xfId="0" applyNumberFormat="1" applyFont="1" applyFill="1" applyBorder="1" applyAlignment="1">
      <alignment horizontal="center" vertical="center" wrapText="1"/>
    </xf>
    <xf numFmtId="49" fontId="56" fillId="13" borderId="96" xfId="0" applyNumberFormat="1" applyFont="1" applyFill="1" applyBorder="1" applyAlignment="1">
      <alignment horizontal="center" vertical="center" wrapText="1"/>
    </xf>
    <xf numFmtId="49" fontId="25" fillId="12" borderId="83" xfId="0" applyNumberFormat="1" applyFont="1" applyFill="1" applyBorder="1" applyAlignment="1">
      <alignment horizontal="center" vertical="center" textRotation="90"/>
    </xf>
    <xf numFmtId="49" fontId="25" fillId="12" borderId="18" xfId="0" applyNumberFormat="1" applyFont="1" applyFill="1" applyBorder="1" applyAlignment="1">
      <alignment horizontal="center" vertical="center" textRotation="90"/>
    </xf>
    <xf numFmtId="49" fontId="25" fillId="12" borderId="28" xfId="0" applyNumberFormat="1" applyFont="1" applyFill="1" applyBorder="1" applyAlignment="1">
      <alignment horizontal="center" vertical="center" textRotation="90"/>
    </xf>
    <xf numFmtId="0" fontId="3" fillId="0" borderId="91" xfId="0" applyFont="1" applyBorder="1" applyAlignment="1">
      <alignment horizontal="center" textRotation="90" wrapText="1"/>
    </xf>
    <xf numFmtId="0" fontId="3" fillId="0" borderId="93" xfId="0" applyFont="1" applyBorder="1" applyAlignment="1">
      <alignment horizontal="center" textRotation="90" wrapText="1"/>
    </xf>
    <xf numFmtId="0" fontId="3" fillId="0" borderId="49" xfId="0" applyFont="1" applyBorder="1" applyAlignment="1">
      <alignment horizontal="center" textRotation="90" wrapText="1"/>
    </xf>
    <xf numFmtId="0" fontId="26" fillId="11" borderId="29" xfId="0" applyFont="1" applyFill="1" applyBorder="1" applyAlignment="1">
      <alignment horizontal="left" vertical="top" wrapText="1" shrinkToFit="1"/>
    </xf>
    <xf numFmtId="0" fontId="26" fillId="11" borderId="43" xfId="0" applyFont="1" applyFill="1" applyBorder="1" applyAlignment="1">
      <alignment horizontal="left" vertical="top" wrapText="1" shrinkToFit="1"/>
    </xf>
    <xf numFmtId="0" fontId="0" fillId="13" borderId="29" xfId="0" applyFill="1" applyBorder="1" applyAlignment="1">
      <alignment horizontal="left" vertical="top"/>
    </xf>
    <xf numFmtId="0" fontId="0" fillId="13" borderId="43" xfId="0" applyFill="1" applyBorder="1" applyAlignment="1">
      <alignment horizontal="left" vertical="top"/>
    </xf>
    <xf numFmtId="0" fontId="0" fillId="0" borderId="20" xfId="0" applyBorder="1" applyAlignment="1">
      <alignment horizontal="center" textRotation="90" wrapText="1"/>
    </xf>
    <xf numFmtId="0" fontId="0" fillId="0" borderId="47" xfId="0" applyBorder="1" applyAlignment="1">
      <alignment horizontal="center" textRotation="90" wrapText="1"/>
    </xf>
    <xf numFmtId="0" fontId="3" fillId="0" borderId="89" xfId="0" applyFont="1" applyBorder="1" applyAlignment="1">
      <alignment horizontal="center" textRotation="90" wrapText="1"/>
    </xf>
    <xf numFmtId="0" fontId="3" fillId="0" borderId="92" xfId="0" applyFont="1" applyBorder="1" applyAlignment="1">
      <alignment horizontal="center" textRotation="90" wrapText="1"/>
    </xf>
    <xf numFmtId="0" fontId="3" fillId="0" borderId="94" xfId="0" applyFont="1" applyBorder="1" applyAlignment="1">
      <alignment horizontal="center" textRotation="90" wrapText="1"/>
    </xf>
    <xf numFmtId="0" fontId="3" fillId="0" borderId="90" xfId="0" applyFont="1" applyBorder="1" applyAlignment="1">
      <alignment horizontal="center" textRotation="90" wrapText="1"/>
    </xf>
    <xf numFmtId="0" fontId="3" fillId="0" borderId="1" xfId="0" applyFont="1" applyBorder="1" applyAlignment="1">
      <alignment horizontal="center" textRotation="90" wrapText="1"/>
    </xf>
    <xf numFmtId="0" fontId="3" fillId="0" borderId="67" xfId="0" applyFont="1" applyBorder="1" applyAlignment="1">
      <alignment horizontal="center" textRotation="90" wrapText="1"/>
    </xf>
    <xf numFmtId="0" fontId="0" fillId="13" borderId="15" xfId="0" applyFill="1" applyBorder="1" applyAlignment="1">
      <alignment horizontal="left" vertical="top"/>
    </xf>
    <xf numFmtId="0" fontId="0" fillId="13" borderId="10" xfId="0" applyFill="1" applyBorder="1" applyAlignment="1">
      <alignment horizontal="left" vertical="top"/>
    </xf>
    <xf numFmtId="9" fontId="22" fillId="0" borderId="29" xfId="5" applyNumberFormat="1" applyFont="1" applyBorder="1" applyAlignment="1">
      <alignment horizontal="center" vertical="center"/>
    </xf>
    <xf numFmtId="9" fontId="22" fillId="0" borderId="43" xfId="5" applyNumberFormat="1" applyFont="1" applyBorder="1" applyAlignment="1">
      <alignment horizontal="center" vertical="center"/>
    </xf>
    <xf numFmtId="0" fontId="3" fillId="0" borderId="0" xfId="5" applyFont="1" applyAlignment="1">
      <alignment horizontal="center" vertical="center"/>
    </xf>
    <xf numFmtId="0" fontId="3" fillId="0" borderId="6" xfId="5" applyFont="1" applyBorder="1" applyAlignment="1">
      <alignment horizontal="center" vertical="center"/>
    </xf>
    <xf numFmtId="0" fontId="42" fillId="0" borderId="13" xfId="6" applyFont="1" applyBorder="1" applyAlignment="1">
      <alignment horizontal="center" vertical="center"/>
    </xf>
    <xf numFmtId="0" fontId="42" fillId="0" borderId="11" xfId="6" applyFont="1" applyBorder="1" applyAlignment="1">
      <alignment horizontal="center" vertical="center"/>
    </xf>
    <xf numFmtId="0" fontId="42" fillId="0" borderId="69" xfId="6" applyFont="1" applyBorder="1" applyAlignment="1">
      <alignment horizontal="center" vertical="center"/>
    </xf>
    <xf numFmtId="0" fontId="42" fillId="0" borderId="15" xfId="6" applyFont="1" applyBorder="1" applyAlignment="1">
      <alignment horizontal="center" vertical="center"/>
    </xf>
    <xf numFmtId="0" fontId="42" fillId="0" borderId="9" xfId="6" applyFont="1" applyBorder="1" applyAlignment="1">
      <alignment horizontal="center" vertical="center"/>
    </xf>
    <xf numFmtId="0" fontId="42" fillId="0" borderId="70" xfId="6" applyFont="1" applyBorder="1" applyAlignment="1">
      <alignment horizontal="center" vertical="center"/>
    </xf>
    <xf numFmtId="0" fontId="18" fillId="0" borderId="40" xfId="5" applyFont="1" applyBorder="1" applyAlignment="1">
      <alignment horizontal="center" vertical="center"/>
    </xf>
    <xf numFmtId="0" fontId="18" fillId="0" borderId="11" xfId="5" applyFont="1" applyBorder="1" applyAlignment="1">
      <alignment horizontal="center" vertical="center"/>
    </xf>
    <xf numFmtId="0" fontId="18" fillId="0" borderId="69" xfId="5" applyFont="1" applyBorder="1" applyAlignment="1">
      <alignment horizontal="center" vertical="center"/>
    </xf>
    <xf numFmtId="0" fontId="18" fillId="0" borderId="41" xfId="5" applyFont="1" applyBorder="1" applyAlignment="1">
      <alignment horizontal="center" vertical="center"/>
    </xf>
    <xf numFmtId="0" fontId="18" fillId="0" borderId="9" xfId="5" applyFont="1" applyBorder="1" applyAlignment="1">
      <alignment horizontal="center" vertical="center"/>
    </xf>
    <xf numFmtId="0" fontId="18" fillId="0" borderId="70" xfId="5" applyFont="1" applyBorder="1" applyAlignment="1">
      <alignment horizontal="center" vertical="center"/>
    </xf>
    <xf numFmtId="0" fontId="22" fillId="0" borderId="11" xfId="5" applyFont="1" applyBorder="1" applyAlignment="1">
      <alignment horizontal="left" vertical="center"/>
    </xf>
    <xf numFmtId="0" fontId="22" fillId="0" borderId="34" xfId="5" applyFont="1" applyBorder="1" applyAlignment="1">
      <alignment horizontal="left" vertical="center"/>
    </xf>
    <xf numFmtId="9" fontId="13" fillId="0" borderId="29" xfId="1" applyFont="1" applyBorder="1" applyAlignment="1" applyProtection="1">
      <alignment horizontal="center" vertical="center"/>
    </xf>
    <xf numFmtId="9" fontId="13" fillId="0" borderId="43" xfId="1" applyFont="1" applyBorder="1" applyAlignment="1" applyProtection="1">
      <alignment horizontal="center" vertical="center"/>
    </xf>
    <xf numFmtId="9" fontId="22" fillId="0" borderId="29" xfId="1" applyFont="1" applyBorder="1" applyAlignment="1" applyProtection="1">
      <alignment horizontal="center" vertical="center"/>
    </xf>
    <xf numFmtId="9" fontId="22" fillId="0" borderId="43" xfId="1" applyFont="1" applyBorder="1" applyAlignment="1" applyProtection="1">
      <alignment horizontal="center" vertical="center"/>
    </xf>
    <xf numFmtId="0" fontId="17" fillId="0" borderId="0" xfId="5" applyFont="1" applyAlignment="1">
      <alignment horizontal="center" vertical="center" wrapText="1"/>
    </xf>
    <xf numFmtId="0" fontId="19" fillId="0" borderId="0" xfId="5" applyFont="1" applyAlignment="1">
      <alignment horizontal="center" vertical="center" wrapText="1"/>
    </xf>
    <xf numFmtId="0" fontId="19" fillId="0" borderId="0" xfId="5" applyFont="1" applyAlignment="1">
      <alignment horizontal="left" vertical="center" wrapText="1"/>
    </xf>
    <xf numFmtId="0" fontId="46" fillId="9" borderId="0" xfId="8" applyFont="1" applyFill="1" applyAlignment="1">
      <alignment horizontal="center" vertical="center"/>
    </xf>
    <xf numFmtId="0" fontId="17" fillId="9" borderId="0" xfId="8" applyFont="1" applyFill="1" applyAlignment="1">
      <alignment horizontal="center" vertical="center"/>
    </xf>
    <xf numFmtId="0" fontId="17" fillId="9" borderId="0" xfId="8" applyFont="1" applyFill="1" applyAlignment="1">
      <alignment horizontal="center" vertical="center" wrapText="1"/>
    </xf>
    <xf numFmtId="0" fontId="13" fillId="0" borderId="9" xfId="5" applyFont="1" applyBorder="1" applyAlignment="1">
      <alignment horizontal="center" vertical="center"/>
    </xf>
    <xf numFmtId="9" fontId="70" fillId="0" borderId="13" xfId="8" applyNumberFormat="1" applyFont="1" applyBorder="1" applyAlignment="1">
      <alignment horizontal="center" vertical="center"/>
    </xf>
    <xf numFmtId="9" fontId="70" fillId="0" borderId="11" xfId="8" applyNumberFormat="1" applyFont="1" applyBorder="1" applyAlignment="1">
      <alignment horizontal="center" vertical="center"/>
    </xf>
    <xf numFmtId="9" fontId="70" fillId="0" borderId="34" xfId="8" applyNumberFormat="1" applyFont="1" applyBorder="1" applyAlignment="1">
      <alignment horizontal="center" vertical="center"/>
    </xf>
    <xf numFmtId="9" fontId="70" fillId="0" borderId="7" xfId="8" applyNumberFormat="1" applyFont="1" applyBorder="1" applyAlignment="1">
      <alignment horizontal="center" vertical="center"/>
    </xf>
    <xf numFmtId="9" fontId="70" fillId="0" borderId="0" xfId="8" applyNumberFormat="1" applyFont="1" applyAlignment="1">
      <alignment horizontal="center" vertical="center"/>
    </xf>
    <xf numFmtId="9" fontId="70" fillId="0" borderId="6" xfId="8" applyNumberFormat="1" applyFont="1" applyBorder="1" applyAlignment="1">
      <alignment horizontal="center" vertical="center"/>
    </xf>
    <xf numFmtId="9" fontId="70" fillId="0" borderId="15" xfId="8" applyNumberFormat="1" applyFont="1" applyBorder="1" applyAlignment="1">
      <alignment horizontal="center" vertical="center"/>
    </xf>
    <xf numFmtId="9" fontId="70" fillId="0" borderId="9" xfId="8" applyNumberFormat="1" applyFont="1" applyBorder="1" applyAlignment="1">
      <alignment horizontal="center" vertical="center"/>
    </xf>
    <xf numFmtId="9" fontId="70" fillId="0" borderId="10" xfId="8" applyNumberFormat="1" applyFont="1" applyBorder="1" applyAlignment="1">
      <alignment horizontal="center" vertical="center"/>
    </xf>
    <xf numFmtId="0" fontId="50" fillId="6" borderId="13" xfId="8" applyFont="1" applyFill="1" applyBorder="1" applyAlignment="1">
      <alignment horizontal="center" vertical="center"/>
    </xf>
    <xf numFmtId="0" fontId="50" fillId="6" borderId="34" xfId="8" applyFont="1" applyFill="1" applyBorder="1" applyAlignment="1">
      <alignment horizontal="center" vertical="center"/>
    </xf>
    <xf numFmtId="0" fontId="50" fillId="6" borderId="7" xfId="8" applyFont="1" applyFill="1" applyBorder="1" applyAlignment="1">
      <alignment horizontal="center" vertical="center"/>
    </xf>
    <xf numFmtId="0" fontId="50" fillId="6" borderId="6" xfId="8" applyFont="1" applyFill="1" applyBorder="1" applyAlignment="1">
      <alignment horizontal="center" vertical="center"/>
    </xf>
    <xf numFmtId="0" fontId="50" fillId="6" borderId="15" xfId="8" applyFont="1" applyFill="1" applyBorder="1" applyAlignment="1">
      <alignment horizontal="center" vertical="center"/>
    </xf>
    <xf numFmtId="0" fontId="50" fillId="6" borderId="10" xfId="8" applyFont="1" applyFill="1" applyBorder="1" applyAlignment="1">
      <alignment horizontal="center" vertical="center"/>
    </xf>
    <xf numFmtId="9" fontId="8" fillId="9" borderId="0" xfId="5" applyNumberFormat="1" applyFont="1" applyFill="1" applyAlignment="1">
      <alignment horizontal="center" vertical="center" wrapText="1"/>
    </xf>
    <xf numFmtId="3" fontId="8" fillId="9" borderId="0" xfId="5" applyNumberFormat="1" applyFont="1" applyFill="1" applyAlignment="1">
      <alignment horizontal="center" vertical="center" wrapText="1"/>
    </xf>
    <xf numFmtId="1" fontId="8" fillId="9" borderId="0" xfId="5" applyNumberFormat="1" applyFont="1" applyFill="1" applyAlignment="1">
      <alignment horizontal="center" vertical="center" wrapText="1"/>
    </xf>
    <xf numFmtId="0" fontId="31" fillId="9" borderId="0" xfId="5" applyFont="1" applyFill="1" applyAlignment="1">
      <alignment horizontal="left" vertical="top" wrapText="1"/>
    </xf>
    <xf numFmtId="0" fontId="0" fillId="9" borderId="0" xfId="0" applyFill="1" applyAlignment="1">
      <alignment horizontal="left" vertical="top" wrapText="1"/>
    </xf>
    <xf numFmtId="0" fontId="31" fillId="9" borderId="0" xfId="5" applyFont="1" applyFill="1" applyAlignment="1">
      <alignment horizontal="center" vertical="center" wrapText="1"/>
    </xf>
    <xf numFmtId="0" fontId="5" fillId="9" borderId="0" xfId="5" applyFill="1" applyAlignment="1">
      <alignment horizontal="center" vertical="center" wrapText="1"/>
    </xf>
    <xf numFmtId="9" fontId="13" fillId="0" borderId="0" xfId="5" applyNumberFormat="1" applyFont="1" applyAlignment="1">
      <alignment horizontal="center" vertical="center"/>
    </xf>
    <xf numFmtId="0" fontId="5" fillId="0" borderId="0" xfId="8" applyFont="1" applyAlignment="1">
      <alignment horizontal="center" vertical="center"/>
    </xf>
    <xf numFmtId="0" fontId="31" fillId="9" borderId="0" xfId="5" applyFont="1" applyFill="1" applyAlignment="1">
      <alignment horizontal="center" vertical="center"/>
    </xf>
    <xf numFmtId="0" fontId="31" fillId="9" borderId="0" xfId="5" applyFont="1" applyFill="1" applyAlignment="1">
      <alignment horizontal="left" wrapText="1"/>
    </xf>
    <xf numFmtId="0" fontId="0" fillId="9" borderId="0" xfId="0" applyFill="1" applyAlignment="1">
      <alignment wrapText="1"/>
    </xf>
    <xf numFmtId="0" fontId="31" fillId="9" borderId="0" xfId="5" applyFont="1" applyFill="1" applyAlignment="1">
      <alignment horizontal="center"/>
    </xf>
    <xf numFmtId="0" fontId="31" fillId="9" borderId="0" xfId="5" applyFont="1" applyFill="1" applyAlignment="1">
      <alignment horizontal="center" vertical="top"/>
    </xf>
    <xf numFmtId="0" fontId="25" fillId="0" borderId="0" xfId="0" applyFont="1" applyAlignment="1">
      <alignment horizontal="center" vertical="center" wrapText="1"/>
    </xf>
    <xf numFmtId="0" fontId="19" fillId="9" borderId="0" xfId="0" applyFont="1" applyFill="1" applyAlignment="1">
      <alignment horizontal="center" vertical="center"/>
    </xf>
    <xf numFmtId="0" fontId="17" fillId="9" borderId="0" xfId="0" applyFont="1" applyFill="1" applyAlignment="1">
      <alignment horizontal="center" vertical="center" wrapText="1"/>
    </xf>
    <xf numFmtId="0" fontId="46" fillId="9" borderId="0" xfId="0" applyFont="1" applyFill="1" applyAlignment="1">
      <alignment horizontal="center" vertical="center"/>
    </xf>
    <xf numFmtId="0" fontId="17" fillId="9" borderId="0" xfId="0" applyFont="1" applyFill="1" applyAlignment="1">
      <alignment horizontal="center" vertical="center"/>
    </xf>
    <xf numFmtId="0" fontId="0" fillId="9" borderId="0" xfId="0" applyFill="1" applyAlignment="1">
      <alignment horizontal="center" vertical="center"/>
    </xf>
    <xf numFmtId="0" fontId="8" fillId="0" borderId="13" xfId="0" applyFont="1" applyBorder="1" applyAlignment="1">
      <alignment horizontal="center" vertical="center"/>
    </xf>
    <xf numFmtId="0" fontId="8" fillId="0" borderId="11" xfId="0" applyFont="1" applyBorder="1" applyAlignment="1">
      <alignment horizontal="center" vertical="center"/>
    </xf>
    <xf numFmtId="0" fontId="8" fillId="0" borderId="34" xfId="0" applyFont="1" applyBorder="1" applyAlignment="1">
      <alignment horizontal="center" vertical="center"/>
    </xf>
    <xf numFmtId="0" fontId="31" fillId="0" borderId="15" xfId="0" applyFont="1" applyBorder="1" applyAlignment="1">
      <alignment horizontal="center" vertical="center"/>
    </xf>
    <xf numFmtId="0" fontId="31" fillId="0" borderId="9" xfId="0" applyFont="1" applyBorder="1" applyAlignment="1">
      <alignment horizontal="center" vertical="center"/>
    </xf>
    <xf numFmtId="0" fontId="31" fillId="0" borderId="10" xfId="0" applyFont="1" applyBorder="1" applyAlignment="1">
      <alignment horizontal="center" vertical="center"/>
    </xf>
    <xf numFmtId="9" fontId="8" fillId="0" borderId="13" xfId="5" applyNumberFormat="1" applyFont="1" applyBorder="1" applyAlignment="1">
      <alignment horizontal="center" vertical="center"/>
    </xf>
    <xf numFmtId="9" fontId="8" fillId="0" borderId="11" xfId="5" applyNumberFormat="1" applyFont="1" applyBorder="1" applyAlignment="1">
      <alignment horizontal="center" vertical="center"/>
    </xf>
    <xf numFmtId="9" fontId="8" fillId="0" borderId="34" xfId="5" applyNumberFormat="1" applyFont="1" applyBorder="1" applyAlignment="1">
      <alignment horizontal="center" vertical="center"/>
    </xf>
    <xf numFmtId="9" fontId="8" fillId="0" borderId="15" xfId="5" applyNumberFormat="1" applyFont="1" applyBorder="1" applyAlignment="1">
      <alignment horizontal="center" vertical="center"/>
    </xf>
    <xf numFmtId="9" fontId="8" fillId="0" borderId="9" xfId="5" applyNumberFormat="1" applyFont="1" applyBorder="1" applyAlignment="1">
      <alignment horizontal="center" vertical="center"/>
    </xf>
    <xf numFmtId="9" fontId="8" fillId="0" borderId="10" xfId="5" applyNumberFormat="1" applyFont="1" applyBorder="1" applyAlignment="1">
      <alignment horizontal="center" vertical="center"/>
    </xf>
    <xf numFmtId="0" fontId="34" fillId="6" borderId="13" xfId="0" applyFont="1" applyFill="1" applyBorder="1" applyAlignment="1">
      <alignment horizontal="center" vertical="center"/>
    </xf>
    <xf numFmtId="0" fontId="34" fillId="6" borderId="34" xfId="0" applyFont="1" applyFill="1" applyBorder="1" applyAlignment="1">
      <alignment horizontal="center" vertical="center"/>
    </xf>
    <xf numFmtId="0" fontId="34" fillId="6" borderId="15" xfId="0" applyFont="1" applyFill="1" applyBorder="1" applyAlignment="1">
      <alignment horizontal="center" vertical="center"/>
    </xf>
    <xf numFmtId="0" fontId="34" fillId="6" borderId="10" xfId="0" applyFont="1" applyFill="1" applyBorder="1" applyAlignment="1">
      <alignment horizontal="center" vertical="center"/>
    </xf>
    <xf numFmtId="0" fontId="13" fillId="9" borderId="0" xfId="0" applyFont="1" applyFill="1" applyAlignment="1">
      <alignment horizontal="center" vertical="center"/>
    </xf>
    <xf numFmtId="0" fontId="16" fillId="9" borderId="0" xfId="0" applyFont="1" applyFill="1" applyAlignment="1">
      <alignment horizontal="center" vertical="center"/>
    </xf>
    <xf numFmtId="0" fontId="16" fillId="0" borderId="0" xfId="0" applyFont="1" applyAlignment="1">
      <alignment horizontal="center" vertical="center"/>
    </xf>
    <xf numFmtId="9" fontId="22" fillId="9" borderId="0" xfId="1" applyFont="1" applyFill="1" applyBorder="1" applyAlignment="1" applyProtection="1">
      <alignment horizontal="center" vertical="center"/>
    </xf>
    <xf numFmtId="0" fontId="13" fillId="0" borderId="0" xfId="0" applyFont="1" applyAlignment="1">
      <alignment horizontal="center" vertical="center"/>
    </xf>
    <xf numFmtId="0" fontId="13" fillId="9" borderId="0" xfId="14" applyFont="1" applyFill="1" applyAlignment="1">
      <alignment horizontal="center" vertical="center"/>
    </xf>
    <xf numFmtId="0" fontId="5" fillId="9" borderId="0" xfId="14" applyFont="1" applyFill="1" applyAlignment="1">
      <alignment horizontal="center" vertical="center"/>
    </xf>
    <xf numFmtId="0" fontId="5" fillId="0" borderId="0" xfId="14" applyFont="1" applyAlignment="1">
      <alignment horizontal="center" vertical="center"/>
    </xf>
    <xf numFmtId="0" fontId="8" fillId="0" borderId="13" xfId="14" applyFont="1" applyBorder="1" applyAlignment="1">
      <alignment horizontal="center" vertical="center"/>
    </xf>
    <xf numFmtId="0" fontId="8" fillId="0" borderId="11" xfId="14" applyFont="1" applyBorder="1" applyAlignment="1">
      <alignment horizontal="center" vertical="center"/>
    </xf>
    <xf numFmtId="0" fontId="8" fillId="0" borderId="34" xfId="14" applyFont="1" applyBorder="1" applyAlignment="1">
      <alignment horizontal="center" vertical="center"/>
    </xf>
    <xf numFmtId="0" fontId="26" fillId="0" borderId="15" xfId="14" applyFont="1" applyBorder="1" applyAlignment="1">
      <alignment horizontal="center" vertical="center"/>
    </xf>
    <xf numFmtId="0" fontId="26" fillId="0" borderId="9" xfId="14" applyFont="1" applyBorder="1" applyAlignment="1">
      <alignment horizontal="center" vertical="center"/>
    </xf>
    <xf numFmtId="0" fontId="26" fillId="0" borderId="10" xfId="14" applyFont="1" applyBorder="1" applyAlignment="1">
      <alignment horizontal="center" vertical="center"/>
    </xf>
    <xf numFmtId="0" fontId="34" fillId="6" borderId="13" xfId="14" applyFont="1" applyFill="1" applyBorder="1" applyAlignment="1">
      <alignment horizontal="center" vertical="center"/>
    </xf>
    <xf numFmtId="0" fontId="34" fillId="6" borderId="34" xfId="14" applyFont="1" applyFill="1" applyBorder="1" applyAlignment="1">
      <alignment horizontal="center" vertical="center"/>
    </xf>
    <xf numFmtId="0" fontId="34" fillId="6" borderId="15" xfId="14" applyFont="1" applyFill="1" applyBorder="1" applyAlignment="1">
      <alignment horizontal="center" vertical="center"/>
    </xf>
    <xf numFmtId="0" fontId="34" fillId="6" borderId="10" xfId="14" applyFont="1" applyFill="1" applyBorder="1" applyAlignment="1">
      <alignment horizontal="center" vertical="center"/>
    </xf>
    <xf numFmtId="0" fontId="13" fillId="0" borderId="0" xfId="14" applyFont="1" applyAlignment="1">
      <alignment horizontal="center" vertical="center"/>
    </xf>
    <xf numFmtId="0" fontId="17" fillId="9" borderId="0" xfId="14" applyFont="1" applyFill="1" applyAlignment="1">
      <alignment horizontal="center" vertical="center"/>
    </xf>
    <xf numFmtId="0" fontId="4" fillId="9" borderId="0" xfId="14" applyFill="1" applyAlignment="1">
      <alignment horizontal="center" vertical="center"/>
    </xf>
    <xf numFmtId="9" fontId="13" fillId="9" borderId="0" xfId="1" applyFont="1" applyFill="1" applyBorder="1" applyAlignment="1" applyProtection="1">
      <alignment horizontal="center" vertical="center"/>
    </xf>
    <xf numFmtId="0" fontId="8" fillId="0" borderId="0" xfId="14" applyFont="1" applyAlignment="1">
      <alignment horizontal="center" vertical="center" wrapText="1"/>
    </xf>
    <xf numFmtId="0" fontId="17" fillId="9" borderId="0" xfId="14" applyFont="1" applyFill="1" applyAlignment="1">
      <alignment horizontal="center" vertical="center" wrapText="1"/>
    </xf>
    <xf numFmtId="0" fontId="26" fillId="9" borderId="0" xfId="5" applyFont="1" applyFill="1" applyAlignment="1">
      <alignment horizontal="center"/>
    </xf>
    <xf numFmtId="0" fontId="46" fillId="9" borderId="0" xfId="14" applyFont="1" applyFill="1" applyAlignment="1">
      <alignment horizontal="center" vertical="center"/>
    </xf>
    <xf numFmtId="0" fontId="4" fillId="9" borderId="0" xfId="14" applyFill="1" applyAlignment="1">
      <alignment horizontal="left" vertical="top" wrapText="1"/>
    </xf>
    <xf numFmtId="0" fontId="26" fillId="9" borderId="0" xfId="5" applyFont="1" applyFill="1" applyAlignment="1">
      <alignment horizontal="left" vertical="top" wrapText="1"/>
    </xf>
    <xf numFmtId="0" fontId="26" fillId="9" borderId="0" xfId="5" applyFont="1" applyFill="1" applyAlignment="1">
      <alignment horizontal="center" vertical="top"/>
    </xf>
    <xf numFmtId="0" fontId="26" fillId="9" borderId="0" xfId="5" applyFont="1" applyFill="1" applyAlignment="1">
      <alignment horizontal="center" vertical="center" wrapText="1"/>
    </xf>
    <xf numFmtId="0" fontId="26" fillId="9" borderId="0" xfId="5" applyFont="1" applyFill="1" applyAlignment="1">
      <alignment horizontal="center" vertical="center"/>
    </xf>
    <xf numFmtId="0" fontId="26" fillId="9" borderId="0" xfId="5" applyFont="1" applyFill="1" applyAlignment="1">
      <alignment horizontal="left" wrapText="1"/>
    </xf>
    <xf numFmtId="0" fontId="4" fillId="9" borderId="0" xfId="14" applyFill="1" applyAlignment="1">
      <alignment wrapText="1"/>
    </xf>
    <xf numFmtId="0" fontId="95" fillId="18" borderId="0" xfId="5" applyFont="1" applyFill="1" applyAlignment="1">
      <alignment horizontal="center" vertical="center"/>
    </xf>
    <xf numFmtId="0" fontId="60" fillId="18" borderId="0" xfId="8" applyFont="1" applyFill="1" applyAlignment="1">
      <alignment horizontal="center" vertical="center"/>
    </xf>
    <xf numFmtId="9" fontId="60" fillId="18" borderId="0" xfId="5" applyNumberFormat="1" applyFont="1" applyFill="1" applyAlignment="1">
      <alignment horizontal="center" vertical="center"/>
    </xf>
    <xf numFmtId="9" fontId="57" fillId="18" borderId="0" xfId="5" applyNumberFormat="1" applyFont="1" applyFill="1" applyAlignment="1">
      <alignment horizontal="center" vertical="center"/>
    </xf>
    <xf numFmtId="0" fontId="58" fillId="18" borderId="0" xfId="8" applyFont="1" applyFill="1" applyAlignment="1">
      <alignment horizontal="center" vertical="center"/>
    </xf>
    <xf numFmtId="9" fontId="70" fillId="0" borderId="13" xfId="1" applyFont="1" applyFill="1" applyBorder="1" applyAlignment="1" applyProtection="1">
      <alignment horizontal="center" vertical="center"/>
    </xf>
    <xf numFmtId="9" fontId="70" fillId="0" borderId="11" xfId="1" applyFont="1" applyFill="1" applyBorder="1" applyAlignment="1" applyProtection="1">
      <alignment horizontal="center" vertical="center"/>
    </xf>
    <xf numFmtId="9" fontId="70" fillId="0" borderId="34" xfId="1" applyFont="1" applyFill="1" applyBorder="1" applyAlignment="1" applyProtection="1">
      <alignment horizontal="center" vertical="center"/>
    </xf>
    <xf numFmtId="9" fontId="70" fillId="0" borderId="7" xfId="1" applyFont="1" applyFill="1" applyBorder="1" applyAlignment="1" applyProtection="1">
      <alignment horizontal="center" vertical="center"/>
    </xf>
    <xf numFmtId="9" fontId="70" fillId="0" borderId="0" xfId="1" applyFont="1" applyFill="1" applyBorder="1" applyAlignment="1" applyProtection="1">
      <alignment horizontal="center" vertical="center"/>
    </xf>
    <xf numFmtId="9" fontId="70" fillId="0" borderId="6" xfId="1" applyFont="1" applyFill="1" applyBorder="1" applyAlignment="1" applyProtection="1">
      <alignment horizontal="center" vertical="center"/>
    </xf>
    <xf numFmtId="9" fontId="70" fillId="0" borderId="15" xfId="1" applyFont="1" applyFill="1" applyBorder="1" applyAlignment="1" applyProtection="1">
      <alignment horizontal="center" vertical="center"/>
    </xf>
    <xf numFmtId="9" fontId="70" fillId="0" borderId="9" xfId="1" applyFont="1" applyFill="1" applyBorder="1" applyAlignment="1" applyProtection="1">
      <alignment horizontal="center" vertical="center"/>
    </xf>
    <xf numFmtId="9" fontId="70" fillId="0" borderId="10" xfId="1" applyFont="1" applyFill="1" applyBorder="1" applyAlignment="1" applyProtection="1">
      <alignment horizontal="center" vertical="center"/>
    </xf>
    <xf numFmtId="0" fontId="50" fillId="20" borderId="13" xfId="8" applyFont="1" applyFill="1" applyBorder="1" applyAlignment="1">
      <alignment horizontal="center" vertical="center"/>
    </xf>
    <xf numFmtId="0" fontId="50" fillId="20" borderId="34" xfId="8" applyFont="1" applyFill="1" applyBorder="1" applyAlignment="1">
      <alignment horizontal="center" vertical="center"/>
    </xf>
    <xf numFmtId="0" fontId="50" fillId="20" borderId="7" xfId="8" applyFont="1" applyFill="1" applyBorder="1" applyAlignment="1">
      <alignment horizontal="center" vertical="center"/>
    </xf>
    <xf numFmtId="0" fontId="50" fillId="20" borderId="6" xfId="8" applyFont="1" applyFill="1" applyBorder="1" applyAlignment="1">
      <alignment horizontal="center" vertical="center"/>
    </xf>
    <xf numFmtId="0" fontId="50" fillId="20" borderId="15" xfId="8" applyFont="1" applyFill="1" applyBorder="1" applyAlignment="1">
      <alignment horizontal="center" vertical="center"/>
    </xf>
    <xf numFmtId="0" fontId="50" fillId="20" borderId="10" xfId="8" applyFont="1" applyFill="1" applyBorder="1" applyAlignment="1">
      <alignment horizontal="center" vertical="center"/>
    </xf>
    <xf numFmtId="0" fontId="60" fillId="18" borderId="0" xfId="8" applyFont="1" applyFill="1" applyAlignment="1">
      <alignment horizontal="center" vertical="center" wrapText="1"/>
    </xf>
    <xf numFmtId="0" fontId="61" fillId="18" borderId="0" xfId="8" applyFont="1" applyFill="1" applyAlignment="1">
      <alignment horizontal="center" vertical="center"/>
    </xf>
    <xf numFmtId="9" fontId="13" fillId="0" borderId="29" xfId="5" applyNumberFormat="1" applyFont="1" applyBorder="1" applyAlignment="1">
      <alignment horizontal="center" vertical="center"/>
    </xf>
    <xf numFmtId="9" fontId="13" fillId="0" borderId="43" xfId="5" applyNumberFormat="1" applyFont="1" applyBorder="1" applyAlignment="1">
      <alignment horizontal="center" vertical="center"/>
    </xf>
    <xf numFmtId="0" fontId="17" fillId="0" borderId="0" xfId="5" applyFont="1" applyAlignment="1">
      <alignment horizontal="left" vertical="center" wrapText="1"/>
    </xf>
    <xf numFmtId="0" fontId="13" fillId="0" borderId="11" xfId="5" applyFont="1" applyBorder="1" applyAlignment="1">
      <alignment horizontal="left" vertical="center"/>
    </xf>
    <xf numFmtId="0" fontId="13" fillId="0" borderId="34" xfId="5" applyFont="1" applyBorder="1" applyAlignment="1">
      <alignment horizontal="left" vertical="center"/>
    </xf>
    <xf numFmtId="0" fontId="13" fillId="0" borderId="0" xfId="5" applyFont="1" applyAlignment="1">
      <alignment horizontal="center" vertical="center"/>
    </xf>
    <xf numFmtId="0" fontId="13" fillId="0" borderId="6" xfId="5" applyFont="1" applyBorder="1" applyAlignment="1">
      <alignment horizontal="center" vertical="center"/>
    </xf>
    <xf numFmtId="0" fontId="38" fillId="0" borderId="3" xfId="2" applyFont="1" applyBorder="1" applyAlignment="1">
      <alignment horizontal="center"/>
    </xf>
    <xf numFmtId="0" fontId="65" fillId="0" borderId="0" xfId="2" applyFont="1" applyAlignment="1">
      <alignment horizontal="left" vertical="center" wrapText="1"/>
    </xf>
    <xf numFmtId="0" fontId="8" fillId="0" borderId="0" xfId="2" applyFont="1" applyAlignment="1">
      <alignment horizontal="right" vertical="center" wrapText="1"/>
    </xf>
    <xf numFmtId="0" fontId="26" fillId="0" borderId="0" xfId="2" applyFont="1" applyAlignment="1">
      <alignment horizontal="left" vertical="center"/>
    </xf>
    <xf numFmtId="0" fontId="26" fillId="0" borderId="0" xfId="2" applyFont="1" applyAlignment="1">
      <alignment horizontal="left" vertical="center" wrapText="1"/>
    </xf>
    <xf numFmtId="0" fontId="8" fillId="0" borderId="0" xfId="2" applyFont="1" applyAlignment="1">
      <alignment horizontal="right" vertical="center"/>
    </xf>
    <xf numFmtId="0" fontId="26" fillId="0" borderId="4" xfId="2" applyFont="1" applyBorder="1" applyAlignment="1">
      <alignment horizontal="left" vertical="center"/>
    </xf>
    <xf numFmtId="0" fontId="69" fillId="0" borderId="0" xfId="15" applyFont="1" applyAlignment="1">
      <alignment horizontal="left" vertical="center" readingOrder="1"/>
    </xf>
    <xf numFmtId="0" fontId="18" fillId="0" borderId="17" xfId="2" applyFont="1" applyBorder="1" applyAlignment="1">
      <alignment horizontal="center" vertical="center" wrapText="1"/>
    </xf>
    <xf numFmtId="0" fontId="18" fillId="0" borderId="4" xfId="2" applyFont="1" applyBorder="1" applyAlignment="1">
      <alignment horizontal="center" vertical="center" wrapText="1"/>
    </xf>
    <xf numFmtId="0" fontId="18" fillId="0" borderId="5" xfId="2" applyFont="1" applyBorder="1" applyAlignment="1">
      <alignment horizontal="center" vertical="center" wrapText="1"/>
    </xf>
    <xf numFmtId="0" fontId="26" fillId="0" borderId="0" xfId="2" applyFont="1" applyAlignment="1" applyProtection="1">
      <alignment horizontal="left" vertical="top"/>
      <protection locked="0"/>
    </xf>
    <xf numFmtId="0" fontId="26" fillId="0" borderId="4" xfId="2" applyFont="1" applyBorder="1" applyAlignment="1" applyProtection="1">
      <alignment horizontal="left" vertical="top"/>
      <protection locked="0"/>
    </xf>
    <xf numFmtId="0" fontId="8" fillId="0" borderId="51" xfId="2" applyFont="1" applyBorder="1" applyAlignment="1">
      <alignment horizontal="left" vertical="center"/>
    </xf>
    <xf numFmtId="0" fontId="8" fillId="0" borderId="52" xfId="2" applyFont="1" applyBorder="1" applyAlignment="1">
      <alignment horizontal="left" vertical="center"/>
    </xf>
    <xf numFmtId="0" fontId="8" fillId="0" borderId="53" xfId="2" applyFont="1" applyBorder="1" applyAlignment="1">
      <alignment horizontal="left" vertical="center"/>
    </xf>
    <xf numFmtId="0" fontId="8" fillId="0" borderId="54" xfId="2" applyFont="1" applyBorder="1" applyAlignment="1">
      <alignment horizontal="left" vertical="center"/>
    </xf>
    <xf numFmtId="0" fontId="8" fillId="0" borderId="50" xfId="2" applyFont="1" applyBorder="1" applyAlignment="1">
      <alignment horizontal="left" vertical="center"/>
    </xf>
    <xf numFmtId="0" fontId="8" fillId="0" borderId="55" xfId="2" applyFont="1" applyBorder="1" applyAlignment="1">
      <alignment horizontal="left" vertical="center"/>
    </xf>
    <xf numFmtId="0" fontId="5" fillId="11" borderId="48" xfId="2" applyFill="1" applyBorder="1" applyAlignment="1">
      <alignment horizontal="center" vertical="center"/>
    </xf>
    <xf numFmtId="0" fontId="5" fillId="11" borderId="32" xfId="2" applyFill="1" applyBorder="1" applyAlignment="1">
      <alignment horizontal="center" vertical="center"/>
    </xf>
    <xf numFmtId="0" fontId="5" fillId="11" borderId="62" xfId="2" applyFill="1" applyBorder="1" applyAlignment="1">
      <alignment horizontal="center" vertical="center"/>
    </xf>
    <xf numFmtId="0" fontId="39" fillId="0" borderId="51" xfId="2" applyFont="1" applyBorder="1" applyAlignment="1">
      <alignment horizontal="left" vertical="top"/>
    </xf>
    <xf numFmtId="0" fontId="39" fillId="0" borderId="52" xfId="2" applyFont="1" applyBorder="1" applyAlignment="1">
      <alignment horizontal="left" vertical="top"/>
    </xf>
    <xf numFmtId="0" fontId="39" fillId="0" borderId="53" xfId="2" applyFont="1" applyBorder="1" applyAlignment="1">
      <alignment horizontal="left" vertical="top"/>
    </xf>
    <xf numFmtId="0" fontId="39" fillId="0" borderId="54" xfId="2" applyFont="1" applyBorder="1" applyAlignment="1">
      <alignment horizontal="left" vertical="top"/>
    </xf>
    <xf numFmtId="0" fontId="39" fillId="0" borderId="50" xfId="2" applyFont="1" applyBorder="1" applyAlignment="1">
      <alignment horizontal="left" vertical="top"/>
    </xf>
    <xf numFmtId="0" fontId="39" fillId="0" borderId="55" xfId="2" applyFont="1" applyBorder="1" applyAlignment="1">
      <alignment horizontal="left" vertical="top"/>
    </xf>
    <xf numFmtId="0" fontId="39" fillId="0" borderId="56" xfId="2" applyFont="1" applyBorder="1" applyAlignment="1">
      <alignment horizontal="left" vertical="top"/>
    </xf>
    <xf numFmtId="0" fontId="39" fillId="0" borderId="57" xfId="2" applyFont="1" applyBorder="1" applyAlignment="1">
      <alignment horizontal="left" vertical="top"/>
    </xf>
    <xf numFmtId="0" fontId="39" fillId="0" borderId="58" xfId="2" applyFont="1" applyBorder="1" applyAlignment="1">
      <alignment horizontal="left" vertical="top"/>
    </xf>
    <xf numFmtId="0" fontId="8" fillId="0" borderId="56" xfId="2" applyFont="1" applyBorder="1" applyAlignment="1">
      <alignment horizontal="left" vertical="center"/>
    </xf>
    <xf numFmtId="0" fontId="8" fillId="0" borderId="57" xfId="2" applyFont="1" applyBorder="1" applyAlignment="1">
      <alignment horizontal="left" vertical="center"/>
    </xf>
    <xf numFmtId="0" fontId="8" fillId="0" borderId="58" xfId="2" applyFont="1" applyBorder="1" applyAlignment="1">
      <alignment horizontal="left" vertical="center"/>
    </xf>
    <xf numFmtId="0" fontId="5" fillId="0" borderId="3" xfId="2" applyBorder="1" applyAlignment="1">
      <alignment horizontal="left" vertical="top" wrapText="1"/>
    </xf>
    <xf numFmtId="0" fontId="5" fillId="0" borderId="0" xfId="2" applyAlignment="1">
      <alignment horizontal="center" wrapText="1"/>
    </xf>
    <xf numFmtId="0" fontId="6" fillId="0" borderId="0" xfId="2" applyFont="1" applyAlignment="1">
      <alignment horizontal="left" vertical="center"/>
    </xf>
    <xf numFmtId="0" fontId="5" fillId="0" borderId="0" xfId="2" applyAlignment="1">
      <alignment horizontal="left" vertical="center"/>
    </xf>
    <xf numFmtId="0" fontId="4" fillId="0" borderId="64" xfId="2" applyFont="1" applyBorder="1" applyAlignment="1">
      <alignment horizontal="left" vertical="center"/>
    </xf>
    <xf numFmtId="0" fontId="4" fillId="0" borderId="106" xfId="2" applyFont="1" applyBorder="1" applyAlignment="1">
      <alignment horizontal="left" vertical="center"/>
    </xf>
    <xf numFmtId="0" fontId="10" fillId="0" borderId="105" xfId="2" applyFont="1" applyBorder="1" applyAlignment="1">
      <alignment horizontal="center" vertical="center"/>
    </xf>
    <xf numFmtId="0" fontId="10" fillId="0" borderId="64" xfId="2" applyFont="1" applyBorder="1" applyAlignment="1">
      <alignment horizontal="center" vertical="center"/>
    </xf>
    <xf numFmtId="14" fontId="4" fillId="0" borderId="50" xfId="2" applyNumberFormat="1" applyFont="1" applyBorder="1" applyAlignment="1">
      <alignment horizontal="left" vertical="center"/>
    </xf>
    <xf numFmtId="14" fontId="4" fillId="0" borderId="55" xfId="2" applyNumberFormat="1" applyFont="1" applyBorder="1" applyAlignment="1">
      <alignment horizontal="left" vertical="center"/>
    </xf>
    <xf numFmtId="14" fontId="10" fillId="0" borderId="54" xfId="2" applyNumberFormat="1" applyFont="1" applyBorder="1" applyAlignment="1">
      <alignment horizontal="center" vertical="center"/>
    </xf>
    <xf numFmtId="14" fontId="10" fillId="0" borderId="50" xfId="2" applyNumberFormat="1" applyFont="1" applyBorder="1" applyAlignment="1">
      <alignment horizontal="center" vertical="center"/>
    </xf>
    <xf numFmtId="14" fontId="8" fillId="0" borderId="48" xfId="2" applyNumberFormat="1" applyFont="1" applyBorder="1" applyAlignment="1">
      <alignment horizontal="center" vertical="center"/>
    </xf>
    <xf numFmtId="14" fontId="8" fillId="0" borderId="62" xfId="2" applyNumberFormat="1" applyFont="1" applyBorder="1" applyAlignment="1">
      <alignment horizontal="center" vertical="center"/>
    </xf>
    <xf numFmtId="0" fontId="26" fillId="11" borderId="48" xfId="2" applyFont="1" applyFill="1" applyBorder="1" applyAlignment="1">
      <alignment horizontal="center" vertical="center"/>
    </xf>
    <xf numFmtId="0" fontId="26" fillId="11" borderId="32" xfId="2" applyFont="1" applyFill="1" applyBorder="1" applyAlignment="1">
      <alignment horizontal="center" vertical="center"/>
    </xf>
    <xf numFmtId="0" fontId="26" fillId="11" borderId="62" xfId="2" applyFont="1" applyFill="1" applyBorder="1" applyAlignment="1">
      <alignment horizontal="center" vertical="center"/>
    </xf>
    <xf numFmtId="0" fontId="26" fillId="0" borderId="0" xfId="15" applyFont="1" applyAlignment="1">
      <alignment horizontal="center"/>
    </xf>
    <xf numFmtId="14" fontId="4" fillId="0" borderId="0" xfId="2" applyNumberFormat="1" applyFont="1" applyAlignment="1">
      <alignment horizontal="center" vertical="top"/>
    </xf>
    <xf numFmtId="14" fontId="10" fillId="0" borderId="56" xfId="2" applyNumberFormat="1" applyFont="1" applyBorder="1" applyAlignment="1">
      <alignment horizontal="center" vertical="center"/>
    </xf>
    <xf numFmtId="14" fontId="10" fillId="0" borderId="57" xfId="2" applyNumberFormat="1" applyFont="1" applyBorder="1" applyAlignment="1">
      <alignment horizontal="center" vertical="center"/>
    </xf>
    <xf numFmtId="0" fontId="26" fillId="0" borderId="0" xfId="2" applyFont="1" applyAlignment="1">
      <alignment horizontal="center" wrapText="1"/>
    </xf>
    <xf numFmtId="0" fontId="26" fillId="0" borderId="3" xfId="15" applyFont="1" applyBorder="1" applyAlignment="1">
      <alignment horizontal="center"/>
    </xf>
    <xf numFmtId="0" fontId="5" fillId="0" borderId="3" xfId="15" applyFont="1" applyBorder="1" applyAlignment="1">
      <alignment horizontal="left" vertical="center"/>
    </xf>
    <xf numFmtId="0" fontId="5" fillId="0" borderId="3" xfId="2" applyBorder="1" applyAlignment="1">
      <alignment horizontal="left" vertical="center"/>
    </xf>
    <xf numFmtId="0" fontId="4" fillId="0" borderId="57" xfId="15" applyFont="1" applyBorder="1" applyAlignment="1">
      <alignment horizontal="left" vertical="center"/>
    </xf>
    <xf numFmtId="0" fontId="4" fillId="0" borderId="58" xfId="15" applyFont="1" applyBorder="1" applyAlignment="1">
      <alignment horizontal="left" vertical="center"/>
    </xf>
    <xf numFmtId="0" fontId="69" fillId="0" borderId="0" xfId="0" applyFont="1" applyAlignment="1">
      <alignment horizontal="left" vertical="center" readingOrder="1"/>
    </xf>
    <xf numFmtId="0" fontId="26" fillId="0" borderId="0" xfId="0" applyFont="1" applyAlignment="1">
      <alignment horizontal="center"/>
    </xf>
    <xf numFmtId="0" fontId="5" fillId="0" borderId="3" xfId="0" applyFont="1" applyBorder="1" applyAlignment="1">
      <alignment horizontal="left" vertical="center"/>
    </xf>
    <xf numFmtId="0" fontId="26" fillId="0" borderId="3" xfId="0" applyFont="1" applyBorder="1" applyAlignment="1">
      <alignment horizontal="center"/>
    </xf>
    <xf numFmtId="0" fontId="5" fillId="0" borderId="0" xfId="2" applyAlignment="1">
      <alignment horizontal="left" vertical="top" wrapText="1"/>
    </xf>
    <xf numFmtId="0" fontId="4" fillId="0" borderId="57" xfId="0" applyFont="1" applyBorder="1" applyAlignment="1">
      <alignment horizontal="left" vertical="center"/>
    </xf>
    <xf numFmtId="0" fontId="4" fillId="0" borderId="58" xfId="0" applyFont="1" applyBorder="1" applyAlignment="1">
      <alignment horizontal="left" vertical="center"/>
    </xf>
    <xf numFmtId="165" fontId="26" fillId="0" borderId="0" xfId="7" applyNumberFormat="1" applyFont="1" applyAlignment="1">
      <alignment horizontal="left"/>
    </xf>
    <xf numFmtId="0" fontId="8" fillId="11" borderId="48" xfId="7" applyFont="1" applyFill="1" applyBorder="1" applyAlignment="1">
      <alignment horizontal="center" vertical="center"/>
    </xf>
    <xf numFmtId="0" fontId="25" fillId="11" borderId="32" xfId="7" applyFont="1" applyFill="1" applyBorder="1" applyAlignment="1">
      <alignment horizontal="center" vertical="center"/>
    </xf>
    <xf numFmtId="0" fontId="4" fillId="3" borderId="48" xfId="0" applyFont="1" applyFill="1" applyBorder="1" applyAlignment="1">
      <alignment horizontal="left" vertical="center" wrapText="1"/>
    </xf>
    <xf numFmtId="0" fontId="0" fillId="3" borderId="32" xfId="0" applyFill="1" applyBorder="1" applyAlignment="1">
      <alignment horizontal="left" vertical="center" wrapText="1"/>
    </xf>
    <xf numFmtId="0" fontId="0" fillId="3" borderId="62" xfId="0" applyFill="1" applyBorder="1" applyAlignment="1">
      <alignment horizontal="left" vertical="center" wrapText="1"/>
    </xf>
    <xf numFmtId="0" fontId="3" fillId="3" borderId="48" xfId="0" applyFont="1" applyFill="1" applyBorder="1" applyAlignment="1">
      <alignment horizontal="center"/>
    </xf>
    <xf numFmtId="0" fontId="0" fillId="0" borderId="32" xfId="0" applyBorder="1"/>
    <xf numFmtId="0" fontId="0" fillId="0" borderId="62" xfId="0" applyBorder="1"/>
    <xf numFmtId="0" fontId="17" fillId="3" borderId="14" xfId="4" applyFont="1" applyFill="1" applyBorder="1" applyAlignment="1">
      <alignment horizontal="center" vertical="center"/>
    </xf>
    <xf numFmtId="0" fontId="19" fillId="3" borderId="14" xfId="4" applyFont="1" applyFill="1" applyBorder="1" applyAlignment="1">
      <alignment horizontal="center" vertical="center"/>
    </xf>
    <xf numFmtId="0" fontId="19" fillId="3" borderId="48" xfId="4" applyFont="1" applyFill="1" applyBorder="1" applyAlignment="1">
      <alignment horizontal="center" vertical="center"/>
    </xf>
    <xf numFmtId="0" fontId="3" fillId="3" borderId="48" xfId="0" applyFont="1" applyFill="1" applyBorder="1" applyAlignment="1">
      <alignment horizontal="center" vertical="center" wrapText="1"/>
    </xf>
    <xf numFmtId="0" fontId="0" fillId="3" borderId="32" xfId="0" applyFill="1" applyBorder="1" applyAlignment="1">
      <alignment horizontal="center" vertical="center" wrapText="1"/>
    </xf>
    <xf numFmtId="0" fontId="0" fillId="3" borderId="62" xfId="0" applyFill="1" applyBorder="1" applyAlignment="1">
      <alignment horizontal="center" vertical="center" wrapText="1"/>
    </xf>
  </cellXfs>
  <cellStyles count="18">
    <cellStyle name="_x000a_mouse.drv=lm" xfId="9" xr:uid="{00000000-0005-0000-0000-000000000000}"/>
    <cellStyle name="Normal" xfId="0" builtinId="0"/>
    <cellStyle name="Normal 2" xfId="11" xr:uid="{00000000-0005-0000-0000-000002000000}"/>
    <cellStyle name="Normal 2 2" xfId="14" xr:uid="{00000000-0005-0000-0000-000003000000}"/>
    <cellStyle name="Normal 3" xfId="12" xr:uid="{00000000-0005-0000-0000-000004000000}"/>
    <cellStyle name="Normal 4" xfId="15" xr:uid="{00000000-0005-0000-0000-000005000000}"/>
    <cellStyle name="Normal 4 2" xfId="17" xr:uid="{3CC70DD4-4E54-43FF-A96F-AC085202E38A}"/>
    <cellStyle name="Normal 6" xfId="13" xr:uid="{00000000-0005-0000-0000-000006000000}"/>
    <cellStyle name="Porcentaje" xfId="1" builtinId="5"/>
    <cellStyle name="Standard 2" xfId="8" xr:uid="{00000000-0005-0000-0000-000008000000}"/>
    <cellStyle name="Standard 3" xfId="10" xr:uid="{00000000-0005-0000-0000-000009000000}"/>
    <cellStyle name="Standard 3 2" xfId="16" xr:uid="{EC25C2FE-8E38-4FDD-AE04-7D8BDD1E9E70}"/>
    <cellStyle name="Standard_Deckblatt" xfId="2" xr:uid="{00000000-0005-0000-0000-00000A000000}"/>
    <cellStyle name="Standard_Eingabemaske" xfId="3" xr:uid="{00000000-0005-0000-0000-00000B000000}"/>
    <cellStyle name="Standard_Programm A Lieferanten_Arbeitsdokument" xfId="4" xr:uid="{00000000-0005-0000-0000-00000C000000}"/>
    <cellStyle name="Standard_VAAUSWER" xfId="5" xr:uid="{00000000-0005-0000-0000-00000D000000}"/>
    <cellStyle name="Standard_VAERGEBN" xfId="6" xr:uid="{00000000-0005-0000-0000-00000E000000}"/>
    <cellStyle name="Standard_Verbesserungsprogramm" xfId="7" xr:uid="{00000000-0005-0000-0000-00000F000000}"/>
  </cellStyles>
  <dxfs count="255">
    <dxf>
      <fill>
        <patternFill>
          <bgColor indexed="11"/>
        </patternFill>
      </fill>
    </dxf>
    <dxf>
      <fill>
        <patternFill>
          <bgColor indexed="44"/>
        </patternFill>
      </fill>
    </dxf>
    <dxf>
      <fill>
        <patternFill>
          <bgColor indexed="13"/>
        </patternFill>
      </fill>
    </dxf>
    <dxf>
      <font>
        <condense val="0"/>
        <extend val="0"/>
        <color auto="1"/>
      </font>
      <fill>
        <patternFill>
          <bgColor indexed="14"/>
        </patternFill>
      </fill>
    </dxf>
    <dxf>
      <font>
        <condense val="0"/>
        <extend val="0"/>
        <color auto="1"/>
      </font>
      <fill>
        <patternFill>
          <bgColor indexed="13"/>
        </patternFill>
      </fill>
    </dxf>
    <dxf>
      <font>
        <condense val="0"/>
        <extend val="0"/>
        <color auto="1"/>
      </font>
      <fill>
        <patternFill>
          <bgColor indexed="11"/>
        </patternFill>
      </fill>
    </dxf>
    <dxf>
      <font>
        <condense val="0"/>
        <extend val="0"/>
        <color auto="1"/>
      </font>
      <fill>
        <patternFill>
          <bgColor indexed="14"/>
        </patternFill>
      </fill>
    </dxf>
    <dxf>
      <font>
        <condense val="0"/>
        <extend val="0"/>
        <color auto="1"/>
      </font>
      <fill>
        <patternFill>
          <bgColor indexed="13"/>
        </patternFill>
      </fill>
    </dxf>
    <dxf>
      <font>
        <condense val="0"/>
        <extend val="0"/>
        <color auto="1"/>
      </font>
      <fill>
        <patternFill>
          <bgColor indexed="11"/>
        </patternFill>
      </fill>
    </dxf>
    <dxf>
      <font>
        <condense val="0"/>
        <extend val="0"/>
        <color auto="1"/>
      </font>
      <fill>
        <patternFill>
          <bgColor indexed="14"/>
        </patternFill>
      </fill>
    </dxf>
    <dxf>
      <font>
        <condense val="0"/>
        <extend val="0"/>
        <color auto="1"/>
      </font>
      <fill>
        <patternFill>
          <bgColor indexed="13"/>
        </patternFill>
      </fill>
    </dxf>
    <dxf>
      <font>
        <condense val="0"/>
        <extend val="0"/>
        <color auto="1"/>
      </font>
      <fill>
        <patternFill>
          <bgColor indexed="11"/>
        </patternFill>
      </fill>
    </dxf>
    <dxf>
      <font>
        <condense val="0"/>
        <extend val="0"/>
        <color auto="1"/>
      </font>
      <fill>
        <patternFill>
          <bgColor indexed="14"/>
        </patternFill>
      </fill>
    </dxf>
    <dxf>
      <font>
        <condense val="0"/>
        <extend val="0"/>
        <color auto="1"/>
      </font>
      <fill>
        <patternFill>
          <bgColor indexed="13"/>
        </patternFill>
      </fill>
    </dxf>
    <dxf>
      <font>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font>
      <fill>
        <patternFill>
          <bgColor indexed="11"/>
        </patternFill>
      </fill>
    </dxf>
    <dxf>
      <font>
        <b/>
        <i val="0"/>
        <color rgb="FFFFFF00"/>
      </font>
      <fill>
        <patternFill>
          <bgColor rgb="FFFF7C80"/>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ill>
        <patternFill>
          <bgColor indexed="11"/>
        </patternFill>
      </fill>
    </dxf>
    <dxf>
      <fill>
        <patternFill>
          <bgColor indexed="13"/>
        </patternFill>
      </fill>
    </dxf>
    <dxf>
      <fill>
        <patternFill>
          <bgColor indexed="10"/>
        </patternFill>
      </fill>
    </dxf>
    <dxf>
      <font>
        <b/>
        <i val="0"/>
        <color rgb="FFFFFF00"/>
      </font>
      <fill>
        <patternFill>
          <bgColor rgb="FFFF7C80"/>
        </patternFill>
      </fill>
    </dxf>
    <dxf>
      <fill>
        <patternFill>
          <bgColor indexed="11"/>
        </patternFill>
      </fill>
    </dxf>
    <dxf>
      <fill>
        <patternFill>
          <bgColor indexed="13"/>
        </patternFill>
      </fill>
    </dxf>
    <dxf>
      <fill>
        <patternFill>
          <bgColor indexed="10"/>
        </patternFill>
      </fill>
    </dxf>
    <dxf>
      <font>
        <b/>
        <i val="0"/>
        <color rgb="FFFFFF00"/>
      </font>
      <fill>
        <patternFill>
          <bgColor rgb="FFFF7C80"/>
        </patternFill>
      </fill>
    </dxf>
    <dxf>
      <fill>
        <patternFill>
          <bgColor indexed="11"/>
        </patternFill>
      </fill>
    </dxf>
    <dxf>
      <fill>
        <patternFill>
          <bgColor indexed="13"/>
        </patternFill>
      </fill>
    </dxf>
    <dxf>
      <fill>
        <patternFill>
          <bgColor indexed="10"/>
        </patternFill>
      </fill>
    </dxf>
    <dxf>
      <font>
        <b/>
        <i val="0"/>
        <color rgb="FFFFFF00"/>
      </font>
      <fill>
        <patternFill>
          <bgColor rgb="FFFF7C80"/>
        </patternFill>
      </fill>
    </dxf>
    <dxf>
      <fill>
        <patternFill>
          <bgColor indexed="11"/>
        </patternFill>
      </fill>
    </dxf>
    <dxf>
      <fill>
        <patternFill>
          <bgColor indexed="13"/>
        </patternFill>
      </fill>
    </dxf>
    <dxf>
      <fill>
        <patternFill>
          <bgColor indexed="10"/>
        </patternFill>
      </fill>
    </dxf>
    <dxf>
      <font>
        <b/>
        <i val="0"/>
        <color rgb="FFFFFF00"/>
      </font>
      <fill>
        <patternFill>
          <bgColor rgb="FFFF7C80"/>
        </patternFill>
      </fill>
    </dxf>
    <dxf>
      <fill>
        <patternFill>
          <bgColor indexed="11"/>
        </patternFill>
      </fill>
    </dxf>
    <dxf>
      <fill>
        <patternFill>
          <bgColor indexed="13"/>
        </patternFill>
      </fill>
    </dxf>
    <dxf>
      <fill>
        <patternFill>
          <bgColor indexed="10"/>
        </patternFill>
      </fill>
    </dxf>
    <dxf>
      <font>
        <b/>
        <i val="0"/>
        <color rgb="FFFFFF00"/>
      </font>
      <fill>
        <patternFill>
          <bgColor rgb="FFFF7C80"/>
        </patternFill>
      </fill>
    </dxf>
    <dxf>
      <fill>
        <patternFill>
          <bgColor indexed="11"/>
        </patternFill>
      </fill>
    </dxf>
    <dxf>
      <fill>
        <patternFill>
          <bgColor indexed="13"/>
        </patternFill>
      </fill>
    </dxf>
    <dxf>
      <fill>
        <patternFill>
          <bgColor indexed="10"/>
        </patternFill>
      </fill>
    </dxf>
    <dxf>
      <font>
        <b/>
        <i val="0"/>
        <color rgb="FFFFFF00"/>
      </font>
      <fill>
        <patternFill>
          <bgColor rgb="FFFF7C80"/>
        </patternFill>
      </fill>
    </dxf>
    <dxf>
      <fill>
        <patternFill>
          <bgColor indexed="11"/>
        </patternFill>
      </fill>
    </dxf>
    <dxf>
      <fill>
        <patternFill>
          <bgColor indexed="13"/>
        </patternFill>
      </fill>
    </dxf>
    <dxf>
      <fill>
        <patternFill>
          <bgColor indexed="10"/>
        </patternFill>
      </fill>
    </dxf>
    <dxf>
      <font>
        <b/>
        <i val="0"/>
        <color rgb="FFFFFF00"/>
      </font>
      <fill>
        <patternFill>
          <bgColor rgb="FFFF7C80"/>
        </patternFill>
      </fill>
    </dxf>
    <dxf>
      <fill>
        <patternFill>
          <bgColor indexed="11"/>
        </patternFill>
      </fill>
    </dxf>
    <dxf>
      <fill>
        <patternFill>
          <bgColor indexed="13"/>
        </patternFill>
      </fill>
    </dxf>
    <dxf>
      <fill>
        <patternFill>
          <bgColor indexed="10"/>
        </patternFill>
      </fill>
    </dxf>
    <dxf>
      <font>
        <b/>
        <i val="0"/>
        <color rgb="FFFFFF00"/>
      </font>
      <fill>
        <patternFill>
          <bgColor rgb="FFFF7C80"/>
        </patternFill>
      </fill>
    </dxf>
    <dxf>
      <fill>
        <patternFill>
          <bgColor indexed="11"/>
        </patternFill>
      </fill>
    </dxf>
    <dxf>
      <fill>
        <patternFill>
          <bgColor indexed="13"/>
        </patternFill>
      </fill>
    </dxf>
    <dxf>
      <fill>
        <patternFill>
          <bgColor indexed="10"/>
        </patternFill>
      </fill>
    </dxf>
    <dxf>
      <font>
        <b/>
        <i val="0"/>
        <color rgb="FFFFFF00"/>
      </font>
      <fill>
        <patternFill>
          <bgColor rgb="FFFF7C80"/>
        </patternFill>
      </fill>
    </dxf>
    <dxf>
      <fill>
        <patternFill>
          <bgColor indexed="11"/>
        </patternFill>
      </fill>
    </dxf>
    <dxf>
      <fill>
        <patternFill>
          <bgColor indexed="13"/>
        </patternFill>
      </fill>
    </dxf>
    <dxf>
      <fill>
        <patternFill>
          <bgColor indexed="10"/>
        </patternFill>
      </fill>
    </dxf>
    <dxf>
      <font>
        <b/>
        <i val="0"/>
        <color rgb="FFFFFF00"/>
      </font>
      <fill>
        <patternFill>
          <bgColor rgb="FFFF7C80"/>
        </patternFill>
      </fill>
    </dxf>
    <dxf>
      <fill>
        <patternFill>
          <bgColor indexed="11"/>
        </patternFill>
      </fill>
    </dxf>
    <dxf>
      <fill>
        <patternFill>
          <bgColor indexed="13"/>
        </patternFill>
      </fill>
    </dxf>
    <dxf>
      <fill>
        <patternFill>
          <bgColor indexed="10"/>
        </patternFill>
      </fill>
    </dxf>
    <dxf>
      <font>
        <b/>
        <i val="0"/>
        <color rgb="FFFFFF00"/>
      </font>
      <fill>
        <patternFill>
          <bgColor rgb="FFFF7C80"/>
        </patternFill>
      </fill>
    </dxf>
    <dxf>
      <fill>
        <patternFill>
          <bgColor indexed="11"/>
        </patternFill>
      </fill>
    </dxf>
    <dxf>
      <fill>
        <patternFill>
          <bgColor indexed="13"/>
        </patternFill>
      </fill>
    </dxf>
    <dxf>
      <fill>
        <patternFill>
          <bgColor indexed="10"/>
        </patternFill>
      </fill>
    </dxf>
    <dxf>
      <font>
        <b/>
        <i val="0"/>
        <color rgb="FFFFFF00"/>
      </font>
      <fill>
        <patternFill>
          <bgColor rgb="FFFF7C80"/>
        </patternFill>
      </fill>
    </dxf>
    <dxf>
      <fill>
        <patternFill>
          <bgColor indexed="11"/>
        </patternFill>
      </fill>
    </dxf>
    <dxf>
      <fill>
        <patternFill>
          <bgColor indexed="13"/>
        </patternFill>
      </fill>
    </dxf>
    <dxf>
      <fill>
        <patternFill>
          <bgColor indexed="10"/>
        </patternFill>
      </fill>
    </dxf>
    <dxf>
      <font>
        <b/>
        <i val="0"/>
        <color rgb="FFFFFF00"/>
      </font>
      <fill>
        <patternFill>
          <bgColor rgb="FFFF7C80"/>
        </patternFill>
      </fill>
    </dxf>
    <dxf>
      <fill>
        <patternFill>
          <bgColor indexed="11"/>
        </patternFill>
      </fill>
    </dxf>
    <dxf>
      <fill>
        <patternFill>
          <bgColor indexed="13"/>
        </patternFill>
      </fill>
    </dxf>
    <dxf>
      <fill>
        <patternFill>
          <bgColor indexed="10"/>
        </patternFill>
      </fill>
    </dxf>
    <dxf>
      <font>
        <b/>
        <i val="0"/>
        <color rgb="FFFFFF00"/>
      </font>
      <fill>
        <patternFill>
          <bgColor rgb="FFFF7C80"/>
        </patternFill>
      </fill>
    </dxf>
    <dxf>
      <fill>
        <patternFill>
          <bgColor indexed="11"/>
        </patternFill>
      </fill>
    </dxf>
    <dxf>
      <fill>
        <patternFill>
          <bgColor indexed="13"/>
        </patternFill>
      </fill>
    </dxf>
    <dxf>
      <fill>
        <patternFill>
          <bgColor indexed="10"/>
        </patternFill>
      </fill>
    </dxf>
    <dxf>
      <font>
        <b/>
        <i val="0"/>
        <color rgb="FFFFFF00"/>
      </font>
      <fill>
        <patternFill>
          <bgColor rgb="FFFF7C80"/>
        </patternFill>
      </fill>
    </dxf>
    <dxf>
      <fill>
        <patternFill>
          <bgColor indexed="11"/>
        </patternFill>
      </fill>
    </dxf>
    <dxf>
      <fill>
        <patternFill>
          <bgColor indexed="13"/>
        </patternFill>
      </fill>
    </dxf>
    <dxf>
      <fill>
        <patternFill>
          <bgColor indexed="10"/>
        </patternFill>
      </fill>
    </dxf>
    <dxf>
      <font>
        <b/>
        <i val="0"/>
        <color rgb="FFFFFF00"/>
      </font>
      <fill>
        <patternFill>
          <bgColor rgb="FFFF7C80"/>
        </patternFill>
      </fill>
    </dxf>
    <dxf>
      <fill>
        <patternFill>
          <bgColor indexed="11"/>
        </patternFill>
      </fill>
    </dxf>
    <dxf>
      <fill>
        <patternFill>
          <bgColor indexed="13"/>
        </patternFill>
      </fill>
    </dxf>
    <dxf>
      <fill>
        <patternFill>
          <bgColor indexed="10"/>
        </patternFill>
      </fill>
    </dxf>
    <dxf>
      <font>
        <b/>
        <i val="0"/>
        <color rgb="FFFFFF00"/>
      </font>
      <fill>
        <patternFill>
          <bgColor rgb="FFFF7C80"/>
        </patternFill>
      </fill>
    </dxf>
    <dxf>
      <fill>
        <patternFill>
          <bgColor indexed="11"/>
        </patternFill>
      </fill>
    </dxf>
    <dxf>
      <fill>
        <patternFill>
          <bgColor indexed="13"/>
        </patternFill>
      </fill>
    </dxf>
    <dxf>
      <fill>
        <patternFill>
          <bgColor indexed="10"/>
        </patternFill>
      </fill>
    </dxf>
    <dxf>
      <font>
        <b/>
        <i val="0"/>
        <color rgb="FFFFFF00"/>
      </font>
      <fill>
        <patternFill>
          <bgColor rgb="FFFF7C80"/>
        </patternFill>
      </fill>
    </dxf>
    <dxf>
      <fill>
        <patternFill>
          <bgColor indexed="11"/>
        </patternFill>
      </fill>
    </dxf>
    <dxf>
      <fill>
        <patternFill>
          <bgColor indexed="13"/>
        </patternFill>
      </fill>
    </dxf>
    <dxf>
      <fill>
        <patternFill>
          <bgColor indexed="10"/>
        </patternFill>
      </fill>
    </dxf>
    <dxf>
      <font>
        <b/>
        <i val="0"/>
        <color rgb="FFFFFF00"/>
      </font>
      <fill>
        <patternFill>
          <bgColor rgb="FFFF7C80"/>
        </patternFill>
      </fill>
    </dxf>
    <dxf>
      <fill>
        <patternFill>
          <bgColor indexed="11"/>
        </patternFill>
      </fill>
    </dxf>
    <dxf>
      <fill>
        <patternFill>
          <bgColor indexed="13"/>
        </patternFill>
      </fill>
    </dxf>
    <dxf>
      <fill>
        <patternFill>
          <bgColor indexed="10"/>
        </patternFill>
      </fill>
    </dxf>
    <dxf>
      <font>
        <b/>
        <i val="0"/>
        <color rgb="FFFFFF00"/>
      </font>
      <fill>
        <patternFill>
          <bgColor rgb="FFFF7C80"/>
        </patternFill>
      </fill>
    </dxf>
    <dxf>
      <fill>
        <patternFill>
          <bgColor indexed="11"/>
        </patternFill>
      </fill>
    </dxf>
    <dxf>
      <fill>
        <patternFill>
          <bgColor indexed="13"/>
        </patternFill>
      </fill>
    </dxf>
    <dxf>
      <fill>
        <patternFill>
          <bgColor indexed="10"/>
        </patternFill>
      </fill>
    </dxf>
    <dxf>
      <font>
        <b/>
        <i val="0"/>
        <color rgb="FFFFFF00"/>
      </font>
      <fill>
        <patternFill>
          <bgColor rgb="FFFF7C80"/>
        </patternFill>
      </fill>
    </dxf>
    <dxf>
      <fill>
        <patternFill>
          <bgColor indexed="11"/>
        </patternFill>
      </fill>
    </dxf>
    <dxf>
      <fill>
        <patternFill>
          <bgColor indexed="13"/>
        </patternFill>
      </fill>
    </dxf>
    <dxf>
      <fill>
        <patternFill>
          <bgColor indexed="10"/>
        </patternFill>
      </fill>
    </dxf>
    <dxf>
      <font>
        <b/>
        <i val="0"/>
        <color rgb="FFFFFF00"/>
      </font>
      <fill>
        <patternFill>
          <bgColor rgb="FFFF7C80"/>
        </patternFill>
      </fill>
    </dxf>
    <dxf>
      <fill>
        <patternFill>
          <bgColor indexed="11"/>
        </patternFill>
      </fill>
    </dxf>
    <dxf>
      <fill>
        <patternFill>
          <bgColor indexed="13"/>
        </patternFill>
      </fill>
    </dxf>
    <dxf>
      <fill>
        <patternFill>
          <bgColor indexed="10"/>
        </patternFill>
      </fill>
    </dxf>
    <dxf>
      <fill>
        <patternFill>
          <bgColor indexed="11"/>
        </patternFill>
      </fill>
    </dxf>
    <dxf>
      <fill>
        <patternFill>
          <bgColor indexed="13"/>
        </patternFill>
      </fill>
    </dxf>
    <dxf>
      <fill>
        <patternFill>
          <bgColor indexed="10"/>
        </patternFill>
      </fill>
    </dxf>
    <dxf>
      <font>
        <b/>
        <i val="0"/>
        <color rgb="FFFFFF00"/>
      </font>
      <fill>
        <patternFill>
          <bgColor rgb="FFFF7C80"/>
        </patternFill>
      </fill>
    </dxf>
    <dxf>
      <font>
        <b/>
        <i val="0"/>
        <color rgb="FFFFFF00"/>
      </font>
      <fill>
        <patternFill>
          <bgColor rgb="FFFF7C80"/>
        </patternFill>
      </fill>
    </dxf>
    <dxf>
      <fill>
        <patternFill>
          <bgColor indexed="11"/>
        </patternFill>
      </fill>
    </dxf>
    <dxf>
      <fill>
        <patternFill>
          <bgColor indexed="13"/>
        </patternFill>
      </fill>
    </dxf>
    <dxf>
      <fill>
        <patternFill>
          <bgColor indexed="10"/>
        </patternFill>
      </fill>
    </dxf>
    <dxf>
      <fill>
        <patternFill>
          <bgColor indexed="11"/>
        </patternFill>
      </fill>
    </dxf>
    <dxf>
      <fill>
        <patternFill>
          <bgColor indexed="13"/>
        </patternFill>
      </fill>
    </dxf>
    <dxf>
      <fill>
        <patternFill>
          <bgColor indexed="10"/>
        </patternFill>
      </fill>
    </dxf>
    <dxf>
      <font>
        <b/>
        <i val="0"/>
        <color rgb="FFFFFF00"/>
      </font>
      <fill>
        <patternFill>
          <bgColor rgb="FFFF7C80"/>
        </patternFill>
      </fill>
    </dxf>
    <dxf>
      <font>
        <b/>
        <i val="0"/>
        <color rgb="FFFFFF00"/>
      </font>
      <fill>
        <patternFill>
          <bgColor rgb="FFFF7C80"/>
        </patternFill>
      </fill>
    </dxf>
    <dxf>
      <fill>
        <patternFill>
          <bgColor indexed="11"/>
        </patternFill>
      </fill>
    </dxf>
    <dxf>
      <fill>
        <patternFill>
          <bgColor indexed="13"/>
        </patternFill>
      </fill>
    </dxf>
    <dxf>
      <fill>
        <patternFill>
          <bgColor indexed="10"/>
        </patternFill>
      </fill>
    </dxf>
    <dxf>
      <fill>
        <patternFill>
          <bgColor indexed="11"/>
        </patternFill>
      </fill>
    </dxf>
    <dxf>
      <fill>
        <patternFill>
          <bgColor indexed="13"/>
        </patternFill>
      </fill>
    </dxf>
    <dxf>
      <fill>
        <patternFill>
          <bgColor indexed="10"/>
        </patternFill>
      </fill>
    </dxf>
    <dxf>
      <font>
        <b/>
        <i val="0"/>
        <color rgb="FFFFFF00"/>
      </font>
      <fill>
        <patternFill>
          <bgColor rgb="FFFF7C80"/>
        </patternFill>
      </fill>
    </dxf>
    <dxf>
      <font>
        <b/>
        <i val="0"/>
        <color rgb="FFFFFF00"/>
      </font>
      <fill>
        <patternFill>
          <bgColor rgb="FFFF7C80"/>
        </patternFill>
      </fill>
    </dxf>
    <dxf>
      <fill>
        <patternFill>
          <bgColor indexed="11"/>
        </patternFill>
      </fill>
    </dxf>
    <dxf>
      <fill>
        <patternFill>
          <bgColor indexed="13"/>
        </patternFill>
      </fill>
    </dxf>
    <dxf>
      <fill>
        <patternFill>
          <bgColor indexed="10"/>
        </patternFill>
      </fill>
    </dxf>
    <dxf>
      <fill>
        <patternFill>
          <bgColor indexed="11"/>
        </patternFill>
      </fill>
    </dxf>
    <dxf>
      <fill>
        <patternFill>
          <bgColor indexed="13"/>
        </patternFill>
      </fill>
    </dxf>
    <dxf>
      <fill>
        <patternFill>
          <bgColor indexed="10"/>
        </patternFill>
      </fill>
    </dxf>
    <dxf>
      <font>
        <b/>
        <i val="0"/>
        <color rgb="FFFFFF00"/>
      </font>
      <fill>
        <patternFill>
          <bgColor rgb="FFFF7C80"/>
        </patternFill>
      </fill>
    </dxf>
    <dxf>
      <font>
        <b/>
        <i val="0"/>
        <color rgb="FFFFFF00"/>
      </font>
      <fill>
        <patternFill>
          <bgColor rgb="FFFF7C80"/>
        </patternFill>
      </fill>
    </dxf>
    <dxf>
      <fill>
        <patternFill>
          <bgColor indexed="11"/>
        </patternFill>
      </fill>
    </dxf>
    <dxf>
      <fill>
        <patternFill>
          <bgColor indexed="13"/>
        </patternFill>
      </fill>
    </dxf>
    <dxf>
      <fill>
        <patternFill>
          <bgColor indexed="10"/>
        </patternFill>
      </fill>
    </dxf>
    <dxf>
      <fill>
        <patternFill>
          <bgColor indexed="11"/>
        </patternFill>
      </fill>
    </dxf>
    <dxf>
      <fill>
        <patternFill>
          <bgColor indexed="13"/>
        </patternFill>
      </fill>
    </dxf>
    <dxf>
      <fill>
        <patternFill>
          <bgColor indexed="10"/>
        </patternFill>
      </fill>
    </dxf>
    <dxf>
      <font>
        <b/>
        <i val="0"/>
        <color rgb="FFFFFF00"/>
      </font>
      <fill>
        <patternFill>
          <bgColor rgb="FFFF7C80"/>
        </patternFill>
      </fill>
    </dxf>
    <dxf>
      <font>
        <b/>
        <i val="0"/>
        <color rgb="FFFFFF00"/>
      </font>
      <fill>
        <patternFill>
          <bgColor rgb="FFFF7C80"/>
        </patternFill>
      </fill>
    </dxf>
    <dxf>
      <fill>
        <patternFill>
          <bgColor indexed="11"/>
        </patternFill>
      </fill>
    </dxf>
    <dxf>
      <fill>
        <patternFill>
          <bgColor indexed="13"/>
        </patternFill>
      </fill>
    </dxf>
    <dxf>
      <fill>
        <patternFill>
          <bgColor indexed="10"/>
        </patternFill>
      </fill>
    </dxf>
    <dxf>
      <fill>
        <patternFill>
          <bgColor indexed="11"/>
        </patternFill>
      </fill>
    </dxf>
    <dxf>
      <fill>
        <patternFill>
          <bgColor indexed="13"/>
        </patternFill>
      </fill>
    </dxf>
    <dxf>
      <fill>
        <patternFill>
          <bgColor indexed="10"/>
        </patternFill>
      </fill>
    </dxf>
    <dxf>
      <font>
        <b/>
        <i val="0"/>
        <color rgb="FFFFFF00"/>
      </font>
      <fill>
        <patternFill>
          <bgColor rgb="FFFF7C80"/>
        </patternFill>
      </fill>
    </dxf>
    <dxf>
      <font>
        <b/>
        <i val="0"/>
        <color rgb="FFFFFF00"/>
      </font>
      <fill>
        <patternFill>
          <bgColor rgb="FFFF7C80"/>
        </patternFill>
      </fill>
    </dxf>
    <dxf>
      <fill>
        <patternFill>
          <bgColor indexed="11"/>
        </patternFill>
      </fill>
    </dxf>
    <dxf>
      <fill>
        <patternFill>
          <bgColor indexed="13"/>
        </patternFill>
      </fill>
    </dxf>
    <dxf>
      <fill>
        <patternFill>
          <bgColor indexed="10"/>
        </patternFill>
      </fill>
    </dxf>
    <dxf>
      <fill>
        <patternFill>
          <bgColor indexed="11"/>
        </patternFill>
      </fill>
    </dxf>
    <dxf>
      <fill>
        <patternFill>
          <bgColor indexed="13"/>
        </patternFill>
      </fill>
    </dxf>
    <dxf>
      <fill>
        <patternFill>
          <bgColor indexed="10"/>
        </patternFill>
      </fill>
    </dxf>
    <dxf>
      <font>
        <b/>
        <i val="0"/>
        <color rgb="FFFFFF00"/>
      </font>
      <fill>
        <patternFill>
          <bgColor rgb="FFFF7C80"/>
        </patternFill>
      </fill>
    </dxf>
    <dxf>
      <font>
        <b/>
        <i val="0"/>
        <color rgb="FFFFFF00"/>
      </font>
      <fill>
        <patternFill>
          <bgColor rgb="FFFF7C80"/>
        </patternFill>
      </fill>
    </dxf>
    <dxf>
      <fill>
        <patternFill>
          <bgColor indexed="11"/>
        </patternFill>
      </fill>
    </dxf>
    <dxf>
      <fill>
        <patternFill>
          <bgColor indexed="13"/>
        </patternFill>
      </fill>
    </dxf>
    <dxf>
      <fill>
        <patternFill>
          <bgColor indexed="10"/>
        </patternFill>
      </fill>
    </dxf>
    <dxf>
      <fill>
        <patternFill>
          <bgColor indexed="11"/>
        </patternFill>
      </fill>
    </dxf>
    <dxf>
      <fill>
        <patternFill>
          <bgColor indexed="13"/>
        </patternFill>
      </fill>
    </dxf>
    <dxf>
      <fill>
        <patternFill>
          <bgColor indexed="10"/>
        </patternFill>
      </fill>
    </dxf>
    <dxf>
      <font>
        <b/>
        <i val="0"/>
        <color rgb="FFFFFF00"/>
      </font>
      <fill>
        <patternFill>
          <bgColor rgb="FFFF7C80"/>
        </patternFill>
      </fill>
    </dxf>
    <dxf>
      <fill>
        <patternFill>
          <bgColor indexed="11"/>
        </patternFill>
      </fill>
    </dxf>
    <dxf>
      <fill>
        <patternFill>
          <bgColor indexed="13"/>
        </patternFill>
      </fill>
    </dxf>
    <dxf>
      <fill>
        <patternFill>
          <bgColor indexed="10"/>
        </patternFill>
      </fill>
    </dxf>
    <dxf>
      <font>
        <b/>
        <i val="0"/>
        <color rgb="FFFFFF00"/>
      </font>
      <fill>
        <patternFill>
          <bgColor rgb="FFFF7C80"/>
        </patternFill>
      </fill>
    </dxf>
    <dxf>
      <fill>
        <patternFill>
          <bgColor indexed="11"/>
        </patternFill>
      </fill>
    </dxf>
    <dxf>
      <fill>
        <patternFill>
          <bgColor indexed="13"/>
        </patternFill>
      </fill>
    </dxf>
    <dxf>
      <fill>
        <patternFill>
          <bgColor indexed="10"/>
        </patternFill>
      </fill>
    </dxf>
    <dxf>
      <font>
        <b/>
        <i val="0"/>
        <color rgb="FFFFFF00"/>
      </font>
      <fill>
        <patternFill>
          <bgColor rgb="FFFF7C80"/>
        </patternFill>
      </fill>
    </dxf>
    <dxf>
      <fill>
        <patternFill>
          <bgColor indexed="11"/>
        </patternFill>
      </fill>
    </dxf>
    <dxf>
      <fill>
        <patternFill>
          <bgColor indexed="13"/>
        </patternFill>
      </fill>
    </dxf>
    <dxf>
      <fill>
        <patternFill>
          <bgColor indexed="10"/>
        </patternFill>
      </fill>
    </dxf>
    <dxf>
      <font>
        <b/>
        <i val="0"/>
        <color rgb="FFFFFF00"/>
      </font>
      <fill>
        <patternFill>
          <bgColor rgb="FFFF7C80"/>
        </patternFill>
      </fill>
    </dxf>
    <dxf>
      <fill>
        <patternFill>
          <bgColor indexed="11"/>
        </patternFill>
      </fill>
    </dxf>
    <dxf>
      <fill>
        <patternFill>
          <bgColor indexed="13"/>
        </patternFill>
      </fill>
    </dxf>
    <dxf>
      <fill>
        <patternFill>
          <bgColor indexed="10"/>
        </patternFill>
      </fill>
    </dxf>
    <dxf>
      <font>
        <b/>
        <i val="0"/>
        <color rgb="FFFFFF00"/>
      </font>
      <fill>
        <patternFill>
          <bgColor rgb="FFFF7C80"/>
        </patternFill>
      </fill>
    </dxf>
    <dxf>
      <fill>
        <patternFill>
          <bgColor indexed="11"/>
        </patternFill>
      </fill>
    </dxf>
    <dxf>
      <fill>
        <patternFill>
          <bgColor indexed="13"/>
        </patternFill>
      </fill>
    </dxf>
    <dxf>
      <fill>
        <patternFill>
          <bgColor indexed="10"/>
        </patternFill>
      </fill>
    </dxf>
    <dxf>
      <font>
        <b/>
        <i val="0"/>
        <color rgb="FFFFFF00"/>
      </font>
      <fill>
        <patternFill>
          <bgColor rgb="FFFF7C80"/>
        </patternFill>
      </fill>
    </dxf>
    <dxf>
      <fill>
        <patternFill>
          <bgColor indexed="11"/>
        </patternFill>
      </fill>
    </dxf>
    <dxf>
      <fill>
        <patternFill>
          <bgColor indexed="13"/>
        </patternFill>
      </fill>
    </dxf>
    <dxf>
      <fill>
        <patternFill>
          <bgColor indexed="10"/>
        </patternFill>
      </fill>
    </dxf>
    <dxf>
      <font>
        <b/>
        <i val="0"/>
        <color rgb="FFFFFF00"/>
      </font>
      <fill>
        <patternFill>
          <bgColor rgb="FFFF7C80"/>
        </patternFill>
      </fill>
    </dxf>
    <dxf>
      <fill>
        <patternFill>
          <bgColor indexed="11"/>
        </patternFill>
      </fill>
    </dxf>
    <dxf>
      <fill>
        <patternFill>
          <bgColor indexed="13"/>
        </patternFill>
      </fill>
    </dxf>
    <dxf>
      <fill>
        <patternFill>
          <bgColor indexed="10"/>
        </patternFill>
      </fill>
    </dxf>
    <dxf>
      <fill>
        <patternFill>
          <bgColor indexed="11"/>
        </patternFill>
      </fill>
    </dxf>
    <dxf>
      <fill>
        <patternFill>
          <bgColor indexed="13"/>
        </patternFill>
      </fill>
    </dxf>
    <dxf>
      <fill>
        <patternFill>
          <bgColor indexed="10"/>
        </patternFill>
      </fill>
    </dxf>
    <dxf>
      <font>
        <b/>
        <i val="0"/>
        <color rgb="FFFFFF00"/>
      </font>
      <fill>
        <patternFill>
          <bgColor rgb="FFFF7C80"/>
        </patternFill>
      </fill>
    </dxf>
    <dxf>
      <font>
        <b/>
        <i val="0"/>
        <color rgb="FFFFFF00"/>
      </font>
      <fill>
        <patternFill>
          <bgColor rgb="FFFF7C80"/>
        </patternFill>
      </fill>
    </dxf>
    <dxf>
      <fill>
        <patternFill>
          <bgColor indexed="11"/>
        </patternFill>
      </fill>
    </dxf>
    <dxf>
      <fill>
        <patternFill>
          <bgColor indexed="13"/>
        </patternFill>
      </fill>
    </dxf>
    <dxf>
      <fill>
        <patternFill>
          <bgColor indexed="10"/>
        </patternFill>
      </fill>
    </dxf>
    <dxf>
      <font>
        <b/>
        <i val="0"/>
        <color rgb="FFFFFF00"/>
      </font>
      <fill>
        <patternFill>
          <bgColor rgb="FFFF7C80"/>
        </patternFill>
      </fill>
    </dxf>
    <dxf>
      <fill>
        <patternFill>
          <bgColor indexed="11"/>
        </patternFill>
      </fill>
    </dxf>
    <dxf>
      <fill>
        <patternFill>
          <bgColor indexed="13"/>
        </patternFill>
      </fill>
    </dxf>
    <dxf>
      <fill>
        <patternFill>
          <bgColor indexed="10"/>
        </patternFill>
      </fill>
    </dxf>
    <dxf>
      <font>
        <b/>
        <i val="0"/>
        <color rgb="FFFFFF00"/>
      </font>
      <fill>
        <patternFill>
          <bgColor rgb="FFFF7C80"/>
        </patternFill>
      </fill>
    </dxf>
    <dxf>
      <font>
        <b/>
        <i val="0"/>
        <color rgb="FFFFFF00"/>
      </font>
      <fill>
        <patternFill>
          <bgColor rgb="FFFF7C80"/>
        </patternFill>
      </fill>
    </dxf>
    <dxf>
      <font>
        <b/>
        <i val="0"/>
        <color rgb="FFFFFF00"/>
      </font>
      <fill>
        <patternFill>
          <bgColor rgb="FFFF7C80"/>
        </patternFill>
      </fill>
    </dxf>
    <dxf>
      <fill>
        <patternFill>
          <bgColor indexed="11"/>
        </patternFill>
      </fill>
    </dxf>
    <dxf>
      <fill>
        <patternFill>
          <bgColor indexed="13"/>
        </patternFill>
      </fill>
    </dxf>
    <dxf>
      <fill>
        <patternFill>
          <bgColor indexed="10"/>
        </patternFill>
      </fill>
    </dxf>
    <dxf>
      <font>
        <b/>
        <i val="0"/>
        <color rgb="FFFFFF00"/>
      </font>
      <fill>
        <patternFill>
          <bgColor rgb="FFFF7C80"/>
        </patternFill>
      </fill>
    </dxf>
    <dxf>
      <fill>
        <patternFill>
          <bgColor indexed="11"/>
        </patternFill>
      </fill>
    </dxf>
    <dxf>
      <fill>
        <patternFill>
          <bgColor indexed="13"/>
        </patternFill>
      </fill>
    </dxf>
    <dxf>
      <fill>
        <patternFill>
          <bgColor indexed="10"/>
        </patternFill>
      </fill>
    </dxf>
    <dxf>
      <font>
        <b/>
        <i val="0"/>
        <color rgb="FFFFFF00"/>
      </font>
      <fill>
        <patternFill>
          <bgColor rgb="FFFF7C80"/>
        </patternFill>
      </fill>
    </dxf>
    <dxf>
      <fill>
        <patternFill>
          <bgColor rgb="FFFFC000"/>
        </patternFill>
      </fill>
    </dxf>
    <dxf>
      <font>
        <color theme="0"/>
      </font>
      <numFmt numFmtId="0" formatCode="General"/>
      <fill>
        <patternFill>
          <bgColor theme="0"/>
        </patternFill>
      </fill>
      <border>
        <left/>
        <right/>
        <top/>
        <bottom/>
        <vertical/>
        <horizontal/>
      </border>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99D5FD"/>
      <rgbColor rgb="0000FFFF"/>
      <rgbColor rgb="00800000"/>
      <rgbColor rgb="00008000"/>
      <rgbColor rgb="00000080"/>
      <rgbColor rgb="00808000"/>
      <rgbColor rgb="00800080"/>
      <rgbColor rgb="00008080"/>
      <rgbColor rgb="00C0C0C0"/>
      <rgbColor rgb="00424242"/>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7E000A"/>
      <color rgb="FF008155"/>
      <color rgb="FFFF7C80"/>
      <color rgb="FFFF5050"/>
      <color rgb="FF559D79"/>
      <color rgb="FFC9DED1"/>
      <color rgb="FFFFFF99"/>
      <color rgb="FFC0C0C0"/>
      <color rgb="FFCCCCFF"/>
      <color rgb="FF99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5.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4.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6.xml"/><Relationship Id="rId27" Type="http://schemas.openxmlformats.org/officeDocument/2006/relationships/customXml" Target="../customXml/item1.xml"/><Relationship Id="rId30"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Evaluation!$A$5" lockText="1"/>
</file>

<file path=xl/ctrlProps/ctrlProp4.xml><?xml version="1.0" encoding="utf-8"?>
<formControlPr xmlns="http://schemas.microsoft.com/office/spreadsheetml/2009/9/main" objectType="CheckBox" checked="Checked" fmlaLink="Evaluation!$A$10" lockText="1"/>
</file>

<file path=xl/ctrlProps/ctrlProp5.xml><?xml version="1.0" encoding="utf-8"?>
<formControlPr xmlns="http://schemas.microsoft.com/office/spreadsheetml/2009/9/main" objectType="CheckBox" checked="Checked" fmlaLink="Evaluation!$A$18" lockText="1"/>
</file>

<file path=xl/ctrlProps/ctrlProp6.xml><?xml version="1.0" encoding="utf-8"?>
<formControlPr xmlns="http://schemas.microsoft.com/office/spreadsheetml/2009/9/main" objectType="CheckBox" checked="Checked" fmlaLink="Evaluation!$A$27" lockText="1"/>
</file>

<file path=xl/ctrlProps/ctrlProp7.xml><?xml version="1.0" encoding="utf-8"?>
<formControlPr xmlns="http://schemas.microsoft.com/office/spreadsheetml/2009/9/main" objectType="CheckBox" checked="Checked" fmlaLink="Evaluation!$A$31" lockText="1"/>
</file>

<file path=xl/ctrlProps/ctrlProp8.xml><?xml version="1.0" encoding="utf-8"?>
<formControlPr xmlns="http://schemas.microsoft.com/office/spreadsheetml/2009/9/main" objectType="CheckBox" checked="Checked" fmlaLink="Evaluation!$A$67" lockText="1"/>
</file>

<file path=xl/ctrlProps/ctrlProp9.xml><?xml version="1.0" encoding="utf-8"?>
<formControlPr xmlns="http://schemas.microsoft.com/office/spreadsheetml/2009/9/main" objectType="Button"/>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1" Type="http://schemas.openxmlformats.org/officeDocument/2006/relationships/image" Target="../media/image3.jpeg"/></Relationships>
</file>

<file path=xl/drawings/_rels/drawing6.xml.rels><?xml version="1.0" encoding="UTF-8" standalone="yes"?>
<Relationships xmlns="http://schemas.openxmlformats.org/package/2006/relationships"><Relationship Id="rId1" Type="http://schemas.openxmlformats.org/officeDocument/2006/relationships/image" Target="../media/image3.jpeg"/></Relationships>
</file>

<file path=xl/drawings/_rels/drawing7.xml.rels><?xml version="1.0" encoding="UTF-8" standalone="yes"?>
<Relationships xmlns="http://schemas.openxmlformats.org/package/2006/relationships"><Relationship Id="rId1" Type="http://schemas.openxmlformats.org/officeDocument/2006/relationships/image" Target="../media/image3.jpeg"/></Relationships>
</file>

<file path=xl/drawings/_rels/drawing8.xml.rels><?xml version="1.0" encoding="UTF-8" standalone="yes"?>
<Relationships xmlns="http://schemas.openxmlformats.org/package/2006/relationships"><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57150</xdr:colOff>
          <xdr:row>2</xdr:row>
          <xdr:rowOff>38100</xdr:rowOff>
        </xdr:from>
        <xdr:to>
          <xdr:col>5</xdr:col>
          <xdr:colOff>1047750</xdr:colOff>
          <xdr:row>4</xdr:row>
          <xdr:rowOff>85725</xdr:rowOff>
        </xdr:to>
        <xdr:sp macro="" textlink="">
          <xdr:nvSpPr>
            <xdr:cNvPr id="16393" name="ComboBox1" hidden="1">
              <a:extLst>
                <a:ext uri="{63B3BB69-23CF-44E3-9099-C40C66FF867C}">
                  <a14:compatExt spid="_x0000_s16393"/>
                </a:ext>
                <a:ext uri="{FF2B5EF4-FFF2-40B4-BE49-F238E27FC236}">
                  <a16:creationId xmlns:a16="http://schemas.microsoft.com/office/drawing/2014/main" id="{00000000-0008-0000-0100-000009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0</xdr:row>
          <xdr:rowOff>95250</xdr:rowOff>
        </xdr:from>
        <xdr:to>
          <xdr:col>8</xdr:col>
          <xdr:colOff>1009650</xdr:colOff>
          <xdr:row>2</xdr:row>
          <xdr:rowOff>95250</xdr:rowOff>
        </xdr:to>
        <xdr:sp macro="" textlink="">
          <xdr:nvSpPr>
            <xdr:cNvPr id="16394" name="Button 10" hidden="1">
              <a:extLst>
                <a:ext uri="{63B3BB69-23CF-44E3-9099-C40C66FF867C}">
                  <a14:compatExt spid="_x0000_s16394"/>
                </a:ext>
                <a:ext uri="{FF2B5EF4-FFF2-40B4-BE49-F238E27FC236}">
                  <a16:creationId xmlns:a16="http://schemas.microsoft.com/office/drawing/2014/main" id="{00000000-0008-0000-0100-00000A4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Arial"/>
                  <a:cs typeface="Arial"/>
                </a:rPr>
                <a:t>Create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2</xdr:row>
          <xdr:rowOff>228600</xdr:rowOff>
        </xdr:from>
        <xdr:to>
          <xdr:col>8</xdr:col>
          <xdr:colOff>1009650</xdr:colOff>
          <xdr:row>4</xdr:row>
          <xdr:rowOff>152400</xdr:rowOff>
        </xdr:to>
        <xdr:sp macro="" textlink="">
          <xdr:nvSpPr>
            <xdr:cNvPr id="16395" name="Button 11" hidden="1">
              <a:extLst>
                <a:ext uri="{63B3BB69-23CF-44E3-9099-C40C66FF867C}">
                  <a14:compatExt spid="_x0000_s16395"/>
                </a:ext>
                <a:ext uri="{FF2B5EF4-FFF2-40B4-BE49-F238E27FC236}">
                  <a16:creationId xmlns:a16="http://schemas.microsoft.com/office/drawing/2014/main" id="{00000000-0008-0000-0100-00000B4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Arial"/>
                  <a:cs typeface="Arial"/>
                </a:rPr>
                <a:t>Import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2038349</xdr:colOff>
      <xdr:row>68</xdr:row>
      <xdr:rowOff>19050</xdr:rowOff>
    </xdr:from>
    <xdr:to>
      <xdr:col>2</xdr:col>
      <xdr:colOff>5372098</xdr:colOff>
      <xdr:row>68</xdr:row>
      <xdr:rowOff>781050</xdr:rowOff>
    </xdr:to>
    <xdr:sp macro="" textlink="$L$69">
      <xdr:nvSpPr>
        <xdr:cNvPr id="2" name="Textfeld 1">
          <a:extLst>
            <a:ext uri="{FF2B5EF4-FFF2-40B4-BE49-F238E27FC236}">
              <a16:creationId xmlns:a16="http://schemas.microsoft.com/office/drawing/2014/main" id="{00000000-0008-0000-0200-000002000000}"/>
            </a:ext>
          </a:extLst>
        </xdr:cNvPr>
        <xdr:cNvSpPr txBox="1"/>
      </xdr:nvSpPr>
      <xdr:spPr>
        <a:xfrm>
          <a:off x="2752724" y="18354675"/>
          <a:ext cx="3333749"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36000" tIns="36000" rIns="36000" bIns="36000" rtlCol="0" anchor="t"/>
        <a:lstStyle/>
        <a:p>
          <a:fld id="{E298F787-34EB-4BF6-B47F-3E1F58EC8AD8}" type="TxLink">
            <a:rPr lang="en-US" sz="1000" b="0" i="0" u="none" strike="noStrike">
              <a:solidFill>
                <a:srgbClr val="FFC000"/>
              </a:solidFill>
              <a:latin typeface="Arial"/>
              <a:cs typeface="Arial"/>
            </a:rPr>
            <a:pPr/>
            <a:t>Please fill in the number of process steps in the input area (D36) as needed. 17 from 26 questions must be answered for each process step.</a:t>
          </a:fld>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editAs="oneCell">
        <xdr:from>
          <xdr:col>2</xdr:col>
          <xdr:colOff>95250</xdr:colOff>
          <xdr:row>11</xdr:row>
          <xdr:rowOff>190500</xdr:rowOff>
        </xdr:from>
        <xdr:to>
          <xdr:col>3</xdr:col>
          <xdr:colOff>0</xdr:colOff>
          <xdr:row>12</xdr:row>
          <xdr:rowOff>0</xdr:rowOff>
        </xdr:to>
        <xdr:sp macro="" textlink="">
          <xdr:nvSpPr>
            <xdr:cNvPr id="21507" name="Check Box 3" hidden="1">
              <a:extLst>
                <a:ext uri="{63B3BB69-23CF-44E3-9099-C40C66FF867C}">
                  <a14:compatExt spid="_x0000_s21507"/>
                </a:ext>
                <a:ext uri="{FF2B5EF4-FFF2-40B4-BE49-F238E27FC236}">
                  <a16:creationId xmlns:a16="http://schemas.microsoft.com/office/drawing/2014/main" id="{00000000-0008-0000-0200-000003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361950</xdr:rowOff>
        </xdr:from>
        <xdr:to>
          <xdr:col>3</xdr:col>
          <xdr:colOff>0</xdr:colOff>
          <xdr:row>20</xdr:row>
          <xdr:rowOff>295275</xdr:rowOff>
        </xdr:to>
        <xdr:sp macro="" textlink="">
          <xdr:nvSpPr>
            <xdr:cNvPr id="21509" name="Check Box 5" hidden="1">
              <a:extLst>
                <a:ext uri="{63B3BB69-23CF-44E3-9099-C40C66FF867C}">
                  <a14:compatExt spid="_x0000_s21509"/>
                </a:ext>
                <a:ext uri="{FF2B5EF4-FFF2-40B4-BE49-F238E27FC236}">
                  <a16:creationId xmlns:a16="http://schemas.microsoft.com/office/drawing/2014/main" id="{00000000-0008-0000-0200-000005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36</xdr:row>
          <xdr:rowOff>47625</xdr:rowOff>
        </xdr:from>
        <xdr:to>
          <xdr:col>3</xdr:col>
          <xdr:colOff>0</xdr:colOff>
          <xdr:row>38</xdr:row>
          <xdr:rowOff>114300</xdr:rowOff>
        </xdr:to>
        <xdr:sp macro="" textlink="">
          <xdr:nvSpPr>
            <xdr:cNvPr id="21510" name="Check Box 6" hidden="1">
              <a:extLst>
                <a:ext uri="{63B3BB69-23CF-44E3-9099-C40C66FF867C}">
                  <a14:compatExt spid="_x0000_s21510"/>
                </a:ext>
                <a:ext uri="{FF2B5EF4-FFF2-40B4-BE49-F238E27FC236}">
                  <a16:creationId xmlns:a16="http://schemas.microsoft.com/office/drawing/2014/main" id="{00000000-0008-0000-0200-000006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60</xdr:row>
          <xdr:rowOff>85725</xdr:rowOff>
        </xdr:from>
        <xdr:to>
          <xdr:col>3</xdr:col>
          <xdr:colOff>0</xdr:colOff>
          <xdr:row>61</xdr:row>
          <xdr:rowOff>0</xdr:rowOff>
        </xdr:to>
        <xdr:sp macro="" textlink="">
          <xdr:nvSpPr>
            <xdr:cNvPr id="21511" name="Check Box 7" hidden="1">
              <a:extLst>
                <a:ext uri="{63B3BB69-23CF-44E3-9099-C40C66FF867C}">
                  <a14:compatExt spid="_x0000_s21511"/>
                </a:ext>
                <a:ext uri="{FF2B5EF4-FFF2-40B4-BE49-F238E27FC236}">
                  <a16:creationId xmlns:a16="http://schemas.microsoft.com/office/drawing/2014/main" id="{00000000-0008-0000-0200-000007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68</xdr:row>
          <xdr:rowOff>85725</xdr:rowOff>
        </xdr:from>
        <xdr:to>
          <xdr:col>2</xdr:col>
          <xdr:colOff>2514600</xdr:colOff>
          <xdr:row>81</xdr:row>
          <xdr:rowOff>295275</xdr:rowOff>
        </xdr:to>
        <xdr:sp macro="" textlink="">
          <xdr:nvSpPr>
            <xdr:cNvPr id="21512" name="Check Box 8" hidden="1">
              <a:extLst>
                <a:ext uri="{63B3BB69-23CF-44E3-9099-C40C66FF867C}">
                  <a14:compatExt spid="_x0000_s21512"/>
                </a:ext>
                <a:ext uri="{FF2B5EF4-FFF2-40B4-BE49-F238E27FC236}">
                  <a16:creationId xmlns:a16="http://schemas.microsoft.com/office/drawing/2014/main" id="{00000000-0008-0000-0200-000008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359</xdr:row>
          <xdr:rowOff>76200</xdr:rowOff>
        </xdr:from>
        <xdr:to>
          <xdr:col>3</xdr:col>
          <xdr:colOff>0</xdr:colOff>
          <xdr:row>360</xdr:row>
          <xdr:rowOff>0</xdr:rowOff>
        </xdr:to>
        <xdr:sp macro="" textlink="">
          <xdr:nvSpPr>
            <xdr:cNvPr id="21513" name="Check Box 9" hidden="1">
              <a:extLst>
                <a:ext uri="{63B3BB69-23CF-44E3-9099-C40C66FF867C}">
                  <a14:compatExt spid="_x0000_s21513"/>
                </a:ext>
                <a:ext uri="{FF2B5EF4-FFF2-40B4-BE49-F238E27FC236}">
                  <a16:creationId xmlns:a16="http://schemas.microsoft.com/office/drawing/2014/main" id="{00000000-0008-0000-0200-000009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5172075</xdr:colOff>
          <xdr:row>7</xdr:row>
          <xdr:rowOff>104775</xdr:rowOff>
        </xdr:from>
        <xdr:to>
          <xdr:col>3</xdr:col>
          <xdr:colOff>457200</xdr:colOff>
          <xdr:row>8</xdr:row>
          <xdr:rowOff>428625</xdr:rowOff>
        </xdr:to>
        <xdr:sp macro="" textlink="">
          <xdr:nvSpPr>
            <xdr:cNvPr id="21516" name="Button 12" descr="Generate Audit results" hidden="1">
              <a:extLst>
                <a:ext uri="{63B3BB69-23CF-44E3-9099-C40C66FF867C}">
                  <a14:compatExt spid="_x0000_s21516"/>
                </a:ext>
                <a:ext uri="{FF2B5EF4-FFF2-40B4-BE49-F238E27FC236}">
                  <a16:creationId xmlns:a16="http://schemas.microsoft.com/office/drawing/2014/main" id="{00000000-0008-0000-0200-00000C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Generate Audit Results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12</xdr:col>
      <xdr:colOff>66675</xdr:colOff>
      <xdr:row>192</xdr:row>
      <xdr:rowOff>114300</xdr:rowOff>
    </xdr:from>
    <xdr:to>
      <xdr:col>14</xdr:col>
      <xdr:colOff>47625</xdr:colOff>
      <xdr:row>195</xdr:row>
      <xdr:rowOff>0</xdr:rowOff>
    </xdr:to>
    <xdr:sp macro="" textlink="">
      <xdr:nvSpPr>
        <xdr:cNvPr id="2" name="Text 31">
          <a:extLst>
            <a:ext uri="{FF2B5EF4-FFF2-40B4-BE49-F238E27FC236}">
              <a16:creationId xmlns:a16="http://schemas.microsoft.com/office/drawing/2014/main" id="{00000000-0008-0000-0300-000002000000}"/>
            </a:ext>
          </a:extLst>
        </xdr:cNvPr>
        <xdr:cNvSpPr txBox="1">
          <a:spLocks noChangeArrowheads="1"/>
        </xdr:cNvSpPr>
      </xdr:nvSpPr>
      <xdr:spPr bwMode="auto">
        <a:xfrm>
          <a:off x="4810125" y="39300150"/>
          <a:ext cx="685800" cy="514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txBody>
        <a:bodyPr vertOverflow="clip" wrap="square" lIns="0" tIns="27432" rIns="36576" bIns="27432" anchor="ctr"/>
        <a:lstStyle/>
        <a:p>
          <a:pPr algn="r" rtl="0">
            <a:defRPr sz="1000"/>
          </a:pPr>
          <a:r>
            <a:rPr lang="de-DE" sz="1200" b="1" i="0" u="none" strike="noStrike" baseline="0">
              <a:solidFill>
                <a:srgbClr val="000000"/>
              </a:solidFill>
              <a:latin typeface="Arial"/>
              <a:cs typeface="Arial"/>
            </a:rPr>
            <a:t>E</a:t>
          </a:r>
          <a:r>
            <a:rPr lang="de-DE" sz="1200" b="1" i="0" u="none" strike="noStrike" baseline="-25000">
              <a:solidFill>
                <a:srgbClr val="000000"/>
              </a:solidFill>
              <a:latin typeface="Arial"/>
              <a:cs typeface="Arial"/>
            </a:rPr>
            <a:t>D</a:t>
          </a:r>
          <a:r>
            <a:rPr lang="de-DE" sz="1200" b="1" i="0" u="none" strike="noStrike" baseline="0">
              <a:solidFill>
                <a:srgbClr val="000000"/>
              </a:solidFill>
              <a:latin typeface="Arial"/>
              <a:cs typeface="Arial"/>
            </a:rPr>
            <a:t> [%] </a:t>
          </a:r>
          <a:r>
            <a:rPr lang="de-DE" sz="1000" b="1" i="0" u="none" strike="noStrike" baseline="0">
              <a:solidFill>
                <a:srgbClr val="000000"/>
              </a:solidFill>
              <a:latin typeface="Arial"/>
              <a:cs typeface="Arial"/>
            </a:rPr>
            <a:t>=</a:t>
          </a:r>
        </a:p>
      </xdr:txBody>
    </xdr:sp>
    <xdr:clientData/>
  </xdr:twoCellAnchor>
  <xdr:twoCellAnchor>
    <xdr:from>
      <xdr:col>14</xdr:col>
      <xdr:colOff>47625</xdr:colOff>
      <xdr:row>193</xdr:row>
      <xdr:rowOff>161925</xdr:rowOff>
    </xdr:from>
    <xdr:to>
      <xdr:col>18</xdr:col>
      <xdr:colOff>0</xdr:colOff>
      <xdr:row>193</xdr:row>
      <xdr:rowOff>161925</xdr:rowOff>
    </xdr:to>
    <xdr:sp macro="" textlink="">
      <xdr:nvSpPr>
        <xdr:cNvPr id="3" name="Line 5">
          <a:extLst>
            <a:ext uri="{FF2B5EF4-FFF2-40B4-BE49-F238E27FC236}">
              <a16:creationId xmlns:a16="http://schemas.microsoft.com/office/drawing/2014/main" id="{00000000-0008-0000-0300-000003000000}"/>
            </a:ext>
          </a:extLst>
        </xdr:cNvPr>
        <xdr:cNvSpPr>
          <a:spLocks noChangeShapeType="1"/>
        </xdr:cNvSpPr>
      </xdr:nvSpPr>
      <xdr:spPr bwMode="auto">
        <a:xfrm>
          <a:off x="5495925" y="39538275"/>
          <a:ext cx="14192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314325</xdr:colOff>
      <xdr:row>195</xdr:row>
      <xdr:rowOff>152400</xdr:rowOff>
    </xdr:from>
    <xdr:to>
      <xdr:col>13</xdr:col>
      <xdr:colOff>322091</xdr:colOff>
      <xdr:row>199</xdr:row>
      <xdr:rowOff>38100</xdr:rowOff>
    </xdr:to>
    <xdr:sp macro="" textlink="">
      <xdr:nvSpPr>
        <xdr:cNvPr id="4" name="Text 26">
          <a:extLst>
            <a:ext uri="{FF2B5EF4-FFF2-40B4-BE49-F238E27FC236}">
              <a16:creationId xmlns:a16="http://schemas.microsoft.com/office/drawing/2014/main" id="{00000000-0008-0000-0300-000004000000}"/>
            </a:ext>
          </a:extLst>
        </xdr:cNvPr>
        <xdr:cNvSpPr txBox="1">
          <a:spLocks noChangeArrowheads="1"/>
        </xdr:cNvSpPr>
      </xdr:nvSpPr>
      <xdr:spPr bwMode="auto">
        <a:xfrm>
          <a:off x="4705350" y="39966900"/>
          <a:ext cx="712616" cy="609600"/>
        </a:xfrm>
        <a:prstGeom prst="rect">
          <a:avLst/>
        </a:prstGeom>
        <a:noFill/>
        <a:ln w="1">
          <a:noFill/>
          <a:miter lim="800000"/>
          <a:headEnd/>
          <a:tailEnd/>
        </a:ln>
      </xdr:spPr>
      <xdr:txBody>
        <a:bodyPr vertOverflow="clip" wrap="square" lIns="0" tIns="27432" rIns="36576" bIns="27432" anchor="ctr" upright="1"/>
        <a:lstStyle/>
        <a:p>
          <a:pPr algn="r" rtl="0">
            <a:defRPr sz="1000"/>
          </a:pPr>
          <a:r>
            <a:rPr lang="de-DE" sz="1200" b="1" i="0" u="none" strike="noStrike" baseline="0">
              <a:solidFill>
                <a:srgbClr val="000000"/>
              </a:solidFill>
              <a:latin typeface="Arial"/>
              <a:cs typeface="Arial"/>
            </a:rPr>
            <a:t>E</a:t>
          </a:r>
          <a:r>
            <a:rPr lang="de-DE" sz="1200" b="1" i="0" u="none" strike="noStrike" baseline="-25000">
              <a:solidFill>
                <a:srgbClr val="000000"/>
              </a:solidFill>
              <a:latin typeface="Arial"/>
              <a:cs typeface="Arial"/>
            </a:rPr>
            <a:t>P</a:t>
          </a:r>
          <a:r>
            <a:rPr lang="de-DE" sz="1200" b="1" i="0" u="none" strike="noStrike" baseline="0">
              <a:solidFill>
                <a:srgbClr val="000000"/>
              </a:solidFill>
              <a:latin typeface="Arial"/>
              <a:cs typeface="Arial"/>
            </a:rPr>
            <a:t> [%] </a:t>
          </a:r>
          <a:r>
            <a:rPr lang="de-DE" sz="1000" b="1" i="0" u="none" strike="noStrike" baseline="0">
              <a:solidFill>
                <a:srgbClr val="000000"/>
              </a:solidFill>
              <a:latin typeface="Arial"/>
              <a:cs typeface="Arial"/>
            </a:rPr>
            <a:t>=</a:t>
          </a:r>
        </a:p>
      </xdr:txBody>
    </xdr:sp>
    <xdr:clientData/>
  </xdr:twoCellAnchor>
  <xdr:twoCellAnchor>
    <xdr:from>
      <xdr:col>14</xdr:col>
      <xdr:colOff>47625</xdr:colOff>
      <xdr:row>197</xdr:row>
      <xdr:rowOff>47625</xdr:rowOff>
    </xdr:from>
    <xdr:to>
      <xdr:col>18</xdr:col>
      <xdr:colOff>0</xdr:colOff>
      <xdr:row>197</xdr:row>
      <xdr:rowOff>47625</xdr:rowOff>
    </xdr:to>
    <xdr:sp macro="" textlink="">
      <xdr:nvSpPr>
        <xdr:cNvPr id="5" name="Line 10">
          <a:extLst>
            <a:ext uri="{FF2B5EF4-FFF2-40B4-BE49-F238E27FC236}">
              <a16:creationId xmlns:a16="http://schemas.microsoft.com/office/drawing/2014/main" id="{00000000-0008-0000-0300-000005000000}"/>
            </a:ext>
          </a:extLst>
        </xdr:cNvPr>
        <xdr:cNvSpPr>
          <a:spLocks noChangeShapeType="1"/>
        </xdr:cNvSpPr>
      </xdr:nvSpPr>
      <xdr:spPr bwMode="auto">
        <a:xfrm>
          <a:off x="5495925" y="40300275"/>
          <a:ext cx="14192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38</xdr:col>
      <xdr:colOff>145677</xdr:colOff>
      <xdr:row>62</xdr:row>
      <xdr:rowOff>100853</xdr:rowOff>
    </xdr:from>
    <xdr:to>
      <xdr:col>52</xdr:col>
      <xdr:colOff>156882</xdr:colOff>
      <xdr:row>62</xdr:row>
      <xdr:rowOff>100853</xdr:rowOff>
    </xdr:to>
    <xdr:cxnSp macro="">
      <xdr:nvCxnSpPr>
        <xdr:cNvPr id="6" name="Gerader Verbinder 2">
          <a:extLst>
            <a:ext uri="{FF2B5EF4-FFF2-40B4-BE49-F238E27FC236}">
              <a16:creationId xmlns:a16="http://schemas.microsoft.com/office/drawing/2014/main" id="{00000000-0008-0000-0300-000006000000}"/>
            </a:ext>
          </a:extLst>
        </xdr:cNvPr>
        <xdr:cNvCxnSpPr/>
      </xdr:nvCxnSpPr>
      <xdr:spPr bwMode="auto">
        <a:xfrm>
          <a:off x="14376027" y="13721603"/>
          <a:ext cx="4992780" cy="0"/>
        </a:xfrm>
        <a:prstGeom prst="line">
          <a:avLst/>
        </a:prstGeom>
        <a:solidFill>
          <a:srgbClr val="FFFFFF"/>
        </a:solidFill>
        <a:ln w="9525" cap="flat" cmpd="sng" algn="ctr">
          <a:solidFill>
            <a:srgbClr val="000000"/>
          </a:solidFill>
          <a:prstDash val="solid"/>
          <a:round/>
          <a:headEnd type="none" w="med" len="med"/>
          <a:tailEnd type="none" w="med" len="med"/>
        </a:ln>
        <a:effectLst/>
      </xdr:spPr>
    </xdr:cxnSp>
    <xdr:clientData/>
  </xdr:twoCellAnchor>
  <xdr:twoCellAnchor editAs="oneCell">
    <xdr:from>
      <xdr:col>1</xdr:col>
      <xdr:colOff>595313</xdr:colOff>
      <xdr:row>0</xdr:row>
      <xdr:rowOff>0</xdr:rowOff>
    </xdr:from>
    <xdr:to>
      <xdr:col>6</xdr:col>
      <xdr:colOff>311638</xdr:colOff>
      <xdr:row>1</xdr:row>
      <xdr:rowOff>142055</xdr:rowOff>
    </xdr:to>
    <xdr:pic>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xdr:blipFill>
      <xdr:spPr>
        <a:xfrm>
          <a:off x="595313" y="0"/>
          <a:ext cx="1752294" cy="39208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12</xdr:col>
      <xdr:colOff>66675</xdr:colOff>
      <xdr:row>192</xdr:row>
      <xdr:rowOff>114300</xdr:rowOff>
    </xdr:from>
    <xdr:to>
      <xdr:col>14</xdr:col>
      <xdr:colOff>47625</xdr:colOff>
      <xdr:row>195</xdr:row>
      <xdr:rowOff>0</xdr:rowOff>
    </xdr:to>
    <xdr:sp macro="" textlink="">
      <xdr:nvSpPr>
        <xdr:cNvPr id="2" name="Text 31">
          <a:extLst>
            <a:ext uri="{FF2B5EF4-FFF2-40B4-BE49-F238E27FC236}">
              <a16:creationId xmlns:a16="http://schemas.microsoft.com/office/drawing/2014/main" id="{00000000-0008-0000-0400-000002000000}"/>
            </a:ext>
          </a:extLst>
        </xdr:cNvPr>
        <xdr:cNvSpPr txBox="1">
          <a:spLocks noChangeArrowheads="1"/>
        </xdr:cNvSpPr>
      </xdr:nvSpPr>
      <xdr:spPr bwMode="auto">
        <a:xfrm>
          <a:off x="4810125" y="39300150"/>
          <a:ext cx="685800" cy="514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txBody>
        <a:bodyPr vertOverflow="clip" wrap="square" lIns="0" tIns="27432" rIns="36576" bIns="27432" anchor="ctr"/>
        <a:lstStyle/>
        <a:p>
          <a:pPr algn="r" rtl="0">
            <a:defRPr sz="1000"/>
          </a:pPr>
          <a:r>
            <a:rPr lang="de-DE" sz="1200" b="1" i="0" u="none" strike="noStrike" baseline="0">
              <a:solidFill>
                <a:srgbClr val="000000"/>
              </a:solidFill>
              <a:latin typeface="Arial"/>
              <a:cs typeface="Arial"/>
            </a:rPr>
            <a:t>E</a:t>
          </a:r>
          <a:r>
            <a:rPr lang="de-DE" sz="1200" b="1" i="0" u="none" strike="noStrike" baseline="-25000">
              <a:solidFill>
                <a:srgbClr val="000000"/>
              </a:solidFill>
              <a:latin typeface="Arial"/>
              <a:cs typeface="Arial"/>
            </a:rPr>
            <a:t>D</a:t>
          </a:r>
          <a:r>
            <a:rPr lang="de-DE" sz="1200" b="1" i="0" u="none" strike="noStrike" baseline="0">
              <a:solidFill>
                <a:srgbClr val="000000"/>
              </a:solidFill>
              <a:latin typeface="Arial"/>
              <a:cs typeface="Arial"/>
            </a:rPr>
            <a:t> [%] </a:t>
          </a:r>
          <a:r>
            <a:rPr lang="de-DE" sz="1000" b="1" i="0" u="none" strike="noStrike" baseline="0">
              <a:solidFill>
                <a:srgbClr val="000000"/>
              </a:solidFill>
              <a:latin typeface="Arial"/>
              <a:cs typeface="Arial"/>
            </a:rPr>
            <a:t>=</a:t>
          </a:r>
        </a:p>
      </xdr:txBody>
    </xdr:sp>
    <xdr:clientData/>
  </xdr:twoCellAnchor>
  <xdr:twoCellAnchor>
    <xdr:from>
      <xdr:col>14</xdr:col>
      <xdr:colOff>47625</xdr:colOff>
      <xdr:row>193</xdr:row>
      <xdr:rowOff>161925</xdr:rowOff>
    </xdr:from>
    <xdr:to>
      <xdr:col>18</xdr:col>
      <xdr:colOff>0</xdr:colOff>
      <xdr:row>193</xdr:row>
      <xdr:rowOff>161925</xdr:rowOff>
    </xdr:to>
    <xdr:sp macro="" textlink="">
      <xdr:nvSpPr>
        <xdr:cNvPr id="3" name="Line 5">
          <a:extLst>
            <a:ext uri="{FF2B5EF4-FFF2-40B4-BE49-F238E27FC236}">
              <a16:creationId xmlns:a16="http://schemas.microsoft.com/office/drawing/2014/main" id="{00000000-0008-0000-0400-000003000000}"/>
            </a:ext>
          </a:extLst>
        </xdr:cNvPr>
        <xdr:cNvSpPr>
          <a:spLocks noChangeShapeType="1"/>
        </xdr:cNvSpPr>
      </xdr:nvSpPr>
      <xdr:spPr bwMode="auto">
        <a:xfrm>
          <a:off x="5495925" y="39538275"/>
          <a:ext cx="14192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314325</xdr:colOff>
      <xdr:row>195</xdr:row>
      <xdr:rowOff>152400</xdr:rowOff>
    </xdr:from>
    <xdr:to>
      <xdr:col>13</xdr:col>
      <xdr:colOff>322091</xdr:colOff>
      <xdr:row>199</xdr:row>
      <xdr:rowOff>38100</xdr:rowOff>
    </xdr:to>
    <xdr:sp macro="" textlink="">
      <xdr:nvSpPr>
        <xdr:cNvPr id="4" name="Text 26">
          <a:extLst>
            <a:ext uri="{FF2B5EF4-FFF2-40B4-BE49-F238E27FC236}">
              <a16:creationId xmlns:a16="http://schemas.microsoft.com/office/drawing/2014/main" id="{00000000-0008-0000-0400-000004000000}"/>
            </a:ext>
          </a:extLst>
        </xdr:cNvPr>
        <xdr:cNvSpPr txBox="1">
          <a:spLocks noChangeArrowheads="1"/>
        </xdr:cNvSpPr>
      </xdr:nvSpPr>
      <xdr:spPr bwMode="auto">
        <a:xfrm>
          <a:off x="4705350" y="39966900"/>
          <a:ext cx="712616" cy="609600"/>
        </a:xfrm>
        <a:prstGeom prst="rect">
          <a:avLst/>
        </a:prstGeom>
        <a:noFill/>
        <a:ln w="1">
          <a:noFill/>
          <a:miter lim="800000"/>
          <a:headEnd/>
          <a:tailEnd/>
        </a:ln>
      </xdr:spPr>
      <xdr:txBody>
        <a:bodyPr vertOverflow="clip" wrap="square" lIns="0" tIns="27432" rIns="36576" bIns="27432" anchor="ctr" upright="1"/>
        <a:lstStyle/>
        <a:p>
          <a:pPr algn="r" rtl="0">
            <a:defRPr sz="1000"/>
          </a:pPr>
          <a:r>
            <a:rPr lang="de-DE" sz="1200" b="1" i="0" u="none" strike="noStrike" baseline="0">
              <a:solidFill>
                <a:srgbClr val="000000"/>
              </a:solidFill>
              <a:latin typeface="Arial"/>
              <a:cs typeface="Arial"/>
            </a:rPr>
            <a:t>E</a:t>
          </a:r>
          <a:r>
            <a:rPr lang="de-DE" sz="1200" b="1" i="0" u="none" strike="noStrike" baseline="-25000">
              <a:solidFill>
                <a:srgbClr val="000000"/>
              </a:solidFill>
              <a:latin typeface="Arial"/>
              <a:cs typeface="Arial"/>
            </a:rPr>
            <a:t>P</a:t>
          </a:r>
          <a:r>
            <a:rPr lang="de-DE" sz="1200" b="1" i="0" u="none" strike="noStrike" baseline="0">
              <a:solidFill>
                <a:srgbClr val="000000"/>
              </a:solidFill>
              <a:latin typeface="Arial"/>
              <a:cs typeface="Arial"/>
            </a:rPr>
            <a:t> [%] </a:t>
          </a:r>
          <a:r>
            <a:rPr lang="de-DE" sz="1000" b="1" i="0" u="none" strike="noStrike" baseline="0">
              <a:solidFill>
                <a:srgbClr val="000000"/>
              </a:solidFill>
              <a:latin typeface="Arial"/>
              <a:cs typeface="Arial"/>
            </a:rPr>
            <a:t>=</a:t>
          </a:r>
        </a:p>
      </xdr:txBody>
    </xdr:sp>
    <xdr:clientData/>
  </xdr:twoCellAnchor>
  <xdr:twoCellAnchor>
    <xdr:from>
      <xdr:col>14</xdr:col>
      <xdr:colOff>47625</xdr:colOff>
      <xdr:row>197</xdr:row>
      <xdr:rowOff>47625</xdr:rowOff>
    </xdr:from>
    <xdr:to>
      <xdr:col>18</xdr:col>
      <xdr:colOff>0</xdr:colOff>
      <xdr:row>197</xdr:row>
      <xdr:rowOff>47625</xdr:rowOff>
    </xdr:to>
    <xdr:sp macro="" textlink="">
      <xdr:nvSpPr>
        <xdr:cNvPr id="5" name="Line 10">
          <a:extLst>
            <a:ext uri="{FF2B5EF4-FFF2-40B4-BE49-F238E27FC236}">
              <a16:creationId xmlns:a16="http://schemas.microsoft.com/office/drawing/2014/main" id="{00000000-0008-0000-0400-000005000000}"/>
            </a:ext>
          </a:extLst>
        </xdr:cNvPr>
        <xdr:cNvSpPr>
          <a:spLocks noChangeShapeType="1"/>
        </xdr:cNvSpPr>
      </xdr:nvSpPr>
      <xdr:spPr bwMode="auto">
        <a:xfrm>
          <a:off x="5495925" y="40300275"/>
          <a:ext cx="14192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38</xdr:col>
      <xdr:colOff>145677</xdr:colOff>
      <xdr:row>62</xdr:row>
      <xdr:rowOff>100853</xdr:rowOff>
    </xdr:from>
    <xdr:to>
      <xdr:col>52</xdr:col>
      <xdr:colOff>156882</xdr:colOff>
      <xdr:row>62</xdr:row>
      <xdr:rowOff>100853</xdr:rowOff>
    </xdr:to>
    <xdr:cxnSp macro="">
      <xdr:nvCxnSpPr>
        <xdr:cNvPr id="6" name="Gerader Verbinder 2">
          <a:extLst>
            <a:ext uri="{FF2B5EF4-FFF2-40B4-BE49-F238E27FC236}">
              <a16:creationId xmlns:a16="http://schemas.microsoft.com/office/drawing/2014/main" id="{00000000-0008-0000-0400-000006000000}"/>
            </a:ext>
          </a:extLst>
        </xdr:cNvPr>
        <xdr:cNvCxnSpPr/>
      </xdr:nvCxnSpPr>
      <xdr:spPr bwMode="auto">
        <a:xfrm>
          <a:off x="14376027" y="13721603"/>
          <a:ext cx="4992780" cy="0"/>
        </a:xfrm>
        <a:prstGeom prst="line">
          <a:avLst/>
        </a:prstGeom>
        <a:solidFill>
          <a:srgbClr val="FFFFFF"/>
        </a:solidFill>
        <a:ln w="9525" cap="flat" cmpd="sng" algn="ctr">
          <a:solidFill>
            <a:srgbClr val="000000"/>
          </a:solidFill>
          <a:prstDash val="solid"/>
          <a:round/>
          <a:headEnd type="none" w="med" len="med"/>
          <a:tailEnd type="none" w="med" len="med"/>
        </a:ln>
        <a:effectLst/>
      </xdr:spPr>
    </xdr:cxnSp>
    <xdr:clientData/>
  </xdr:twoCellAnchor>
  <xdr:twoCellAnchor editAs="oneCell">
    <xdr:from>
      <xdr:col>1</xdr:col>
      <xdr:colOff>607220</xdr:colOff>
      <xdr:row>0</xdr:row>
      <xdr:rowOff>0</xdr:rowOff>
    </xdr:from>
    <xdr:to>
      <xdr:col>6</xdr:col>
      <xdr:colOff>323545</xdr:colOff>
      <xdr:row>1</xdr:row>
      <xdr:rowOff>142055</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xdr:blipFill>
      <xdr:spPr>
        <a:xfrm>
          <a:off x="607220" y="0"/>
          <a:ext cx="1752294" cy="39208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12</xdr:col>
      <xdr:colOff>66675</xdr:colOff>
      <xdr:row>192</xdr:row>
      <xdr:rowOff>114300</xdr:rowOff>
    </xdr:from>
    <xdr:to>
      <xdr:col>14</xdr:col>
      <xdr:colOff>47625</xdr:colOff>
      <xdr:row>195</xdr:row>
      <xdr:rowOff>0</xdr:rowOff>
    </xdr:to>
    <xdr:sp macro="" textlink="">
      <xdr:nvSpPr>
        <xdr:cNvPr id="2" name="Text 31">
          <a:extLst>
            <a:ext uri="{FF2B5EF4-FFF2-40B4-BE49-F238E27FC236}">
              <a16:creationId xmlns:a16="http://schemas.microsoft.com/office/drawing/2014/main" id="{00000000-0008-0000-0500-000002000000}"/>
            </a:ext>
          </a:extLst>
        </xdr:cNvPr>
        <xdr:cNvSpPr txBox="1">
          <a:spLocks noChangeArrowheads="1"/>
        </xdr:cNvSpPr>
      </xdr:nvSpPr>
      <xdr:spPr bwMode="auto">
        <a:xfrm>
          <a:off x="4810125" y="39300150"/>
          <a:ext cx="685800" cy="514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txBody>
        <a:bodyPr vertOverflow="clip" wrap="square" lIns="0" tIns="27432" rIns="36576" bIns="27432" anchor="ctr"/>
        <a:lstStyle/>
        <a:p>
          <a:pPr algn="r" rtl="0">
            <a:defRPr sz="1000"/>
          </a:pPr>
          <a:r>
            <a:rPr lang="de-DE" sz="1200" b="1" i="0" u="none" strike="noStrike" baseline="0">
              <a:solidFill>
                <a:srgbClr val="000000"/>
              </a:solidFill>
              <a:latin typeface="Arial"/>
              <a:cs typeface="Arial"/>
            </a:rPr>
            <a:t>E</a:t>
          </a:r>
          <a:r>
            <a:rPr lang="de-DE" sz="1200" b="1" i="0" u="none" strike="noStrike" baseline="-25000">
              <a:solidFill>
                <a:srgbClr val="000000"/>
              </a:solidFill>
              <a:latin typeface="Arial"/>
              <a:cs typeface="Arial"/>
            </a:rPr>
            <a:t>D</a:t>
          </a:r>
          <a:r>
            <a:rPr lang="de-DE" sz="1200" b="1" i="0" u="none" strike="noStrike" baseline="0">
              <a:solidFill>
                <a:srgbClr val="000000"/>
              </a:solidFill>
              <a:latin typeface="Arial"/>
              <a:cs typeface="Arial"/>
            </a:rPr>
            <a:t> [%] </a:t>
          </a:r>
          <a:r>
            <a:rPr lang="de-DE" sz="1000" b="1" i="0" u="none" strike="noStrike" baseline="0">
              <a:solidFill>
                <a:srgbClr val="000000"/>
              </a:solidFill>
              <a:latin typeface="Arial"/>
              <a:cs typeface="Arial"/>
            </a:rPr>
            <a:t>=</a:t>
          </a:r>
        </a:p>
      </xdr:txBody>
    </xdr:sp>
    <xdr:clientData/>
  </xdr:twoCellAnchor>
  <xdr:twoCellAnchor>
    <xdr:from>
      <xdr:col>14</xdr:col>
      <xdr:colOff>47625</xdr:colOff>
      <xdr:row>193</xdr:row>
      <xdr:rowOff>161925</xdr:rowOff>
    </xdr:from>
    <xdr:to>
      <xdr:col>18</xdr:col>
      <xdr:colOff>0</xdr:colOff>
      <xdr:row>193</xdr:row>
      <xdr:rowOff>161925</xdr:rowOff>
    </xdr:to>
    <xdr:sp macro="" textlink="">
      <xdr:nvSpPr>
        <xdr:cNvPr id="3" name="Line 5">
          <a:extLst>
            <a:ext uri="{FF2B5EF4-FFF2-40B4-BE49-F238E27FC236}">
              <a16:creationId xmlns:a16="http://schemas.microsoft.com/office/drawing/2014/main" id="{00000000-0008-0000-0500-000003000000}"/>
            </a:ext>
          </a:extLst>
        </xdr:cNvPr>
        <xdr:cNvSpPr>
          <a:spLocks noChangeShapeType="1"/>
        </xdr:cNvSpPr>
      </xdr:nvSpPr>
      <xdr:spPr bwMode="auto">
        <a:xfrm>
          <a:off x="5495925" y="39538275"/>
          <a:ext cx="14192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314325</xdr:colOff>
      <xdr:row>195</xdr:row>
      <xdr:rowOff>152400</xdr:rowOff>
    </xdr:from>
    <xdr:to>
      <xdr:col>13</xdr:col>
      <xdr:colOff>322091</xdr:colOff>
      <xdr:row>199</xdr:row>
      <xdr:rowOff>38100</xdr:rowOff>
    </xdr:to>
    <xdr:sp macro="" textlink="">
      <xdr:nvSpPr>
        <xdr:cNvPr id="4" name="Text 26">
          <a:extLst>
            <a:ext uri="{FF2B5EF4-FFF2-40B4-BE49-F238E27FC236}">
              <a16:creationId xmlns:a16="http://schemas.microsoft.com/office/drawing/2014/main" id="{00000000-0008-0000-0500-000004000000}"/>
            </a:ext>
          </a:extLst>
        </xdr:cNvPr>
        <xdr:cNvSpPr txBox="1">
          <a:spLocks noChangeArrowheads="1"/>
        </xdr:cNvSpPr>
      </xdr:nvSpPr>
      <xdr:spPr bwMode="auto">
        <a:xfrm>
          <a:off x="4705350" y="39966900"/>
          <a:ext cx="712616" cy="609600"/>
        </a:xfrm>
        <a:prstGeom prst="rect">
          <a:avLst/>
        </a:prstGeom>
        <a:noFill/>
        <a:ln w="1">
          <a:noFill/>
          <a:miter lim="800000"/>
          <a:headEnd/>
          <a:tailEnd/>
        </a:ln>
      </xdr:spPr>
      <xdr:txBody>
        <a:bodyPr vertOverflow="clip" wrap="square" lIns="0" tIns="27432" rIns="36576" bIns="27432" anchor="ctr" upright="1"/>
        <a:lstStyle/>
        <a:p>
          <a:pPr algn="r" rtl="0">
            <a:defRPr sz="1000"/>
          </a:pPr>
          <a:r>
            <a:rPr lang="de-DE" sz="1200" b="1" i="0" u="none" strike="noStrike" baseline="0">
              <a:solidFill>
                <a:srgbClr val="000000"/>
              </a:solidFill>
              <a:latin typeface="Arial"/>
              <a:cs typeface="Arial"/>
            </a:rPr>
            <a:t>E</a:t>
          </a:r>
          <a:r>
            <a:rPr lang="de-DE" sz="1200" b="1" i="0" u="none" strike="noStrike" baseline="-25000">
              <a:solidFill>
                <a:srgbClr val="000000"/>
              </a:solidFill>
              <a:latin typeface="Arial"/>
              <a:cs typeface="Arial"/>
            </a:rPr>
            <a:t>P</a:t>
          </a:r>
          <a:r>
            <a:rPr lang="de-DE" sz="1200" b="1" i="0" u="none" strike="noStrike" baseline="0">
              <a:solidFill>
                <a:srgbClr val="000000"/>
              </a:solidFill>
              <a:latin typeface="Arial"/>
              <a:cs typeface="Arial"/>
            </a:rPr>
            <a:t> [%] </a:t>
          </a:r>
          <a:r>
            <a:rPr lang="de-DE" sz="1000" b="1" i="0" u="none" strike="noStrike" baseline="0">
              <a:solidFill>
                <a:srgbClr val="000000"/>
              </a:solidFill>
              <a:latin typeface="Arial"/>
              <a:cs typeface="Arial"/>
            </a:rPr>
            <a:t>=</a:t>
          </a:r>
        </a:p>
      </xdr:txBody>
    </xdr:sp>
    <xdr:clientData/>
  </xdr:twoCellAnchor>
  <xdr:twoCellAnchor>
    <xdr:from>
      <xdr:col>14</xdr:col>
      <xdr:colOff>47625</xdr:colOff>
      <xdr:row>197</xdr:row>
      <xdr:rowOff>47625</xdr:rowOff>
    </xdr:from>
    <xdr:to>
      <xdr:col>18</xdr:col>
      <xdr:colOff>0</xdr:colOff>
      <xdr:row>197</xdr:row>
      <xdr:rowOff>47625</xdr:rowOff>
    </xdr:to>
    <xdr:sp macro="" textlink="">
      <xdr:nvSpPr>
        <xdr:cNvPr id="5" name="Line 10">
          <a:extLst>
            <a:ext uri="{FF2B5EF4-FFF2-40B4-BE49-F238E27FC236}">
              <a16:creationId xmlns:a16="http://schemas.microsoft.com/office/drawing/2014/main" id="{00000000-0008-0000-0500-000005000000}"/>
            </a:ext>
          </a:extLst>
        </xdr:cNvPr>
        <xdr:cNvSpPr>
          <a:spLocks noChangeShapeType="1"/>
        </xdr:cNvSpPr>
      </xdr:nvSpPr>
      <xdr:spPr bwMode="auto">
        <a:xfrm>
          <a:off x="5495925" y="40300275"/>
          <a:ext cx="14192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38</xdr:col>
      <xdr:colOff>145677</xdr:colOff>
      <xdr:row>62</xdr:row>
      <xdr:rowOff>100853</xdr:rowOff>
    </xdr:from>
    <xdr:to>
      <xdr:col>52</xdr:col>
      <xdr:colOff>156882</xdr:colOff>
      <xdr:row>62</xdr:row>
      <xdr:rowOff>100853</xdr:rowOff>
    </xdr:to>
    <xdr:cxnSp macro="">
      <xdr:nvCxnSpPr>
        <xdr:cNvPr id="6" name="Gerader Verbinder 2">
          <a:extLst>
            <a:ext uri="{FF2B5EF4-FFF2-40B4-BE49-F238E27FC236}">
              <a16:creationId xmlns:a16="http://schemas.microsoft.com/office/drawing/2014/main" id="{00000000-0008-0000-0500-000006000000}"/>
            </a:ext>
          </a:extLst>
        </xdr:cNvPr>
        <xdr:cNvCxnSpPr/>
      </xdr:nvCxnSpPr>
      <xdr:spPr bwMode="auto">
        <a:xfrm>
          <a:off x="14376027" y="13721603"/>
          <a:ext cx="4992780" cy="0"/>
        </a:xfrm>
        <a:prstGeom prst="line">
          <a:avLst/>
        </a:prstGeom>
        <a:solidFill>
          <a:srgbClr val="FFFFFF"/>
        </a:solidFill>
        <a:ln w="9525" cap="flat" cmpd="sng" algn="ctr">
          <a:solidFill>
            <a:srgbClr val="000000"/>
          </a:solidFill>
          <a:prstDash val="solid"/>
          <a:round/>
          <a:headEnd type="none" w="med" len="med"/>
          <a:tailEnd type="none" w="med" len="med"/>
        </a:ln>
        <a:effectLst/>
      </xdr:spPr>
    </xdr:cxnSp>
    <xdr:clientData/>
  </xdr:twoCellAnchor>
  <xdr:twoCellAnchor editAs="oneCell">
    <xdr:from>
      <xdr:col>1</xdr:col>
      <xdr:colOff>607219</xdr:colOff>
      <xdr:row>0</xdr:row>
      <xdr:rowOff>0</xdr:rowOff>
    </xdr:from>
    <xdr:to>
      <xdr:col>6</xdr:col>
      <xdr:colOff>323544</xdr:colOff>
      <xdr:row>1</xdr:row>
      <xdr:rowOff>142055</xdr:rowOff>
    </xdr:to>
    <xdr:pic>
      <xdr:nvPicPr>
        <xdr:cNvPr id="7" name="Picture 6">
          <a:extLst>
            <a:ext uri="{FF2B5EF4-FFF2-40B4-BE49-F238E27FC236}">
              <a16:creationId xmlns:a16="http://schemas.microsoft.com/office/drawing/2014/main" id="{00000000-0008-0000-0500-000007000000}"/>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xdr:blipFill>
      <xdr:spPr>
        <a:xfrm>
          <a:off x="607219" y="0"/>
          <a:ext cx="1752294" cy="39208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12</xdr:col>
      <xdr:colOff>66675</xdr:colOff>
      <xdr:row>192</xdr:row>
      <xdr:rowOff>114300</xdr:rowOff>
    </xdr:from>
    <xdr:to>
      <xdr:col>14</xdr:col>
      <xdr:colOff>47625</xdr:colOff>
      <xdr:row>195</xdr:row>
      <xdr:rowOff>0</xdr:rowOff>
    </xdr:to>
    <xdr:sp macro="" textlink="">
      <xdr:nvSpPr>
        <xdr:cNvPr id="2" name="Text 31">
          <a:extLst>
            <a:ext uri="{FF2B5EF4-FFF2-40B4-BE49-F238E27FC236}">
              <a16:creationId xmlns:a16="http://schemas.microsoft.com/office/drawing/2014/main" id="{00000000-0008-0000-0600-000002000000}"/>
            </a:ext>
          </a:extLst>
        </xdr:cNvPr>
        <xdr:cNvSpPr txBox="1">
          <a:spLocks noChangeArrowheads="1"/>
        </xdr:cNvSpPr>
      </xdr:nvSpPr>
      <xdr:spPr bwMode="auto">
        <a:xfrm>
          <a:off x="4810125" y="39300150"/>
          <a:ext cx="685800" cy="514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txBody>
        <a:bodyPr vertOverflow="clip" wrap="square" lIns="0" tIns="27432" rIns="36576" bIns="27432" anchor="ctr"/>
        <a:lstStyle/>
        <a:p>
          <a:pPr algn="r" rtl="0">
            <a:defRPr sz="1000"/>
          </a:pPr>
          <a:r>
            <a:rPr lang="de-DE" sz="1200" b="1" i="0" u="none" strike="noStrike" baseline="0">
              <a:solidFill>
                <a:srgbClr val="000000"/>
              </a:solidFill>
              <a:latin typeface="Arial"/>
              <a:cs typeface="Arial"/>
            </a:rPr>
            <a:t>E</a:t>
          </a:r>
          <a:r>
            <a:rPr lang="de-DE" sz="1200" b="1" i="0" u="none" strike="noStrike" baseline="-25000">
              <a:solidFill>
                <a:srgbClr val="000000"/>
              </a:solidFill>
              <a:latin typeface="Arial"/>
              <a:cs typeface="Arial"/>
            </a:rPr>
            <a:t>D</a:t>
          </a:r>
          <a:r>
            <a:rPr lang="de-DE" sz="1200" b="1" i="0" u="none" strike="noStrike" baseline="0">
              <a:solidFill>
                <a:srgbClr val="000000"/>
              </a:solidFill>
              <a:latin typeface="Arial"/>
              <a:cs typeface="Arial"/>
            </a:rPr>
            <a:t> [%] </a:t>
          </a:r>
          <a:r>
            <a:rPr lang="de-DE" sz="1000" b="1" i="0" u="none" strike="noStrike" baseline="0">
              <a:solidFill>
                <a:srgbClr val="000000"/>
              </a:solidFill>
              <a:latin typeface="Arial"/>
              <a:cs typeface="Arial"/>
            </a:rPr>
            <a:t>=</a:t>
          </a:r>
        </a:p>
      </xdr:txBody>
    </xdr:sp>
    <xdr:clientData/>
  </xdr:twoCellAnchor>
  <xdr:twoCellAnchor>
    <xdr:from>
      <xdr:col>14</xdr:col>
      <xdr:colOff>47625</xdr:colOff>
      <xdr:row>193</xdr:row>
      <xdr:rowOff>161925</xdr:rowOff>
    </xdr:from>
    <xdr:to>
      <xdr:col>18</xdr:col>
      <xdr:colOff>0</xdr:colOff>
      <xdr:row>193</xdr:row>
      <xdr:rowOff>161925</xdr:rowOff>
    </xdr:to>
    <xdr:sp macro="" textlink="">
      <xdr:nvSpPr>
        <xdr:cNvPr id="3" name="Line 5">
          <a:extLst>
            <a:ext uri="{FF2B5EF4-FFF2-40B4-BE49-F238E27FC236}">
              <a16:creationId xmlns:a16="http://schemas.microsoft.com/office/drawing/2014/main" id="{00000000-0008-0000-0600-000003000000}"/>
            </a:ext>
          </a:extLst>
        </xdr:cNvPr>
        <xdr:cNvSpPr>
          <a:spLocks noChangeShapeType="1"/>
        </xdr:cNvSpPr>
      </xdr:nvSpPr>
      <xdr:spPr bwMode="auto">
        <a:xfrm>
          <a:off x="5495925" y="39538275"/>
          <a:ext cx="14192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314325</xdr:colOff>
      <xdr:row>195</xdr:row>
      <xdr:rowOff>152400</xdr:rowOff>
    </xdr:from>
    <xdr:to>
      <xdr:col>13</xdr:col>
      <xdr:colOff>322091</xdr:colOff>
      <xdr:row>199</xdr:row>
      <xdr:rowOff>38100</xdr:rowOff>
    </xdr:to>
    <xdr:sp macro="" textlink="">
      <xdr:nvSpPr>
        <xdr:cNvPr id="4" name="Text 26">
          <a:extLst>
            <a:ext uri="{FF2B5EF4-FFF2-40B4-BE49-F238E27FC236}">
              <a16:creationId xmlns:a16="http://schemas.microsoft.com/office/drawing/2014/main" id="{00000000-0008-0000-0600-000004000000}"/>
            </a:ext>
          </a:extLst>
        </xdr:cNvPr>
        <xdr:cNvSpPr txBox="1">
          <a:spLocks noChangeArrowheads="1"/>
        </xdr:cNvSpPr>
      </xdr:nvSpPr>
      <xdr:spPr bwMode="auto">
        <a:xfrm>
          <a:off x="4705350" y="39966900"/>
          <a:ext cx="712616" cy="609600"/>
        </a:xfrm>
        <a:prstGeom prst="rect">
          <a:avLst/>
        </a:prstGeom>
        <a:noFill/>
        <a:ln w="1">
          <a:noFill/>
          <a:miter lim="800000"/>
          <a:headEnd/>
          <a:tailEnd/>
        </a:ln>
      </xdr:spPr>
      <xdr:txBody>
        <a:bodyPr vertOverflow="clip" wrap="square" lIns="0" tIns="27432" rIns="36576" bIns="27432" anchor="ctr" upright="1"/>
        <a:lstStyle/>
        <a:p>
          <a:pPr algn="r" rtl="0">
            <a:defRPr sz="1000"/>
          </a:pPr>
          <a:r>
            <a:rPr lang="de-DE" sz="1200" b="1" i="0" u="none" strike="noStrike" baseline="0">
              <a:solidFill>
                <a:srgbClr val="000000"/>
              </a:solidFill>
              <a:latin typeface="Arial"/>
              <a:cs typeface="Arial"/>
            </a:rPr>
            <a:t>E</a:t>
          </a:r>
          <a:r>
            <a:rPr lang="de-DE" sz="1200" b="1" i="0" u="none" strike="noStrike" baseline="-25000">
              <a:solidFill>
                <a:srgbClr val="000000"/>
              </a:solidFill>
              <a:latin typeface="Arial"/>
              <a:cs typeface="Arial"/>
            </a:rPr>
            <a:t>P</a:t>
          </a:r>
          <a:r>
            <a:rPr lang="de-DE" sz="1200" b="1" i="0" u="none" strike="noStrike" baseline="0">
              <a:solidFill>
                <a:srgbClr val="000000"/>
              </a:solidFill>
              <a:latin typeface="Arial"/>
              <a:cs typeface="Arial"/>
            </a:rPr>
            <a:t> [%] </a:t>
          </a:r>
          <a:r>
            <a:rPr lang="de-DE" sz="1000" b="1" i="0" u="none" strike="noStrike" baseline="0">
              <a:solidFill>
                <a:srgbClr val="000000"/>
              </a:solidFill>
              <a:latin typeface="Arial"/>
              <a:cs typeface="Arial"/>
            </a:rPr>
            <a:t>=</a:t>
          </a:r>
        </a:p>
      </xdr:txBody>
    </xdr:sp>
    <xdr:clientData/>
  </xdr:twoCellAnchor>
  <xdr:twoCellAnchor>
    <xdr:from>
      <xdr:col>14</xdr:col>
      <xdr:colOff>47625</xdr:colOff>
      <xdr:row>197</xdr:row>
      <xdr:rowOff>47625</xdr:rowOff>
    </xdr:from>
    <xdr:to>
      <xdr:col>18</xdr:col>
      <xdr:colOff>0</xdr:colOff>
      <xdr:row>197</xdr:row>
      <xdr:rowOff>47625</xdr:rowOff>
    </xdr:to>
    <xdr:sp macro="" textlink="">
      <xdr:nvSpPr>
        <xdr:cNvPr id="5" name="Line 10">
          <a:extLst>
            <a:ext uri="{FF2B5EF4-FFF2-40B4-BE49-F238E27FC236}">
              <a16:creationId xmlns:a16="http://schemas.microsoft.com/office/drawing/2014/main" id="{00000000-0008-0000-0600-000005000000}"/>
            </a:ext>
          </a:extLst>
        </xdr:cNvPr>
        <xdr:cNvSpPr>
          <a:spLocks noChangeShapeType="1"/>
        </xdr:cNvSpPr>
      </xdr:nvSpPr>
      <xdr:spPr bwMode="auto">
        <a:xfrm>
          <a:off x="5495925" y="40300275"/>
          <a:ext cx="14192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38</xdr:col>
      <xdr:colOff>145677</xdr:colOff>
      <xdr:row>62</xdr:row>
      <xdr:rowOff>100853</xdr:rowOff>
    </xdr:from>
    <xdr:to>
      <xdr:col>52</xdr:col>
      <xdr:colOff>156882</xdr:colOff>
      <xdr:row>62</xdr:row>
      <xdr:rowOff>100853</xdr:rowOff>
    </xdr:to>
    <xdr:cxnSp macro="">
      <xdr:nvCxnSpPr>
        <xdr:cNvPr id="6" name="Gerader Verbinder 2">
          <a:extLst>
            <a:ext uri="{FF2B5EF4-FFF2-40B4-BE49-F238E27FC236}">
              <a16:creationId xmlns:a16="http://schemas.microsoft.com/office/drawing/2014/main" id="{00000000-0008-0000-0600-000006000000}"/>
            </a:ext>
          </a:extLst>
        </xdr:cNvPr>
        <xdr:cNvCxnSpPr/>
      </xdr:nvCxnSpPr>
      <xdr:spPr bwMode="auto">
        <a:xfrm>
          <a:off x="14376027" y="13721603"/>
          <a:ext cx="4992780" cy="0"/>
        </a:xfrm>
        <a:prstGeom prst="line">
          <a:avLst/>
        </a:prstGeom>
        <a:solidFill>
          <a:srgbClr val="FFFFFF"/>
        </a:solidFill>
        <a:ln w="9525" cap="flat" cmpd="sng" algn="ctr">
          <a:solidFill>
            <a:srgbClr val="000000"/>
          </a:solidFill>
          <a:prstDash val="solid"/>
          <a:round/>
          <a:headEnd type="none" w="med" len="med"/>
          <a:tailEnd type="none" w="med" len="med"/>
        </a:ln>
        <a:effectLst/>
      </xdr:spPr>
    </xdr:cxnSp>
    <xdr:clientData/>
  </xdr:twoCellAnchor>
  <xdr:twoCellAnchor editAs="oneCell">
    <xdr:from>
      <xdr:col>1</xdr:col>
      <xdr:colOff>595312</xdr:colOff>
      <xdr:row>0</xdr:row>
      <xdr:rowOff>0</xdr:rowOff>
    </xdr:from>
    <xdr:to>
      <xdr:col>6</xdr:col>
      <xdr:colOff>311637</xdr:colOff>
      <xdr:row>1</xdr:row>
      <xdr:rowOff>142055</xdr:rowOff>
    </xdr:to>
    <xdr:pic>
      <xdr:nvPicPr>
        <xdr:cNvPr id="7" name="Picture 6">
          <a:extLst>
            <a:ext uri="{FF2B5EF4-FFF2-40B4-BE49-F238E27FC236}">
              <a16:creationId xmlns:a16="http://schemas.microsoft.com/office/drawing/2014/main" id="{00000000-0008-0000-0600-000007000000}"/>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xdr:blipFill>
      <xdr:spPr>
        <a:xfrm>
          <a:off x="595312" y="0"/>
          <a:ext cx="1752294" cy="39208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12</xdr:col>
      <xdr:colOff>66675</xdr:colOff>
      <xdr:row>204</xdr:row>
      <xdr:rowOff>114300</xdr:rowOff>
    </xdr:from>
    <xdr:to>
      <xdr:col>14</xdr:col>
      <xdr:colOff>47625</xdr:colOff>
      <xdr:row>207</xdr:row>
      <xdr:rowOff>0</xdr:rowOff>
    </xdr:to>
    <xdr:sp macro="" textlink="">
      <xdr:nvSpPr>
        <xdr:cNvPr id="2" name="Text 31">
          <a:extLst>
            <a:ext uri="{FF2B5EF4-FFF2-40B4-BE49-F238E27FC236}">
              <a16:creationId xmlns:a16="http://schemas.microsoft.com/office/drawing/2014/main" id="{00000000-0008-0000-0700-000002000000}"/>
            </a:ext>
          </a:extLst>
        </xdr:cNvPr>
        <xdr:cNvSpPr txBox="1">
          <a:spLocks noChangeArrowheads="1"/>
        </xdr:cNvSpPr>
      </xdr:nvSpPr>
      <xdr:spPr bwMode="auto">
        <a:xfrm>
          <a:off x="4057650" y="37547550"/>
          <a:ext cx="742950" cy="514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txBody>
        <a:bodyPr vertOverflow="clip" wrap="square" lIns="0" tIns="27432" rIns="36576" bIns="27432" anchor="ctr"/>
        <a:lstStyle/>
        <a:p>
          <a:pPr algn="r" rtl="0">
            <a:defRPr sz="1000"/>
          </a:pPr>
          <a:r>
            <a:rPr lang="de-DE" sz="1200" b="1" i="0" u="none" strike="noStrike" baseline="0">
              <a:solidFill>
                <a:srgbClr val="000000"/>
              </a:solidFill>
              <a:latin typeface="Arial"/>
              <a:cs typeface="Arial"/>
            </a:rPr>
            <a:t>E</a:t>
          </a:r>
          <a:r>
            <a:rPr lang="de-DE" sz="1200" b="1" i="0" u="none" strike="noStrike" baseline="-25000">
              <a:solidFill>
                <a:srgbClr val="000000"/>
              </a:solidFill>
              <a:latin typeface="Arial"/>
              <a:cs typeface="Arial"/>
            </a:rPr>
            <a:t>D</a:t>
          </a:r>
          <a:r>
            <a:rPr lang="de-DE" sz="1200" b="1" i="0" u="none" strike="noStrike" baseline="0">
              <a:solidFill>
                <a:srgbClr val="000000"/>
              </a:solidFill>
              <a:latin typeface="Arial"/>
              <a:cs typeface="Arial"/>
            </a:rPr>
            <a:t> [%] </a:t>
          </a:r>
          <a:r>
            <a:rPr lang="de-DE" sz="1000" b="1" i="0" u="none" strike="noStrike" baseline="0">
              <a:solidFill>
                <a:srgbClr val="000000"/>
              </a:solidFill>
              <a:latin typeface="Arial"/>
              <a:cs typeface="Arial"/>
            </a:rPr>
            <a:t>=</a:t>
          </a:r>
        </a:p>
      </xdr:txBody>
    </xdr:sp>
    <xdr:clientData/>
  </xdr:twoCellAnchor>
  <xdr:twoCellAnchor>
    <xdr:from>
      <xdr:col>14</xdr:col>
      <xdr:colOff>47625</xdr:colOff>
      <xdr:row>205</xdr:row>
      <xdr:rowOff>161925</xdr:rowOff>
    </xdr:from>
    <xdr:to>
      <xdr:col>18</xdr:col>
      <xdr:colOff>0</xdr:colOff>
      <xdr:row>205</xdr:row>
      <xdr:rowOff>161925</xdr:rowOff>
    </xdr:to>
    <xdr:sp macro="" textlink="">
      <xdr:nvSpPr>
        <xdr:cNvPr id="3" name="Line 5">
          <a:extLst>
            <a:ext uri="{FF2B5EF4-FFF2-40B4-BE49-F238E27FC236}">
              <a16:creationId xmlns:a16="http://schemas.microsoft.com/office/drawing/2014/main" id="{00000000-0008-0000-0700-000003000000}"/>
            </a:ext>
          </a:extLst>
        </xdr:cNvPr>
        <xdr:cNvSpPr>
          <a:spLocks noChangeShapeType="1"/>
        </xdr:cNvSpPr>
      </xdr:nvSpPr>
      <xdr:spPr bwMode="auto">
        <a:xfrm>
          <a:off x="4800600" y="37785675"/>
          <a:ext cx="14763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314325</xdr:colOff>
      <xdr:row>207</xdr:row>
      <xdr:rowOff>152400</xdr:rowOff>
    </xdr:from>
    <xdr:to>
      <xdr:col>13</xdr:col>
      <xdr:colOff>322091</xdr:colOff>
      <xdr:row>211</xdr:row>
      <xdr:rowOff>38100</xdr:rowOff>
    </xdr:to>
    <xdr:sp macro="" textlink="">
      <xdr:nvSpPr>
        <xdr:cNvPr id="4" name="Text 26">
          <a:extLst>
            <a:ext uri="{FF2B5EF4-FFF2-40B4-BE49-F238E27FC236}">
              <a16:creationId xmlns:a16="http://schemas.microsoft.com/office/drawing/2014/main" id="{00000000-0008-0000-0700-000004000000}"/>
            </a:ext>
          </a:extLst>
        </xdr:cNvPr>
        <xdr:cNvSpPr txBox="1">
          <a:spLocks noChangeArrowheads="1"/>
        </xdr:cNvSpPr>
      </xdr:nvSpPr>
      <xdr:spPr bwMode="auto">
        <a:xfrm>
          <a:off x="3924300" y="38214300"/>
          <a:ext cx="769766" cy="609600"/>
        </a:xfrm>
        <a:prstGeom prst="rect">
          <a:avLst/>
        </a:prstGeom>
        <a:noFill/>
        <a:ln w="1">
          <a:noFill/>
          <a:miter lim="800000"/>
          <a:headEnd/>
          <a:tailEnd/>
        </a:ln>
      </xdr:spPr>
      <xdr:txBody>
        <a:bodyPr vertOverflow="clip" wrap="square" lIns="0" tIns="27432" rIns="36576" bIns="27432" anchor="ctr" upright="1"/>
        <a:lstStyle/>
        <a:p>
          <a:pPr algn="r" rtl="0">
            <a:defRPr sz="1000"/>
          </a:pPr>
          <a:r>
            <a:rPr lang="de-DE" sz="1200" b="1" i="0" u="none" strike="noStrike" baseline="0">
              <a:solidFill>
                <a:srgbClr val="000000"/>
              </a:solidFill>
              <a:latin typeface="Arial"/>
              <a:cs typeface="Arial"/>
            </a:rPr>
            <a:t>E</a:t>
          </a:r>
          <a:r>
            <a:rPr lang="de-DE" sz="1200" b="1" i="0" u="none" strike="noStrike" baseline="-25000">
              <a:solidFill>
                <a:srgbClr val="000000"/>
              </a:solidFill>
              <a:latin typeface="Arial"/>
              <a:cs typeface="Arial"/>
            </a:rPr>
            <a:t>P</a:t>
          </a:r>
          <a:r>
            <a:rPr lang="de-DE" sz="1200" b="1" i="0" u="none" strike="noStrike" baseline="0">
              <a:solidFill>
                <a:srgbClr val="000000"/>
              </a:solidFill>
              <a:latin typeface="Arial"/>
              <a:cs typeface="Arial"/>
            </a:rPr>
            <a:t> [%] </a:t>
          </a:r>
          <a:r>
            <a:rPr lang="de-DE" sz="1000" b="1" i="0" u="none" strike="noStrike" baseline="0">
              <a:solidFill>
                <a:srgbClr val="000000"/>
              </a:solidFill>
              <a:latin typeface="Arial"/>
              <a:cs typeface="Arial"/>
            </a:rPr>
            <a:t>=</a:t>
          </a:r>
        </a:p>
      </xdr:txBody>
    </xdr:sp>
    <xdr:clientData/>
  </xdr:twoCellAnchor>
  <xdr:twoCellAnchor>
    <xdr:from>
      <xdr:col>14</xdr:col>
      <xdr:colOff>47625</xdr:colOff>
      <xdr:row>209</xdr:row>
      <xdr:rowOff>47625</xdr:rowOff>
    </xdr:from>
    <xdr:to>
      <xdr:col>18</xdr:col>
      <xdr:colOff>0</xdr:colOff>
      <xdr:row>209</xdr:row>
      <xdr:rowOff>47625</xdr:rowOff>
    </xdr:to>
    <xdr:sp macro="" textlink="">
      <xdr:nvSpPr>
        <xdr:cNvPr id="5" name="Line 10">
          <a:extLst>
            <a:ext uri="{FF2B5EF4-FFF2-40B4-BE49-F238E27FC236}">
              <a16:creationId xmlns:a16="http://schemas.microsoft.com/office/drawing/2014/main" id="{00000000-0008-0000-0700-000005000000}"/>
            </a:ext>
          </a:extLst>
        </xdr:cNvPr>
        <xdr:cNvSpPr>
          <a:spLocks noChangeShapeType="1"/>
        </xdr:cNvSpPr>
      </xdr:nvSpPr>
      <xdr:spPr bwMode="auto">
        <a:xfrm>
          <a:off x="4800600" y="38547675"/>
          <a:ext cx="14763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38</xdr:col>
      <xdr:colOff>145677</xdr:colOff>
      <xdr:row>76</xdr:row>
      <xdr:rowOff>100853</xdr:rowOff>
    </xdr:from>
    <xdr:to>
      <xdr:col>52</xdr:col>
      <xdr:colOff>156882</xdr:colOff>
      <xdr:row>76</xdr:row>
      <xdr:rowOff>100853</xdr:rowOff>
    </xdr:to>
    <xdr:cxnSp macro="">
      <xdr:nvCxnSpPr>
        <xdr:cNvPr id="6" name="Gerader Verbinder 2">
          <a:extLst>
            <a:ext uri="{FF2B5EF4-FFF2-40B4-BE49-F238E27FC236}">
              <a16:creationId xmlns:a16="http://schemas.microsoft.com/office/drawing/2014/main" id="{00000000-0008-0000-0700-000006000000}"/>
            </a:ext>
          </a:extLst>
        </xdr:cNvPr>
        <xdr:cNvCxnSpPr/>
      </xdr:nvCxnSpPr>
      <xdr:spPr bwMode="auto">
        <a:xfrm>
          <a:off x="14118852" y="12064253"/>
          <a:ext cx="4621305" cy="0"/>
        </a:xfrm>
        <a:prstGeom prst="line">
          <a:avLst/>
        </a:prstGeom>
        <a:solidFill>
          <a:srgbClr val="FFFFFF"/>
        </a:solidFill>
        <a:ln w="9525" cap="flat" cmpd="sng" algn="ctr">
          <a:solidFill>
            <a:srgbClr val="000000"/>
          </a:solidFill>
          <a:prstDash val="solid"/>
          <a:round/>
          <a:headEnd type="none" w="med" len="med"/>
          <a:tailEnd type="none" w="med" len="med"/>
        </a:ln>
        <a:effectLst/>
      </xdr:spPr>
    </xdr:cxnSp>
    <xdr:clientData/>
  </xdr:twoCellAnchor>
  <xdr:twoCellAnchor editAs="oneCell">
    <xdr:from>
      <xdr:col>2</xdr:col>
      <xdr:colOff>20987</xdr:colOff>
      <xdr:row>0</xdr:row>
      <xdr:rowOff>0</xdr:rowOff>
    </xdr:from>
    <xdr:to>
      <xdr:col>7</xdr:col>
      <xdr:colOff>20681</xdr:colOff>
      <xdr:row>2</xdr:row>
      <xdr:rowOff>1561</xdr:rowOff>
    </xdr:to>
    <xdr:pic>
      <xdr:nvPicPr>
        <xdr:cNvPr id="7" name="Picture 1">
          <a:extLst>
            <a:ext uri="{FF2B5EF4-FFF2-40B4-BE49-F238E27FC236}">
              <a16:creationId xmlns:a16="http://schemas.microsoft.com/office/drawing/2014/main" id="{00000000-0008-0000-0700-000007000000}"/>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xdr:blipFill>
      <xdr:spPr>
        <a:xfrm>
          <a:off x="354362" y="0"/>
          <a:ext cx="1752294" cy="39208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oneCellAnchor>
    <xdr:from>
      <xdr:col>9</xdr:col>
      <xdr:colOff>16648</xdr:colOff>
      <xdr:row>11</xdr:row>
      <xdr:rowOff>379686</xdr:rowOff>
    </xdr:from>
    <xdr:ext cx="234038" cy="313099"/>
    <xdr:sp macro="" textlink="">
      <xdr:nvSpPr>
        <xdr:cNvPr id="2" name="Textfeld 1">
          <a:extLst>
            <a:ext uri="{FF2B5EF4-FFF2-40B4-BE49-F238E27FC236}">
              <a16:creationId xmlns:a16="http://schemas.microsoft.com/office/drawing/2014/main" id="{00000000-0008-0000-0800-000002000000}"/>
            </a:ext>
          </a:extLst>
        </xdr:cNvPr>
        <xdr:cNvSpPr txBox="1"/>
      </xdr:nvSpPr>
      <xdr:spPr>
        <a:xfrm>
          <a:off x="3064648" y="2941911"/>
          <a:ext cx="234038" cy="3130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lIns="0" tIns="0" rIns="0" bIns="0" rtlCol="0" anchor="t">
          <a:spAutoFit/>
        </a:bodyPr>
        <a:lstStyle/>
        <a:p>
          <a:r>
            <a:rPr lang="de-DE" sz="2000" b="1"/>
            <a:t>E</a:t>
          </a:r>
          <a:r>
            <a:rPr lang="de-DE" sz="2000" b="1" baseline="-25000"/>
            <a:t>G</a:t>
          </a:r>
        </a:p>
      </xdr:txBody>
    </xdr:sp>
    <xdr:clientData/>
  </xdr:oneCellAnchor>
  <xdr:twoCellAnchor editAs="oneCell">
    <xdr:from>
      <xdr:col>27</xdr:col>
      <xdr:colOff>480790</xdr:colOff>
      <xdr:row>1</xdr:row>
      <xdr:rowOff>21166</xdr:rowOff>
    </xdr:from>
    <xdr:to>
      <xdr:col>31</xdr:col>
      <xdr:colOff>0</xdr:colOff>
      <xdr:row>3</xdr:row>
      <xdr:rowOff>33310</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xdr:blipFill>
      <xdr:spPr>
        <a:xfrm>
          <a:off x="14206315" y="116416"/>
          <a:ext cx="1748060" cy="488394"/>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9</xdr:col>
      <xdr:colOff>16648</xdr:colOff>
      <xdr:row>11</xdr:row>
      <xdr:rowOff>379686</xdr:rowOff>
    </xdr:from>
    <xdr:ext cx="234038" cy="313099"/>
    <xdr:sp macro="" textlink="">
      <xdr:nvSpPr>
        <xdr:cNvPr id="2" name="Textfeld 1">
          <a:extLst>
            <a:ext uri="{FF2B5EF4-FFF2-40B4-BE49-F238E27FC236}">
              <a16:creationId xmlns:a16="http://schemas.microsoft.com/office/drawing/2014/main" id="{00000000-0008-0000-0B00-000002000000}"/>
            </a:ext>
          </a:extLst>
        </xdr:cNvPr>
        <xdr:cNvSpPr txBox="1"/>
      </xdr:nvSpPr>
      <xdr:spPr>
        <a:xfrm>
          <a:off x="3074674" y="2951436"/>
          <a:ext cx="234038" cy="3130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lIns="0" tIns="0" rIns="0" bIns="0" rtlCol="0" anchor="t">
          <a:spAutoFit/>
        </a:bodyPr>
        <a:lstStyle/>
        <a:p>
          <a:r>
            <a:rPr lang="de-DE" sz="2000" b="1"/>
            <a:t>E</a:t>
          </a:r>
          <a:r>
            <a:rPr lang="de-DE" sz="2000" b="1" baseline="-25000"/>
            <a:t>G</a:t>
          </a:r>
        </a:p>
      </xdr:txBody>
    </xdr:sp>
    <xdr:clientData/>
  </xdr:oneCellAnchor>
  <xdr:twoCellAnchor editAs="oneCell">
    <xdr:from>
      <xdr:col>27</xdr:col>
      <xdr:colOff>480790</xdr:colOff>
      <xdr:row>1</xdr:row>
      <xdr:rowOff>21166</xdr:rowOff>
    </xdr:from>
    <xdr:to>
      <xdr:col>31</xdr:col>
      <xdr:colOff>0</xdr:colOff>
      <xdr:row>2</xdr:row>
      <xdr:rowOff>42835</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xdr:blipFill>
      <xdr:spPr>
        <a:xfrm>
          <a:off x="14270873" y="116416"/>
          <a:ext cx="1752294" cy="392086"/>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333375</xdr:colOff>
          <xdr:row>4</xdr:row>
          <xdr:rowOff>200025</xdr:rowOff>
        </xdr:from>
        <xdr:to>
          <xdr:col>10</xdr:col>
          <xdr:colOff>2847975</xdr:colOff>
          <xdr:row>6</xdr:row>
          <xdr:rowOff>285750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C00-000002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Arial"/>
                  <a:cs typeface="Arial"/>
                </a:rPr>
                <a:t>Show all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323850</xdr:colOff>
          <xdr:row>4</xdr:row>
          <xdr:rowOff>247650</xdr:rowOff>
        </xdr:from>
        <xdr:to>
          <xdr:col>12</xdr:col>
          <xdr:colOff>2724150</xdr:colOff>
          <xdr:row>6</xdr:row>
          <xdr:rowOff>295275</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C00-000003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100" b="0" i="0" u="none" strike="noStrike" baseline="0">
                  <a:solidFill>
                    <a:srgbClr val="000000"/>
                  </a:solidFill>
                  <a:latin typeface="Arial"/>
                  <a:cs typeface="Arial"/>
                </a:rPr>
                <a:t>Copy sheet to new file (only for suppliers)</a:t>
              </a:r>
            </a:p>
          </xdr:txBody>
        </xdr:sp>
        <xdr:clientData fPrintsWithSheet="0"/>
      </xdr:twoCellAnchor>
    </mc:Choice>
    <mc:Fallback/>
  </mc:AlternateContent>
  <xdr:twoCellAnchor editAs="oneCell">
    <xdr:from>
      <xdr:col>16</xdr:col>
      <xdr:colOff>111884</xdr:colOff>
      <xdr:row>1</xdr:row>
      <xdr:rowOff>27214</xdr:rowOff>
    </xdr:from>
    <xdr:to>
      <xdr:col>19</xdr:col>
      <xdr:colOff>0</xdr:colOff>
      <xdr:row>2</xdr:row>
      <xdr:rowOff>215193</xdr:rowOff>
    </xdr:to>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xdr:blipFill>
      <xdr:spPr>
        <a:xfrm>
          <a:off x="12957027" y="122464"/>
          <a:ext cx="1752294" cy="39208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cbi-inside.fbrakes.com/GQ-3/Quality%20Readiness/Berichte%20-%20Audits%20-%20Potentialanalysen/_AuditFormulare/VA_000000_Audi-NeueRegelen-Stand281008.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cbi-inside.fbrakes.com/GQ-3/Quality%20Readiness/Berichte%20-%20Audits%20-%20Potentialanalysen/_AuditFormulare/VA_000000_ABC_Musterstadt(D)_17_10_08.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fom6ang/Downloads/ProcessAudit_21175.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fom6ang/Desktop/QM-18_s2-Audit_Report_VDA6.3_v201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fom6ang/Desktop/VBA%20VDA/QM-18_s2-Audit_Report_VDA6.3_v2016.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cbi-inside.fbrakes.com/Dokumente%20und%20Einstellungen/Hagen/Lokale%20Einstellungen/Temporary%20Internet%20Files/Content.Outlook/MCUJJ7EH/Marx/VDA%2063%20Auditbericht%20Version%20R8_P1_inter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oreinstellungen"/>
      <sheetName val="Eingabe"/>
      <sheetName val="Deckblatt"/>
      <sheetName val="Q-Fähigk"/>
      <sheetName val="Proz-Balken"/>
      <sheetName val="Auswertg 1"/>
      <sheetName val="Auswertg 2"/>
      <sheetName val="Auswertg 3"/>
      <sheetName val="Sofortmaßnahmen"/>
      <sheetName val="Streifenliste"/>
      <sheetName val="QTP dt."/>
      <sheetName val="ProduktA"/>
      <sheetName val="ProduktA (2)"/>
      <sheetName val="ProduktA (3)"/>
      <sheetName val="Erläuterung"/>
      <sheetName val="QTP engl."/>
      <sheetName val="Prozessschritte extern"/>
      <sheetName val="Prozessschritte intern"/>
      <sheetName val="PrdGrp-TEXTE"/>
      <sheetName val="Vorlage Vorabkopie"/>
      <sheetName val="Tabelle1"/>
    </sheetNames>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oreinstellungen"/>
      <sheetName val="Eingabe"/>
      <sheetName val="Deckblatt"/>
      <sheetName val="Q-Fähigk"/>
      <sheetName val="Proz-Balken"/>
      <sheetName val="Auswertg 1"/>
      <sheetName val="Auswertg 2"/>
      <sheetName val="Auswertg 3"/>
      <sheetName val="Sofortmaßnahmen"/>
      <sheetName val="Streifenliste"/>
      <sheetName val="QTP dt."/>
      <sheetName val="ProduktA"/>
      <sheetName val="ProduktA (2)"/>
      <sheetName val="ProduktA (3)"/>
      <sheetName val="Erläuterung"/>
      <sheetName val="QTP engl."/>
      <sheetName val="Prozessschritte extern"/>
      <sheetName val="Prozessschritte intern"/>
      <sheetName val="PrdGrp-TEXTE"/>
      <sheetName val="Vorlage Vorabkopie"/>
    </sheetNames>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ssessment matrix"/>
      <sheetName val="Questions OLD"/>
      <sheetName val="Bar chart matrix"/>
      <sheetName val="OIL"/>
      <sheetName val="DATA"/>
      <sheetName val="ProcessAudit_21175"/>
    </sheetNames>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sclaimer"/>
      <sheetName val="First Sheet"/>
      <sheetName val="Input Form"/>
      <sheetName val="Questions"/>
      <sheetName val="Evaluation"/>
      <sheetName val="PrGr1"/>
      <sheetName val="PrGr2"/>
      <sheetName val="PrGr3"/>
      <sheetName val="PrGr4"/>
      <sheetName val="Report"/>
      <sheetName val="Actionplan"/>
      <sheetName val="History"/>
      <sheetName val="Language-Sprachen"/>
      <sheetName val="CSV"/>
    </sheetNames>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sclaimer"/>
      <sheetName val="First Sheet"/>
      <sheetName val="Input Form"/>
      <sheetName val="Questions"/>
      <sheetName val="Evaluation"/>
      <sheetName val="PrGr1"/>
      <sheetName val="PrGr2"/>
      <sheetName val="PrGr3"/>
      <sheetName val="PrGr4"/>
      <sheetName val="Report"/>
      <sheetName val="Actionplan"/>
      <sheetName val="History"/>
      <sheetName val="Language-Sprachen"/>
      <sheetName val="CSV"/>
    </sheetNames>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aftungsausschluß"/>
      <sheetName val="EingabeMaske"/>
      <sheetName val="Bewertungsmatrix"/>
      <sheetName val="Fragen"/>
      <sheetName val="Deckblatt Q-Fähigk "/>
      <sheetName val="Proz-BalkenMatrix"/>
      <sheetName val="Erlaeuterung"/>
      <sheetName val="QTP dt."/>
      <sheetName val="Massnahmenplan"/>
      <sheetName val="Sofortmaßnahmen"/>
      <sheetName val="Änderungshistorie"/>
    </sheetNames>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1.xml"/><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drawing" Target="../drawings/drawing2.xml"/><Relationship Id="rId7" Type="http://schemas.openxmlformats.org/officeDocument/2006/relationships/ctrlProp" Target="../ctrlProps/ctrlProp5.xml"/><Relationship Id="rId2" Type="http://schemas.openxmlformats.org/officeDocument/2006/relationships/printerSettings" Target="../printerSettings/printerSettings3.bin"/><Relationship Id="rId1" Type="http://schemas.openxmlformats.org/officeDocument/2006/relationships/hyperlink" Target="mailto:Run@Rate%20activities%20are%20not%20included%20in%20the%20APQP%20planning%20seen%20for%20946." TargetMode="Externa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vmlDrawing" Target="../drawings/vmlDrawing3.vml"/><Relationship Id="rId9"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12.bin"/><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3"/>
  <dimension ref="A1:A43"/>
  <sheetViews>
    <sheetView zoomScale="80" workbookViewId="0"/>
  </sheetViews>
  <sheetFormatPr baseColWidth="10" defaultColWidth="0" defaultRowHeight="12.75" zeroHeight="1"/>
  <cols>
    <col min="1" max="1" width="181.85546875" customWidth="1"/>
    <col min="2" max="16384" width="11.42578125" hidden="1"/>
  </cols>
  <sheetData>
    <row r="1" spans="1:1" ht="405" customHeight="1">
      <c r="A1" s="207" t="str">
        <f>VLOOKUP(pos(A1),'Language-Sprachen'!$A$301:$G$311,'Language-Sprachen'!$A$3,0)</f>
        <v xml:space="preserve">VDA QMC 
DISCLAIMER:
The VDA QMC provides this Excel file  for the reporting of VDA 6.3 audits. The  sole responsibility for this Excel report remains with the user. 
The VDA and the developers of this file are not responsible for the accuracy of the calculations and the proposed capability ratings.
To avoid damage to the formulas contained within the evaluation matrix we recommend you only use the input areas as given. This is explained in detail in detail in the seminar. 
The user is not entitled to support or updates of this report file from the VDA QMC or the developers. 
VDA QMC  Nov. 2016
</v>
      </c>
    </row>
    <row r="2" spans="1:1" ht="13.5" hidden="1" customHeight="1">
      <c r="A2" s="801">
        <v>54803</v>
      </c>
    </row>
    <row r="11" spans="1:1" hidden="1">
      <c r="A11" s="2"/>
    </row>
    <row r="13" spans="1:1" hidden="1">
      <c r="A13" s="2"/>
    </row>
    <row r="15" spans="1:1" hidden="1">
      <c r="A15" s="2"/>
    </row>
    <row r="17" spans="1:1" hidden="1">
      <c r="A17" s="2"/>
    </row>
    <row r="19" spans="1:1" s="271" customFormat="1" hidden="1"/>
    <row r="20" spans="1:1" hidden="1">
      <c r="A20" s="271"/>
    </row>
    <row r="21" spans="1:1" hidden="1">
      <c r="A21" s="271"/>
    </row>
    <row r="22" spans="1:1" hidden="1">
      <c r="A22" s="2"/>
    </row>
    <row r="23" spans="1:1" hidden="1">
      <c r="A23" s="271"/>
    </row>
    <row r="24" spans="1:1" hidden="1">
      <c r="A24" s="271"/>
    </row>
    <row r="25" spans="1:1" hidden="1">
      <c r="A25" s="271"/>
    </row>
    <row r="26" spans="1:1" hidden="1">
      <c r="A26" s="271"/>
    </row>
    <row r="27" spans="1:1" hidden="1">
      <c r="A27" s="2"/>
    </row>
    <row r="28" spans="1:1" hidden="1">
      <c r="A28" s="271"/>
    </row>
    <row r="37" spans="1:1" hidden="1">
      <c r="A37" s="2"/>
    </row>
    <row r="42" spans="1:1" hidden="1">
      <c r="A42" s="279"/>
    </row>
    <row r="43" spans="1:1" hidden="1">
      <c r="A43" s="3"/>
    </row>
  </sheetData>
  <sheetProtection password="F718" sheet="1" objects="1" scenarios="1" selectLockedCells="1" selectUnlockedCells="1"/>
  <phoneticPr fontId="15" type="noConversion"/>
  <pageMargins left="0.59055118110236227" right="0.39370078740157483" top="0.59055118110236227" bottom="0.39370078740157483" header="0.19685039370078741" footer="0.19685039370078741"/>
  <pageSetup paperSize="9" orientation="landscape" r:id="rId1"/>
  <headerFooter scaleWithDoc="0" alignWithMargins="0">
    <oddHeader>&amp;L&amp;"Arial,Fett"&amp;12Produkt-/Prozess-Audit&amp;R&amp;G</oddHeader>
    <oddFooter>&amp;RSeite &amp;P von &amp;N</oddFooter>
  </headerFooter>
  <legacyDrawingHF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aske">
    <tabColor indexed="51"/>
    <pageSetUpPr fitToPage="1"/>
  </sheetPr>
  <dimension ref="A1:N84"/>
  <sheetViews>
    <sheetView showGridLines="0" showZeros="0" zoomScale="80" zoomScaleNormal="80" zoomScaleSheetLayoutView="70" workbookViewId="0">
      <pane ySplit="7" topLeftCell="A23" activePane="bottomLeft" state="frozen"/>
      <selection activeCell="B5" sqref="B5"/>
      <selection pane="bottomLeft" activeCell="B12" sqref="B12"/>
    </sheetView>
  </sheetViews>
  <sheetFormatPr baseColWidth="10" defaultColWidth="11.42578125" defaultRowHeight="12.75"/>
  <cols>
    <col min="1" max="1" width="1.28515625" style="1" customWidth="1"/>
    <col min="2" max="2" width="41.140625" style="1" customWidth="1"/>
    <col min="3" max="3" width="33.42578125" style="1" customWidth="1"/>
    <col min="4" max="4" width="34.85546875" style="1" customWidth="1"/>
    <col min="5" max="5" width="33.28515625" style="1" customWidth="1"/>
    <col min="6" max="6" width="29.5703125" style="1" customWidth="1"/>
    <col min="7" max="7" width="17.140625" style="1" customWidth="1"/>
    <col min="8" max="9" width="12.28515625" style="1" customWidth="1"/>
    <col min="10" max="10" width="37.28515625" style="5" hidden="1" customWidth="1"/>
    <col min="11" max="11" width="12.5703125" style="1" customWidth="1"/>
    <col min="12" max="16384" width="11.42578125" style="1"/>
  </cols>
  <sheetData>
    <row r="1" spans="2:14" ht="18">
      <c r="B1" s="606" t="str">
        <f>VLOOKUP(pos(B1),'Language-Sprachen'!$A$4:$G$99,'Language-Sprachen'!$A$3,0)</f>
        <v>Data Input for Compiling Report</v>
      </c>
      <c r="C1" s="51"/>
      <c r="D1" s="194"/>
      <c r="E1" s="190"/>
      <c r="F1" s="191"/>
      <c r="G1" s="191"/>
      <c r="H1" s="191"/>
      <c r="I1" s="206"/>
      <c r="J1" s="607" t="str">
        <f>VLOOKUP(pos(J1),'Language-Sprachen'!$A$4:$G$99,'Language-Sprachen'!$A$3,0)</f>
        <v>Create CSV</v>
      </c>
      <c r="K1" s="2"/>
      <c r="L1" s="3"/>
      <c r="M1" s="3"/>
      <c r="N1" s="3"/>
    </row>
    <row r="2" spans="2:14" ht="15.75">
      <c r="B2" s="833" t="str">
        <f>VLOOKUP(pos(B2),'Language-Sprachen'!$A$4:$G$99,'Language-Sprachen'!$A$3,0)</f>
        <v>Short Instruction:</v>
      </c>
      <c r="C2" s="48"/>
      <c r="D2" s="48"/>
      <c r="E2"/>
      <c r="F2"/>
      <c r="G2"/>
      <c r="H2"/>
      <c r="I2" s="49"/>
      <c r="J2" s="607" t="str">
        <f>VLOOKUP(pos(J2),'Language-Sprachen'!$A$4:$G$99,'Language-Sprachen'!$A$3,0)</f>
        <v>Import CSV</v>
      </c>
      <c r="K2" s="3"/>
      <c r="L2" s="3"/>
      <c r="M2" s="3"/>
      <c r="N2" s="3"/>
    </row>
    <row r="3" spans="2:14" ht="20.25" customHeight="1">
      <c r="B3" s="834" t="str">
        <f>VLOOKUP(pos(B3),'Language-Sprachen'!$A$4:$G$99,'Language-Sprachen'!$A$3,0)</f>
        <v>1. Activate macros</v>
      </c>
      <c r="D3" s="608" t="str">
        <f>VLOOKUP(pos(D3),'Language-Sprachen'!$A$4:$G$99,'Language-Sprachen'!$A$3,0)</f>
        <v>Select language:</v>
      </c>
      <c r="E3"/>
      <c r="F3" s="210"/>
      <c r="G3"/>
      <c r="I3" s="49"/>
      <c r="J3" s="42"/>
      <c r="K3" s="3"/>
      <c r="L3" s="3"/>
      <c r="M3" s="3"/>
      <c r="N3" s="3"/>
    </row>
    <row r="4" spans="2:14" ht="15.75">
      <c r="B4" s="834" t="str">
        <f>VLOOKUP(pos(B4),'Language-Sprachen'!$A$4:$G$99,'Language-Sprachen'!$A$3,0)</f>
        <v>2. Select Language</v>
      </c>
      <c r="D4" s="40"/>
      <c r="E4" s="40"/>
      <c r="F4" s="40"/>
      <c r="I4" s="49"/>
      <c r="J4" s="43"/>
      <c r="K4" s="3"/>
      <c r="L4" s="3"/>
      <c r="M4" s="3"/>
      <c r="N4" s="3"/>
    </row>
    <row r="5" spans="2:14" ht="15.75">
      <c r="B5" s="834" t="str">
        <f>VLOOKUP(pos(B5),'Language-Sprachen'!$A$4:$G$99,'Language-Sprachen'!$A$3,0)</f>
        <v>3. Choose amount of processsteps (only for P6 evaluations)</v>
      </c>
      <c r="C5"/>
      <c r="D5"/>
      <c r="E5"/>
      <c r="F5" s="625"/>
      <c r="I5" s="49"/>
      <c r="J5" s="42"/>
      <c r="K5" s="3"/>
      <c r="L5" s="3"/>
      <c r="M5" s="3"/>
      <c r="N5" s="3"/>
    </row>
    <row r="6" spans="2:14" ht="15.75">
      <c r="B6" s="834" t="str">
        <f>VLOOKUP(pos(B6),'Language-Sprachen'!$A$4:$G$99,'Language-Sprachen'!$A$3,0)</f>
        <v>4. Choose process elements (Table: Questions-Fragen)</v>
      </c>
      <c r="C6"/>
      <c r="D6"/>
      <c r="E6"/>
      <c r="F6" s="625"/>
      <c r="I6" s="49"/>
      <c r="J6" s="42"/>
      <c r="K6" s="3"/>
      <c r="L6" s="3"/>
      <c r="M6" s="3"/>
      <c r="N6" s="3"/>
    </row>
    <row r="7" spans="2:14" ht="15.75">
      <c r="B7" s="359"/>
      <c r="C7" s="359"/>
      <c r="D7" s="359"/>
      <c r="E7" s="359"/>
      <c r="F7" s="853"/>
      <c r="G7" s="318"/>
      <c r="H7" s="318"/>
      <c r="I7" s="319"/>
      <c r="J7" s="42"/>
      <c r="K7" s="3"/>
      <c r="L7" s="3"/>
      <c r="M7" s="3"/>
      <c r="N7" s="3"/>
    </row>
    <row r="8" spans="2:14" ht="15">
      <c r="B8"/>
      <c r="C8"/>
      <c r="D8"/>
      <c r="E8"/>
      <c r="F8" s="40"/>
      <c r="I8" s="49"/>
      <c r="J8" s="42"/>
      <c r="K8" s="3"/>
      <c r="L8" s="3"/>
      <c r="M8" s="3"/>
      <c r="N8" s="3"/>
    </row>
    <row r="9" spans="2:14" ht="18.75" customHeight="1">
      <c r="B9" s="50" t="str">
        <f>VLOOKUP(pos(B9),'Language-Sprachen'!$A$4:$G$99,'Language-Sprachen'!$A$3,0)</f>
        <v>Order No.:</v>
      </c>
      <c r="C9" s="322">
        <f>DATA!A3</f>
        <v>29885</v>
      </c>
      <c r="D9"/>
      <c r="E9"/>
      <c r="F9" s="40"/>
      <c r="H9" s="1130" t="str">
        <f>VLOOKUP(pos(H9),'Language-Sprachen'!$A$4:$G$99,'Language-Sprachen'!$A$3,0)</f>
        <v>Input in purple areas</v>
      </c>
      <c r="I9" s="1131" t="e">
        <f>VLOOKUP(pos(I9),'Language-Sprachen'!$A:$G,'Language-Sprachen'!$A$3,0)</f>
        <v>#N/A</v>
      </c>
      <c r="J9" s="42"/>
      <c r="K9" s="3"/>
      <c r="L9" s="3"/>
      <c r="M9" s="3"/>
      <c r="N9" s="3"/>
    </row>
    <row r="10" spans="2:14" ht="15.75">
      <c r="B10" s="50" t="str">
        <f>VLOOKUP(pos(B10),'Language-Sprachen'!$A$4:$G$99,'Language-Sprachen'!$A$3,0)</f>
        <v>Date:</v>
      </c>
      <c r="C10" s="322">
        <f>DATA!B3</f>
        <v>46069</v>
      </c>
      <c r="D10" s="50" t="str">
        <f>VLOOKUP(pos(D10),'Language-Sprachen'!$A$4:$G$99,'Language-Sprachen'!$A$3,0)</f>
        <v>Shift:</v>
      </c>
      <c r="E10" s="839"/>
      <c r="F10" s="3"/>
      <c r="H10" s="1130" t="str">
        <f>VLOOKUP(pos(H10),'Language-Sprachen'!$A:$G,'Language-Sprachen'!$A$3,0)</f>
        <v>Points</v>
      </c>
      <c r="I10" s="1131" t="str">
        <f>VLOOKUP(pos(I10),'Language-Sprachen'!$A:$G,'Language-Sprachen'!$A$3,0)</f>
        <v>Immediate action (x)</v>
      </c>
      <c r="J10" s="42"/>
      <c r="K10" s="3"/>
      <c r="L10" s="3"/>
      <c r="M10" s="3"/>
      <c r="N10" s="3"/>
    </row>
    <row r="11" spans="2:14" ht="15">
      <c r="B11" s="860"/>
      <c r="C11"/>
      <c r="D11"/>
      <c r="E11"/>
      <c r="F11" s="40"/>
      <c r="I11" s="49"/>
      <c r="J11" s="42"/>
      <c r="K11" s="3"/>
      <c r="L11" s="3"/>
      <c r="M11" s="3"/>
      <c r="N11" s="3"/>
    </row>
    <row r="12" spans="2:14" ht="40.5" customHeight="1">
      <c r="B12" s="610" t="str">
        <f>VLOOKUP(pos(B12),'Language-Sprachen'!$A$4:$G$99,'Language-Sprachen'!$A$3,0)</f>
        <v>Audit Reason:</v>
      </c>
      <c r="C12" s="1139"/>
      <c r="D12" s="1139"/>
      <c r="E12" s="1139"/>
      <c r="F12" s="1139"/>
      <c r="I12" s="49"/>
      <c r="J12" s="42"/>
      <c r="K12" s="3"/>
      <c r="L12" s="3"/>
      <c r="M12" s="3"/>
      <c r="N12" s="3"/>
    </row>
    <row r="13" spans="2:14" ht="15.75">
      <c r="B13" s="610" t="str">
        <f>VLOOKUP(pos(B13),'Language-Sprachen'!$A$4:$G$99,'Language-Sprachen'!$A$3,0)</f>
        <v>Audit request:</v>
      </c>
      <c r="C13" s="562"/>
      <c r="D13" s="610" t="str">
        <f>VLOOKUP(pos(D13),'Language-Sprachen'!$A$4:$G$99,'Language-Sprachen'!$A$3,0)</f>
        <v>Department:</v>
      </c>
      <c r="E13" s="1138"/>
      <c r="F13" s="1138"/>
      <c r="I13" s="49"/>
      <c r="J13" s="42"/>
      <c r="L13" s="3"/>
      <c r="M13" s="3"/>
      <c r="N13" s="3"/>
    </row>
    <row r="14" spans="2:14" ht="15.75">
      <c r="B14" s="610" t="str">
        <f>VLOOKUP(pos(B14),'Language-Sprachen'!$A$4:$G$99,'Language-Sprachen'!$A$3,0)</f>
        <v>Auditor:</v>
      </c>
      <c r="C14" s="562"/>
      <c r="D14" s="840" t="str">
        <f>$D$13</f>
        <v>Department:</v>
      </c>
      <c r="E14" s="1138"/>
      <c r="F14" s="1138"/>
      <c r="G14" s="841" t="str">
        <f>VLOOKUP(pos(G14),'Language-Sprachen'!$A$4:$G$99,'Language-Sprachen'!$A$3,0)</f>
        <v>Certificate No.:</v>
      </c>
      <c r="H14" s="1138"/>
      <c r="I14" s="1140"/>
      <c r="J14" s="42"/>
      <c r="K14" s="3"/>
      <c r="L14" s="3"/>
      <c r="M14" s="3"/>
      <c r="N14" s="3"/>
    </row>
    <row r="15" spans="2:14" ht="15.75">
      <c r="B15" s="610" t="str">
        <f>VLOOKUP(pos(B15),'Language-Sprachen'!$A$4:$G$99,'Language-Sprachen'!$A$3,0)</f>
        <v>Manager of audited organisation:</v>
      </c>
      <c r="C15" s="562"/>
      <c r="D15" s="50" t="str">
        <f>$D$13</f>
        <v>Department:</v>
      </c>
      <c r="E15" s="1138"/>
      <c r="F15" s="1138"/>
      <c r="I15" s="49"/>
      <c r="J15" s="42"/>
      <c r="K15" s="3"/>
      <c r="L15" s="3"/>
      <c r="M15" s="3"/>
      <c r="N15" s="3"/>
    </row>
    <row r="16" spans="2:14" ht="15">
      <c r="B16" s="50"/>
      <c r="C16" s="40"/>
      <c r="D16" s="40"/>
      <c r="E16" s="40"/>
      <c r="F16" s="40"/>
      <c r="I16" s="49"/>
      <c r="J16" s="42"/>
      <c r="K16" s="3"/>
      <c r="L16" s="3"/>
      <c r="M16" s="3"/>
      <c r="N16" s="3"/>
    </row>
    <row r="17" spans="1:14" ht="15.75">
      <c r="B17" s="50" t="str">
        <f>VLOOKUP(pos(B17),'Language-Sprachen'!$A$4:$G$99,'Language-Sprachen'!$A$3,0)</f>
        <v>Suppl.-No.:</v>
      </c>
      <c r="C17" s="895" t="s">
        <v>759</v>
      </c>
      <c r="D17" s="50"/>
      <c r="E17" s="609" t="str">
        <f>VLOOKUP(pos(E17),'Language-Sprachen'!$A$4:$G$99,'Language-Sprachen'!$A$3,0)</f>
        <v>Name:</v>
      </c>
      <c r="F17" s="609" t="str">
        <f>D13</f>
        <v>Department:</v>
      </c>
      <c r="H17" s="1134"/>
      <c r="I17" s="1135"/>
      <c r="J17" s="42"/>
      <c r="K17" s="3"/>
      <c r="L17" s="3"/>
      <c r="M17" s="3"/>
      <c r="N17" s="3"/>
    </row>
    <row r="18" spans="1:14" ht="15.75">
      <c r="B18" s="50" t="str">
        <f>VLOOKUP(pos(B18),'Language-Sprachen'!$A$4:$G$99,'Language-Sprachen'!$A$3,0)</f>
        <v xml:space="preserve"> D-U-N-S No.:</v>
      </c>
      <c r="C18" s="562"/>
      <c r="D18" s="50" t="str">
        <f>VLOOKUP(pos(D18),'Language-Sprachen'!$A$4:$G$99,'Language-Sprachen'!$A$3,0)</f>
        <v>Senior Management:</v>
      </c>
      <c r="E18" s="340"/>
      <c r="F18" s="341"/>
      <c r="G18" s="278"/>
      <c r="H18" s="1134"/>
      <c r="I18" s="1135"/>
      <c r="J18" s="44"/>
      <c r="K18" s="4"/>
      <c r="M18" s="3"/>
      <c r="N18" s="3"/>
    </row>
    <row r="19" spans="1:14" ht="31.5">
      <c r="B19" s="50" t="str">
        <f>VLOOKUP(pos(B19),'Language-Sprachen'!$A$4:$G$99,'Language-Sprachen'!$A$3,0)</f>
        <v>Supplier:</v>
      </c>
      <c r="C19" s="562" t="str">
        <f>DATA!S3</f>
        <v>COMPONENTES Y CONJUNTOS SA</v>
      </c>
      <c r="D19" s="50" t="str">
        <f>VLOOKUP(pos(D19),'Language-Sprachen'!$A$4:$G$99,'Language-Sprachen'!$A$3,0)</f>
        <v>Plant Management:</v>
      </c>
      <c r="E19" s="340"/>
      <c r="F19" s="341"/>
      <c r="G19" s="278"/>
      <c r="H19" s="1134"/>
      <c r="I19" s="1135"/>
      <c r="J19" s="42"/>
      <c r="K19" s="3"/>
      <c r="M19" s="3"/>
      <c r="N19" s="3"/>
    </row>
    <row r="20" spans="1:14" ht="15.75">
      <c r="B20" s="50" t="str">
        <f>VLOOKUP(pos(B20),'Language-Sprachen'!$A$4:$G$99,'Language-Sprachen'!$A$3,0)</f>
        <v>Street:</v>
      </c>
      <c r="C20" s="562"/>
      <c r="D20" s="50" t="str">
        <f>VLOOKUP(pos(D20),'Language-Sprachen'!$A$4:$G$99,'Language-Sprachen'!$A$3,0)</f>
        <v>Q-Management:</v>
      </c>
      <c r="E20" s="340"/>
      <c r="F20" s="341"/>
      <c r="G20" s="278"/>
      <c r="H20" s="1134"/>
      <c r="I20" s="1135"/>
      <c r="J20" s="42"/>
      <c r="K20" s="3"/>
      <c r="M20" s="3"/>
      <c r="N20" s="3"/>
    </row>
    <row r="21" spans="1:14" ht="15.75">
      <c r="B21" s="50" t="str">
        <f>VLOOKUP(pos(B21),'Language-Sprachen'!$A$4:$G$99,'Language-Sprachen'!$A$3,0)</f>
        <v>Location:</v>
      </c>
      <c r="C21" s="562"/>
      <c r="D21" s="50" t="str">
        <f>VLOOKUP(pos(D21),'Language-Sprachen'!$A$4:$G$99,'Language-Sprachen'!$A$3,0)</f>
        <v xml:space="preserve">Customer Support </v>
      </c>
      <c r="E21" s="340"/>
      <c r="F21" s="341"/>
      <c r="G21" s="278"/>
      <c r="H21" s="1134"/>
      <c r="I21" s="1135"/>
      <c r="J21" s="42"/>
      <c r="K21" s="3"/>
      <c r="M21" s="3"/>
      <c r="N21" s="3"/>
    </row>
    <row r="22" spans="1:14" ht="15.75">
      <c r="B22" s="50" t="str">
        <f>VLOOKUP(pos(B22),'Language-Sprachen'!$A$4:$G$99,'Language-Sprachen'!$A$3,0)</f>
        <v>Country:</v>
      </c>
      <c r="C22" s="562"/>
      <c r="D22" s="50" t="str">
        <f>VLOOKUP(pos(D22),'Language-Sprachen'!$A$4:$G$99,'Language-Sprachen'!$A$3,0)</f>
        <v>Research and development</v>
      </c>
      <c r="E22" s="340"/>
      <c r="F22" s="341"/>
      <c r="G22" s="278"/>
      <c r="H22" s="1134"/>
      <c r="I22" s="1135"/>
      <c r="J22" s="42"/>
      <c r="K22" s="3"/>
    </row>
    <row r="23" spans="1:14" ht="15.75">
      <c r="B23" s="50" t="str">
        <f>VLOOKUP(pos(B23),'Language-Sprachen'!$A$4:$G$99,'Language-Sprachen'!$A$3,0)</f>
        <v>Manufacturing Site (Post Code):</v>
      </c>
      <c r="C23" s="562"/>
      <c r="D23"/>
      <c r="E23"/>
      <c r="F23"/>
      <c r="I23" s="49"/>
      <c r="J23" s="45"/>
      <c r="K23" s="56"/>
    </row>
    <row r="24" spans="1:14" ht="15.75">
      <c r="B24" s="50" t="str">
        <f>VLOOKUP(pos(B24),'Language-Sprachen'!$A$4:$G$99,'Language-Sprachen'!$A$3,0)</f>
        <v>Telephone Number:</v>
      </c>
      <c r="C24" s="562"/>
      <c r="D24"/>
      <c r="E24"/>
      <c r="F24"/>
      <c r="I24" s="49"/>
      <c r="J24" s="45"/>
    </row>
    <row r="25" spans="1:14" ht="15.75">
      <c r="B25" s="50" t="str">
        <f>VLOOKUP(pos(B25),'Language-Sprachen'!$A$4:$G$99,'Language-Sprachen'!$A$3,0)</f>
        <v>Fax Number:</v>
      </c>
      <c r="C25" s="562"/>
      <c r="D25"/>
      <c r="E25"/>
      <c r="F25"/>
      <c r="I25" s="49"/>
      <c r="J25" s="45"/>
    </row>
    <row r="26" spans="1:14" ht="15.75">
      <c r="A26" s="318"/>
      <c r="B26" s="195" t="str">
        <f>VLOOKUP(pos(B26),'Language-Sprachen'!$A$4:$G$99,'Language-Sprachen'!$A$3,0)</f>
        <v>Signed by (organisation):</v>
      </c>
      <c r="C26" s="360"/>
      <c r="D26" s="359"/>
      <c r="E26" s="359"/>
      <c r="F26" s="359"/>
      <c r="G26" s="318"/>
      <c r="H26" s="318"/>
      <c r="I26" s="319"/>
      <c r="J26" s="45"/>
    </row>
    <row r="27" spans="1:14" ht="19.5" customHeight="1">
      <c r="B27" s="1132" t="str">
        <f>VLOOKUP(pos(B27),'Language-Sprachen'!$A$4:$G$99,'Language-Sprachen'!$A$3,0)</f>
        <v>Last Audit Results  / Certificate</v>
      </c>
      <c r="C27" s="1133" t="e">
        <f>VLOOKUP(pos(C27),'Language-Sprachen'!$A:$G,'Language-Sprachen'!$A$3,0)</f>
        <v>#N/A</v>
      </c>
      <c r="D27" s="40"/>
      <c r="E27" s="40"/>
      <c r="F27" s="40"/>
      <c r="I27" s="49"/>
      <c r="J27" s="45"/>
    </row>
    <row r="28" spans="1:14" ht="15.75">
      <c r="B28" s="50" t="str">
        <f>VLOOKUP(pos(B28),'Language-Sprachen'!$A$4:$G$99,'Language-Sprachen'!$A$3,0)</f>
        <v>Certificate / Audit No:</v>
      </c>
      <c r="C28" s="342"/>
      <c r="D28" s="342"/>
      <c r="E28" s="342"/>
      <c r="F28" s="342"/>
      <c r="G28" s="896"/>
      <c r="I28" s="49"/>
      <c r="J28" s="45"/>
    </row>
    <row r="29" spans="1:14" ht="15.75">
      <c r="B29" s="50" t="str">
        <f>VLOOKUP(pos(B29),'Language-Sprachen'!$A$4:$G$99,'Language-Sprachen'!$A$3,0)</f>
        <v>Issue Date</v>
      </c>
      <c r="C29" s="343"/>
      <c r="D29" s="343"/>
      <c r="E29" s="343"/>
      <c r="F29" s="343"/>
      <c r="G29" s="896"/>
      <c r="I29" s="49"/>
      <c r="J29" s="46"/>
    </row>
    <row r="30" spans="1:14" ht="15.75">
      <c r="B30" s="50" t="str">
        <f>VLOOKUP(pos(B30),'Language-Sprachen'!$A$4:$G$99,'Language-Sprachen'!$A$3,0)</f>
        <v>Conducted by</v>
      </c>
      <c r="C30" s="344"/>
      <c r="D30" s="344"/>
      <c r="E30" s="344"/>
      <c r="F30" s="344"/>
      <c r="G30" s="896"/>
      <c r="I30" s="49"/>
      <c r="J30" s="45"/>
    </row>
    <row r="31" spans="1:14" ht="15.75">
      <c r="B31" s="50" t="str">
        <f>VLOOKUP(pos(B31),'Language-Sprachen'!$A$4:$G$99,'Language-Sprachen'!$A$3,0)</f>
        <v>Result / Certificate No.</v>
      </c>
      <c r="C31" s="345"/>
      <c r="D31" s="346"/>
      <c r="E31" s="346"/>
      <c r="F31" s="346"/>
      <c r="G31" s="896"/>
      <c r="I31" s="49"/>
      <c r="J31" s="45"/>
    </row>
    <row r="32" spans="1:14" ht="15">
      <c r="B32" s="195"/>
      <c r="C32" s="40"/>
      <c r="D32" s="40"/>
      <c r="E32" s="40"/>
      <c r="F32" s="90"/>
      <c r="G32" s="318"/>
      <c r="H32" s="318"/>
      <c r="I32" s="319"/>
      <c r="J32" s="45"/>
    </row>
    <row r="33" spans="2:14" ht="15.75">
      <c r="B33" s="613" t="str">
        <f>VLOOKUP(pos(B33),'Language-Sprachen'!$A$4:$G$99,'Language-Sprachen'!$A$3,0)</f>
        <v>Product Group(s):</v>
      </c>
      <c r="C33" s="611" t="str">
        <f>VLOOKUP(pos(C33),'Language-Sprachen'!$A$4:$G$99,'Language-Sprachen'!$A$3,0)</f>
        <v>First:</v>
      </c>
      <c r="D33" s="611" t="str">
        <f>VLOOKUP(pos(D33),'Language-Sprachen'!$A$4:$G$99,'Language-Sprachen'!$A$3,0)</f>
        <v>Second:</v>
      </c>
      <c r="E33" s="611" t="str">
        <f>VLOOKUP(pos(E33),'Language-Sprachen'!$A$4:$G$99,'Language-Sprachen'!$A$3,0)</f>
        <v>Third:</v>
      </c>
      <c r="F33" s="612" t="str">
        <f>VLOOKUP(pos(F33),'Language-Sprachen'!$A$4:$G$99,'Language-Sprachen'!$A$3,0)</f>
        <v>Fourth:</v>
      </c>
      <c r="I33" s="49"/>
      <c r="J33" s="45"/>
    </row>
    <row r="34" spans="2:14" ht="15.75">
      <c r="B34" s="614" t="str">
        <f>VLOOKUP(pos(B34),'Language-Sprachen'!$A$4:$G$99,'Language-Sprachen'!$A$3,0)</f>
        <v>Description</v>
      </c>
      <c r="C34" s="323"/>
      <c r="D34" s="323"/>
      <c r="E34" s="323"/>
      <c r="F34" s="324"/>
      <c r="I34" s="49"/>
      <c r="J34" s="45"/>
      <c r="K34" s="1142"/>
      <c r="L34" s="1143"/>
      <c r="M34" s="1143"/>
      <c r="N34" s="1143"/>
    </row>
    <row r="35" spans="2:14" ht="18.75" customHeight="1">
      <c r="B35" s="50"/>
      <c r="C35" s="50"/>
      <c r="D35" s="41"/>
      <c r="E35" s="41"/>
      <c r="F35" s="41"/>
      <c r="I35" s="49"/>
      <c r="J35" s="47"/>
      <c r="K35" s="6"/>
    </row>
    <row r="36" spans="2:14" ht="40.5" customHeight="1">
      <c r="B36" s="852" t="str">
        <f>VLOOKUP(pos(B36),'Language-Sprachen'!$A$4:$G$99,'Language-Sprachen'!$A$3,0)</f>
        <v>Process Steps:</v>
      </c>
      <c r="C36" s="829" t="str">
        <f>VLOOKUP(pos(C36),'Language-Sprachen'!$A$4:$G$99,'Language-Sprachen'!$A$3,0)</f>
        <v>Number of process steps</v>
      </c>
      <c r="D36" s="832">
        <v>3</v>
      </c>
      <c r="E36" s="1134"/>
      <c r="F36" s="1134"/>
      <c r="G36" s="1149"/>
      <c r="H36" s="1149"/>
      <c r="I36" s="1150"/>
      <c r="J36" s="45"/>
    </row>
    <row r="37" spans="2:14" ht="16.5" customHeight="1">
      <c r="C37" s="615" t="str">
        <f>B34&amp;" E1 - E10"</f>
        <v>Description E1 - E10</v>
      </c>
      <c r="D37" s="615" t="str">
        <f>VLOOKUP(pos(D37),'Language-Sprachen'!$A$4:$G$99,'Language-Sprachen'!$A$3,0)</f>
        <v>Process Step No.:</v>
      </c>
      <c r="E37" s="891"/>
      <c r="F37" s="1146"/>
      <c r="G37" s="1146"/>
      <c r="H37" s="1144"/>
      <c r="I37" s="1145"/>
      <c r="J37" s="45"/>
    </row>
    <row r="38" spans="2:14" ht="21" customHeight="1">
      <c r="B38" s="613">
        <v>1</v>
      </c>
      <c r="C38" s="325" t="str">
        <f>DATA!AH3</f>
        <v>Incoming</v>
      </c>
      <c r="D38" s="831"/>
      <c r="E38" s="627"/>
      <c r="F38" s="892"/>
      <c r="G38" s="893"/>
      <c r="H38" s="829"/>
      <c r="I38" s="626"/>
      <c r="J38" s="45"/>
    </row>
    <row r="39" spans="2:14" ht="21" customHeight="1">
      <c r="B39" s="613">
        <v>2</v>
      </c>
      <c r="C39" s="325" t="str">
        <f>DATA!AI3</f>
        <v>Manufacturing</v>
      </c>
      <c r="D39" s="831"/>
      <c r="E39" s="627"/>
      <c r="F39" s="892"/>
      <c r="G39" s="893"/>
      <c r="H39" s="829"/>
      <c r="I39" s="626"/>
      <c r="J39" s="45"/>
    </row>
    <row r="40" spans="2:14" ht="21" customHeight="1">
      <c r="B40" s="613">
        <v>3</v>
      </c>
      <c r="C40" s="325" t="str">
        <f>DATA!AJ3</f>
        <v>Shipping</v>
      </c>
      <c r="D40" s="831"/>
      <c r="E40" s="627"/>
      <c r="F40" s="892"/>
      <c r="G40" s="893"/>
      <c r="H40" s="829"/>
      <c r="I40" s="626"/>
      <c r="J40" s="45"/>
    </row>
    <row r="41" spans="2:14" ht="18">
      <c r="B41" s="613">
        <v>4</v>
      </c>
      <c r="C41" s="325"/>
      <c r="D41" s="831"/>
      <c r="E41" s="627"/>
      <c r="F41" s="892"/>
      <c r="G41" s="893"/>
      <c r="H41" s="829"/>
      <c r="I41" s="626"/>
      <c r="J41" s="45"/>
    </row>
    <row r="42" spans="2:14" ht="18">
      <c r="B42" s="613">
        <v>5</v>
      </c>
      <c r="C42" s="325"/>
      <c r="D42" s="831"/>
      <c r="E42" s="627"/>
      <c r="F42" s="892"/>
      <c r="G42" s="893"/>
      <c r="H42" s="829"/>
      <c r="I42" s="626"/>
      <c r="J42" s="45"/>
    </row>
    <row r="43" spans="2:14" ht="18">
      <c r="B43" s="613">
        <v>6</v>
      </c>
      <c r="C43" s="325"/>
      <c r="D43" s="831"/>
      <c r="E43" s="627"/>
      <c r="F43" s="892"/>
      <c r="G43" s="893"/>
      <c r="H43" s="829"/>
      <c r="I43" s="626"/>
      <c r="J43" s="45"/>
    </row>
    <row r="44" spans="2:14" ht="18">
      <c r="B44" s="613">
        <v>7</v>
      </c>
      <c r="C44" s="325"/>
      <c r="D44" s="831"/>
      <c r="E44" s="627"/>
      <c r="F44" s="892"/>
      <c r="G44" s="893"/>
      <c r="I44" s="49"/>
      <c r="J44" s="45"/>
    </row>
    <row r="45" spans="2:14" ht="15.75">
      <c r="B45" s="613">
        <v>8</v>
      </c>
      <c r="C45" s="325"/>
      <c r="D45" s="831"/>
      <c r="E45" s="627"/>
      <c r="F45" s="1144"/>
      <c r="G45" s="1144"/>
      <c r="H45" s="1147"/>
      <c r="I45" s="1148"/>
      <c r="J45" s="45"/>
    </row>
    <row r="46" spans="2:14" ht="18">
      <c r="B46" s="613">
        <v>9</v>
      </c>
      <c r="C46" s="325"/>
      <c r="D46" s="831"/>
      <c r="E46" s="627"/>
      <c r="F46" s="892"/>
      <c r="G46" s="893"/>
      <c r="H46" s="830"/>
      <c r="I46" s="626"/>
      <c r="J46" s="45"/>
    </row>
    <row r="47" spans="2:14" ht="18">
      <c r="B47" s="613">
        <v>10</v>
      </c>
      <c r="C47" s="325"/>
      <c r="D47" s="831"/>
      <c r="E47" s="627"/>
      <c r="F47" s="892"/>
      <c r="G47" s="893"/>
      <c r="H47" s="625"/>
      <c r="I47" s="626"/>
      <c r="J47" s="45"/>
    </row>
    <row r="48" spans="2:14" ht="18">
      <c r="B48" s="50"/>
      <c r="C48" s="339"/>
      <c r="D48" s="620"/>
      <c r="E48" s="627"/>
      <c r="F48" s="892"/>
      <c r="G48" s="893"/>
      <c r="H48" s="89"/>
      <c r="I48" s="624"/>
      <c r="J48" s="45"/>
    </row>
    <row r="49" spans="2:10" ht="18" customHeight="1">
      <c r="B49" s="1136" t="str">
        <f>VLOOKUP(pos(B49),'Language-Sprachen'!$A$4:$G$99,'Language-Sprachen'!$A$3,0)</f>
        <v>Assignment of process steps to products, please use "X"</v>
      </c>
      <c r="C49" s="1136" t="e">
        <f>VLOOKUP(pos(C49),'Language-Sprachen'!$A:$G,'Language-Sprachen'!$A$3,0)</f>
        <v>#N/A</v>
      </c>
      <c r="D49" s="620"/>
      <c r="E49" s="627"/>
      <c r="F49" s="892"/>
      <c r="H49" s="89"/>
      <c r="I49" s="624"/>
      <c r="J49" s="45"/>
    </row>
    <row r="50" spans="2:10" ht="18.75" customHeight="1">
      <c r="B50" s="1137" t="e">
        <f>VLOOKUP(pos(B50),'Language-Sprachen'!$A:$G,'Language-Sprachen'!$A$3,0)</f>
        <v>#N/A</v>
      </c>
      <c r="C50" s="1137" t="e">
        <f>VLOOKUP(pos(C50),'Language-Sprachen'!$A:$G,'Language-Sprachen'!$A$3,0)</f>
        <v>#N/A</v>
      </c>
      <c r="D50" s="40"/>
      <c r="E50" s="613"/>
      <c r="F50" s="40"/>
      <c r="I50" s="49"/>
      <c r="J50" s="45"/>
    </row>
    <row r="51" spans="2:10" ht="18.75" customHeight="1">
      <c r="B51" s="89"/>
      <c r="C51" s="616" t="str">
        <f>VLOOKUP(pos(C51),'Language-Sprachen'!$A$4:$G$99,'Language-Sprachen'!$A$3,0)</f>
        <v>Product Group 1</v>
      </c>
      <c r="D51" s="616" t="str">
        <f>VLOOKUP(pos(D51),'Language-Sprachen'!$A$4:$G$99,'Language-Sprachen'!$A$3,0)</f>
        <v>Product Group 2</v>
      </c>
      <c r="E51" s="616" t="str">
        <f>VLOOKUP(pos(E51),'Language-Sprachen'!$A$4:$G$99,'Language-Sprachen'!$A$3,0)</f>
        <v>Product Group 3</v>
      </c>
      <c r="F51" s="616" t="str">
        <f>VLOOKUP(pos(F51),'Language-Sprachen'!$A$4:$G$99,'Language-Sprachen'!$A$3,0)</f>
        <v>Product Group 4</v>
      </c>
      <c r="I51" s="49"/>
      <c r="J51" s="45"/>
    </row>
    <row r="52" spans="2:10" s="48" customFormat="1" ht="18.75" customHeight="1" thickBot="1">
      <c r="B52" s="620" t="str">
        <f>B36</f>
        <v>Process Steps:</v>
      </c>
      <c r="C52" s="913"/>
      <c r="D52" s="913"/>
      <c r="E52" s="913"/>
      <c r="F52" s="913"/>
      <c r="H52" s="1"/>
      <c r="I52" s="49"/>
      <c r="J52" s="201"/>
    </row>
    <row r="53" spans="2:10" ht="18.75" customHeight="1" thickTop="1">
      <c r="B53" s="605" t="str">
        <f>+PrSchr1</f>
        <v>Incoming</v>
      </c>
      <c r="C53" s="603"/>
      <c r="D53" s="603"/>
      <c r="E53" s="603"/>
      <c r="F53" s="603"/>
      <c r="I53" s="49"/>
      <c r="J53" s="45"/>
    </row>
    <row r="54" spans="2:10" ht="18.75" customHeight="1">
      <c r="B54" s="605" t="str">
        <f>+PrSchr2</f>
        <v>Manufacturing</v>
      </c>
      <c r="C54" s="604"/>
      <c r="D54" s="604"/>
      <c r="E54" s="604"/>
      <c r="F54" s="604"/>
      <c r="I54" s="49"/>
      <c r="J54" s="45"/>
    </row>
    <row r="55" spans="2:10" ht="18.75" customHeight="1">
      <c r="B55" s="605" t="str">
        <f>+PrSchr3</f>
        <v>Shipping</v>
      </c>
      <c r="C55" s="604"/>
      <c r="D55" s="604"/>
      <c r="E55" s="604"/>
      <c r="F55" s="604"/>
      <c r="I55" s="49"/>
      <c r="J55" s="45"/>
    </row>
    <row r="56" spans="2:10" ht="18.75" customHeight="1">
      <c r="B56" s="605">
        <f>+PrSchr4</f>
        <v>0</v>
      </c>
      <c r="C56" s="604"/>
      <c r="D56" s="604"/>
      <c r="E56" s="604"/>
      <c r="F56" s="604"/>
      <c r="I56" s="49"/>
      <c r="J56" s="45"/>
    </row>
    <row r="57" spans="2:10" ht="18.75" customHeight="1">
      <c r="B57" s="605">
        <f>+PrSchr5</f>
        <v>0</v>
      </c>
      <c r="C57" s="604"/>
      <c r="D57" s="604"/>
      <c r="E57" s="604"/>
      <c r="F57" s="604"/>
      <c r="I57" s="49"/>
      <c r="J57" s="45"/>
    </row>
    <row r="58" spans="2:10" ht="18.75" customHeight="1">
      <c r="B58" s="605">
        <f>+PrSchr6</f>
        <v>0</v>
      </c>
      <c r="C58" s="604"/>
      <c r="D58" s="604"/>
      <c r="E58" s="604"/>
      <c r="F58" s="604"/>
      <c r="I58" s="49"/>
      <c r="J58" s="45"/>
    </row>
    <row r="59" spans="2:10" ht="18.75" customHeight="1">
      <c r="B59" s="605">
        <f>+PrSchr7</f>
        <v>0</v>
      </c>
      <c r="C59" s="604"/>
      <c r="D59" s="604"/>
      <c r="E59" s="604"/>
      <c r="F59" s="604"/>
      <c r="I59" s="49"/>
      <c r="J59" s="45"/>
    </row>
    <row r="60" spans="2:10" ht="18.75" customHeight="1">
      <c r="B60" s="605">
        <f>+PrSchr8</f>
        <v>0</v>
      </c>
      <c r="C60" s="604"/>
      <c r="D60" s="604"/>
      <c r="E60" s="604"/>
      <c r="F60" s="604"/>
      <c r="I60" s="49"/>
      <c r="J60" s="45"/>
    </row>
    <row r="61" spans="2:10" ht="18.75" customHeight="1">
      <c r="B61" s="605">
        <f>+PrSchr9</f>
        <v>0</v>
      </c>
      <c r="C61" s="604"/>
      <c r="D61" s="604"/>
      <c r="E61" s="604"/>
      <c r="F61" s="604"/>
      <c r="I61" s="49"/>
      <c r="J61" s="45"/>
    </row>
    <row r="62" spans="2:10" ht="18.75" customHeight="1">
      <c r="B62" s="605">
        <f>+PrSchr10</f>
        <v>0</v>
      </c>
      <c r="C62" s="604"/>
      <c r="D62" s="604"/>
      <c r="E62" s="604"/>
      <c r="F62" s="604"/>
      <c r="I62" s="49"/>
      <c r="J62" s="45"/>
    </row>
    <row r="63" spans="2:10" ht="48" customHeight="1">
      <c r="B63" s="621" t="str">
        <f>VLOOKUP(pos(B63),'Language-Sprachen'!$A$4:$G$99,'Language-Sprachen'!$A$3,0)</f>
        <v>Number of process steps for each product group</v>
      </c>
      <c r="C63" s="617">
        <f>SUBTOTAL(103,C53:C62)</f>
        <v>0</v>
      </c>
      <c r="D63" s="617">
        <f>SUBTOTAL(103,D53:D62)</f>
        <v>0</v>
      </c>
      <c r="E63" s="617">
        <f>SUBTOTAL(103,E53:E62)</f>
        <v>0</v>
      </c>
      <c r="F63" s="617">
        <f>SUBTOTAL(103,F53:F62)</f>
        <v>0</v>
      </c>
      <c r="G63" s="318"/>
      <c r="H63" s="318"/>
      <c r="I63" s="319"/>
      <c r="J63" s="45"/>
    </row>
    <row r="64" spans="2:10" ht="15.75">
      <c r="B64" s="622" t="str">
        <f>VLOOKUP(pos(B64),'Language-Sprachen'!$A$4:$G$99,'Language-Sprachen'!$A$3,0)</f>
        <v>Distribution at the audited unit</v>
      </c>
      <c r="C64" s="618" t="str">
        <f>E17</f>
        <v>Name:</v>
      </c>
      <c r="D64" s="339"/>
      <c r="E64" s="40"/>
      <c r="F64" s="40" t="str">
        <f>C64</f>
        <v>Name:</v>
      </c>
      <c r="G64" s="40" t="str">
        <f>D65</f>
        <v>Department:</v>
      </c>
      <c r="I64" s="49"/>
      <c r="J64" s="45"/>
    </row>
    <row r="65" spans="2:10" ht="20.100000000000001" customHeight="1">
      <c r="B65" s="50" t="str">
        <f>VLOOKUP(pos(B65),'Language-Sprachen'!$A$4:$G$99,'Language-Sprachen'!$A$3,0)</f>
        <v>Company (brief form):</v>
      </c>
      <c r="C65" s="347"/>
      <c r="D65" s="619" t="str">
        <f>D13</f>
        <v>Department:</v>
      </c>
      <c r="E65" s="1141" t="str">
        <f>VLOOKUP(pos(E65),'Language-Sprachen'!$A$4:$G$99,'Language-Sprachen'!$A$3,0)</f>
        <v>Participants:</v>
      </c>
      <c r="F65" s="350"/>
      <c r="G65" s="349"/>
      <c r="I65" s="49"/>
      <c r="J65" s="45"/>
    </row>
    <row r="66" spans="2:10" ht="20.100000000000001" customHeight="1">
      <c r="B66" s="50" t="str">
        <f>VLOOKUP(pos(B66),'Language-Sprachen'!$A$4:$G$99,'Language-Sprachen'!$A$3,0)</f>
        <v>Distribution 1 Company:</v>
      </c>
      <c r="C66" s="348"/>
      <c r="D66" s="349"/>
      <c r="E66" s="1141" t="e">
        <f>VLOOKUP(pos(E66),'Language-Sprachen'!$A$4:$G$99,'Language-Sprachen'!$A$3,0)</f>
        <v>#N/A</v>
      </c>
      <c r="F66" s="350"/>
      <c r="G66" s="349"/>
      <c r="I66" s="49"/>
      <c r="J66" s="45"/>
    </row>
    <row r="67" spans="2:10" ht="20.100000000000001" customHeight="1">
      <c r="B67" s="50" t="str">
        <f>VLOOKUP(pos(B67),'Language-Sprachen'!$A$4:$G$99,'Language-Sprachen'!$A$3,0)</f>
        <v>Distribution 2 Company:</v>
      </c>
      <c r="C67" s="348"/>
      <c r="D67" s="349"/>
      <c r="E67" s="361"/>
      <c r="F67" s="350"/>
      <c r="G67" s="349"/>
      <c r="I67" s="49"/>
      <c r="J67" s="45"/>
    </row>
    <row r="68" spans="2:10" ht="20.100000000000001" customHeight="1">
      <c r="B68" s="614" t="str">
        <f>VLOOKUP(pos(B68),'Language-Sprachen'!$A$4:$G$99,'Language-Sprachen'!$A$3,0)</f>
        <v>Distribution 3 Company:</v>
      </c>
      <c r="C68" s="348"/>
      <c r="D68" s="349"/>
      <c r="E68" s="339"/>
      <c r="F68" s="339"/>
      <c r="I68" s="49"/>
      <c r="J68" s="45"/>
    </row>
    <row r="69" spans="2:10" ht="20.100000000000001" customHeight="1">
      <c r="B69" s="614" t="str">
        <f>VLOOKUP(pos(B69),'Language-Sprachen'!$A$4:$G$99,'Language-Sprachen'!$A$3,0)</f>
        <v>Distribution 4 Company:</v>
      </c>
      <c r="C69" s="348"/>
      <c r="D69" s="349"/>
      <c r="E69" s="339"/>
      <c r="F69" s="339"/>
      <c r="I69" s="49"/>
      <c r="J69" s="45"/>
    </row>
    <row r="70" spans="2:10" ht="20.100000000000001" customHeight="1">
      <c r="B70" s="614" t="str">
        <f>VLOOKUP(pos(B70),'Language-Sprachen'!$A$4:$G$99,'Language-Sprachen'!$A$3,0)</f>
        <v>Distribution 5 Company:</v>
      </c>
      <c r="C70" s="348"/>
      <c r="D70" s="349"/>
      <c r="E70" s="339"/>
      <c r="F70" s="339"/>
      <c r="I70" s="49"/>
      <c r="J70" s="45"/>
    </row>
    <row r="71" spans="2:10" ht="20.100000000000001" customHeight="1">
      <c r="B71" s="614" t="str">
        <f>VLOOKUP(pos(B71),'Language-Sprachen'!$A$4:$G$99,'Language-Sprachen'!$A$3,0)</f>
        <v>Distribution 6 Company:</v>
      </c>
      <c r="C71" s="348"/>
      <c r="D71" s="349"/>
      <c r="E71" s="339"/>
      <c r="F71" s="339"/>
      <c r="I71" s="49"/>
      <c r="J71" s="45"/>
    </row>
    <row r="72" spans="2:10" ht="20.100000000000001" customHeight="1">
      <c r="B72" s="613" t="str">
        <f>VLOOKUP(pos(B72),'Language-Sprachen'!$A$4:$G$99,'Language-Sprachen'!$A$3,0)</f>
        <v>Distribution Internal</v>
      </c>
      <c r="C72" s="339" t="str">
        <f>C64</f>
        <v>Name:</v>
      </c>
      <c r="D72" s="339" t="str">
        <f>D65</f>
        <v>Department:</v>
      </c>
      <c r="E72" s="339"/>
      <c r="F72" s="339" t="str">
        <f>C64</f>
        <v>Name:</v>
      </c>
      <c r="G72" s="339" t="str">
        <f>D65</f>
        <v>Department:</v>
      </c>
      <c r="I72" s="49"/>
      <c r="J72" s="45"/>
    </row>
    <row r="73" spans="2:10" ht="20.100000000000001" customHeight="1">
      <c r="B73" s="50" t="s">
        <v>37</v>
      </c>
      <c r="C73" s="347"/>
      <c r="D73" s="349"/>
      <c r="E73" s="623" t="str">
        <f>VLOOKUP(pos(E73),'Language-Sprachen'!$A$4:$G$99,'Language-Sprachen'!$A$3,0)</f>
        <v>Audit team:</v>
      </c>
      <c r="F73" s="350"/>
      <c r="G73" s="349"/>
      <c r="I73" s="49"/>
      <c r="J73" s="45"/>
    </row>
    <row r="74" spans="2:10" ht="20.100000000000001" customHeight="1">
      <c r="B74" s="50" t="s">
        <v>38</v>
      </c>
      <c r="C74" s="347"/>
      <c r="D74" s="349"/>
      <c r="E74" s="339"/>
      <c r="F74" s="350"/>
      <c r="G74" s="349"/>
      <c r="I74" s="49"/>
      <c r="J74" s="45"/>
    </row>
    <row r="75" spans="2:10" ht="20.100000000000001" customHeight="1">
      <c r="B75" s="50" t="s">
        <v>40</v>
      </c>
      <c r="C75" s="347"/>
      <c r="D75" s="349"/>
      <c r="E75" s="339"/>
      <c r="F75" s="350"/>
      <c r="G75" s="349"/>
      <c r="I75" s="49"/>
      <c r="J75" s="45"/>
    </row>
    <row r="76" spans="2:10" ht="20.100000000000001" customHeight="1">
      <c r="B76" s="50" t="s">
        <v>42</v>
      </c>
      <c r="C76" s="347"/>
      <c r="D76" s="349"/>
      <c r="E76" s="40"/>
      <c r="F76" s="40"/>
      <c r="I76" s="49"/>
      <c r="J76" s="45"/>
    </row>
    <row r="77" spans="2:10" ht="20.100000000000001" customHeight="1">
      <c r="B77" s="50" t="s">
        <v>43</v>
      </c>
      <c r="C77" s="347"/>
      <c r="D77" s="349"/>
      <c r="E77" s="40"/>
      <c r="F77" s="40"/>
      <c r="I77" s="49"/>
      <c r="J77" s="45"/>
    </row>
    <row r="78" spans="2:10" ht="20.100000000000001" customHeight="1">
      <c r="B78" s="50" t="s">
        <v>44</v>
      </c>
      <c r="C78" s="347"/>
      <c r="D78" s="349"/>
      <c r="E78" s="40"/>
      <c r="F78" s="40"/>
      <c r="I78" s="49"/>
      <c r="J78" s="45"/>
    </row>
    <row r="79" spans="2:10" ht="20.100000000000001" customHeight="1">
      <c r="B79" s="50" t="s">
        <v>45</v>
      </c>
      <c r="C79" s="347"/>
      <c r="D79" s="349"/>
      <c r="E79" s="40"/>
      <c r="F79" s="40"/>
      <c r="I79" s="49"/>
      <c r="J79" s="45"/>
    </row>
    <row r="80" spans="2:10" ht="20.100000000000001" customHeight="1">
      <c r="B80" s="196"/>
      <c r="F80" s="40"/>
      <c r="I80" s="49"/>
      <c r="J80" s="45"/>
    </row>
    <row r="81" spans="1:10" ht="20.100000000000001" customHeight="1">
      <c r="F81" s="40"/>
      <c r="I81" s="49"/>
      <c r="J81" s="45"/>
    </row>
    <row r="82" spans="1:10" ht="20.100000000000001" customHeight="1">
      <c r="F82" s="40"/>
      <c r="I82" s="49"/>
      <c r="J82" s="45"/>
    </row>
    <row r="83" spans="1:10" ht="20.100000000000001" customHeight="1">
      <c r="I83" s="49"/>
      <c r="J83" s="45"/>
    </row>
    <row r="84" spans="1:10">
      <c r="A84" s="318"/>
      <c r="B84" s="318"/>
      <c r="C84" s="318"/>
      <c r="D84" s="318"/>
      <c r="E84" s="318"/>
      <c r="F84" s="318"/>
      <c r="G84" s="318"/>
      <c r="H84" s="318"/>
      <c r="I84" s="319"/>
      <c r="J84" s="45"/>
    </row>
  </sheetData>
  <sheetProtection formatColumns="0" formatRows="0" selectLockedCells="1"/>
  <mergeCells count="16">
    <mergeCell ref="E65:E66"/>
    <mergeCell ref="K34:N34"/>
    <mergeCell ref="H37:I37"/>
    <mergeCell ref="F45:G45"/>
    <mergeCell ref="F37:G37"/>
    <mergeCell ref="H45:I45"/>
    <mergeCell ref="E36:I36"/>
    <mergeCell ref="H9:I10"/>
    <mergeCell ref="B27:C27"/>
    <mergeCell ref="H17:I22"/>
    <mergeCell ref="B49:C50"/>
    <mergeCell ref="E14:F14"/>
    <mergeCell ref="E15:F15"/>
    <mergeCell ref="C12:F12"/>
    <mergeCell ref="E13:F13"/>
    <mergeCell ref="H14:I14"/>
  </mergeCells>
  <phoneticPr fontId="15" type="noConversion"/>
  <conditionalFormatting sqref="B39:D47">
    <cfRule type="expression" dxfId="254" priority="1">
      <formula>$B39&gt;$D$36</formula>
    </cfRule>
  </conditionalFormatting>
  <dataValidations xWindow="48" yWindow="388" count="2">
    <dataValidation allowBlank="1" showErrorMessage="1" promptTitle="PROZESSSCHRITTE" prompt="Bitte geben Sie die Anzahl der Prozessschitte (min. 1 - max. 10) an." sqref="D36" xr:uid="{00000000-0002-0000-0100-000000000000}"/>
    <dataValidation type="list" allowBlank="1" showInputMessage="1" showErrorMessage="1" sqref="C53:F62" xr:uid="{00000000-0002-0000-0100-000001000000}">
      <formula1>"X"</formula1>
    </dataValidation>
  </dataValidations>
  <pageMargins left="0.39370078740157483" right="0.39370078740157483" top="0.59055118110236227" bottom="0.39370078740157483" header="0.19685039370078741" footer="0.19685039370078741"/>
  <pageSetup paperSize="9" scale="65" fitToHeight="0" orientation="landscape" r:id="rId1"/>
  <headerFooter scaleWithDoc="0">
    <oddHeader>&amp;L&amp;8VDA 6.3 Process Audit - Revision  2016</oddHeader>
    <oddFooter>&amp;L&amp;8QM-18_s2_ed.6-Audit_Report_VDA_6.3 - Input Form&amp;R&amp;8Page &amp;P of &amp;N</oddFooter>
  </headerFooter>
  <rowBreaks count="2" manualBreakCount="2">
    <brk id="35" min="1" max="8" man="1"/>
    <brk id="63" max="8" man="1"/>
  </rowBreaks>
  <drawing r:id="rId2"/>
  <legacyDrawing r:id="rId3"/>
  <controls>
    <mc:AlternateContent xmlns:mc="http://schemas.openxmlformats.org/markup-compatibility/2006">
      <mc:Choice Requires="x14">
        <control shapeId="16393" r:id="rId4" name="ComboBox1">
          <controlPr defaultSize="0" autoLine="0" linkedCell="'Language-Sprachen'!A2" listFillRange="Sprachen" r:id="rId5">
            <anchor moveWithCells="1">
              <from>
                <xdr:col>4</xdr:col>
                <xdr:colOff>57150</xdr:colOff>
                <xdr:row>2</xdr:row>
                <xdr:rowOff>38100</xdr:rowOff>
              </from>
              <to>
                <xdr:col>5</xdr:col>
                <xdr:colOff>1047750</xdr:colOff>
                <xdr:row>4</xdr:row>
                <xdr:rowOff>85725</xdr:rowOff>
              </to>
            </anchor>
          </controlPr>
        </control>
      </mc:Choice>
      <mc:Fallback>
        <control shapeId="16393" r:id="rId4" name="ComboBox1"/>
      </mc:Fallback>
    </mc:AlternateContent>
    <mc:AlternateContent xmlns:mc="http://schemas.openxmlformats.org/markup-compatibility/2006">
      <mc:Choice Requires="x14">
        <control shapeId="16394" r:id="rId6" name="Button 10">
          <controlPr defaultSize="0" print="0" autoFill="0" autoPict="0" macro="[0]!CreateCSV">
            <anchor moveWithCells="1" sizeWithCells="1">
              <from>
                <xdr:col>7</xdr:col>
                <xdr:colOff>9525</xdr:colOff>
                <xdr:row>0</xdr:row>
                <xdr:rowOff>95250</xdr:rowOff>
              </from>
              <to>
                <xdr:col>8</xdr:col>
                <xdr:colOff>1009650</xdr:colOff>
                <xdr:row>2</xdr:row>
                <xdr:rowOff>95250</xdr:rowOff>
              </to>
            </anchor>
          </controlPr>
        </control>
      </mc:Choice>
    </mc:AlternateContent>
    <mc:AlternateContent xmlns:mc="http://schemas.openxmlformats.org/markup-compatibility/2006">
      <mc:Choice Requires="x14">
        <control shapeId="16395" r:id="rId7" name="Button 11">
          <controlPr defaultSize="0" print="0" autoFill="0" autoPict="0" macro="[0]!ImportCSV">
            <anchor moveWithCells="1" sizeWithCells="1">
              <from>
                <xdr:col>7</xdr:col>
                <xdr:colOff>9525</xdr:colOff>
                <xdr:row>2</xdr:row>
                <xdr:rowOff>228600</xdr:rowOff>
              </from>
              <to>
                <xdr:col>8</xdr:col>
                <xdr:colOff>1009650</xdr:colOff>
                <xdr:row>4</xdr:row>
                <xdr:rowOff>152400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ragen">
    <tabColor indexed="51"/>
    <pageSetUpPr fitToPage="1"/>
  </sheetPr>
  <dimension ref="A1:L547"/>
  <sheetViews>
    <sheetView showGridLines="0" tabSelected="1" zoomScaleNormal="100" workbookViewId="0">
      <pane xSplit="2" ySplit="9" topLeftCell="C360" activePane="bottomRight" state="frozen"/>
      <selection activeCell="B5" sqref="B5"/>
      <selection pane="topRight" activeCell="B5" sqref="B5"/>
      <selection pane="bottomLeft" activeCell="B5" sqref="B5"/>
      <selection pane="bottomRight" activeCell="P19" sqref="P19"/>
    </sheetView>
  </sheetViews>
  <sheetFormatPr baseColWidth="10" defaultColWidth="11.42578125" defaultRowHeight="12.75"/>
  <cols>
    <col min="1" max="1" width="13.28515625" style="745" customWidth="1"/>
    <col min="2" max="2" width="4.28515625" style="746" customWidth="1"/>
    <col min="3" max="3" width="81.140625" style="636" customWidth="1"/>
    <col min="4" max="4" width="6.42578125" style="637" customWidth="1"/>
    <col min="5" max="5" width="50.5703125" style="636" customWidth="1"/>
    <col min="6" max="6" width="7.7109375" customWidth="1"/>
    <col min="7" max="10" width="3.7109375" customWidth="1"/>
    <col min="12" max="12" width="10.7109375" hidden="1" customWidth="1"/>
  </cols>
  <sheetData>
    <row r="1" spans="1:12" ht="3.75" customHeight="1" thickBot="1">
      <c r="A1"/>
      <c r="B1"/>
      <c r="C1"/>
      <c r="D1"/>
      <c r="E1"/>
    </row>
    <row r="2" spans="1:12" ht="20.25" customHeight="1" thickTop="1">
      <c r="A2" s="789" t="s">
        <v>533</v>
      </c>
      <c r="B2" s="1157" t="s">
        <v>207</v>
      </c>
      <c r="C2" s="629" t="str">
        <f>VLOOKUP(pos(C2),'Language-Sprachen'!$A$200:$G$461,'Language-Sprachen'!$A$3,0)</f>
        <v>Process Audit</v>
      </c>
      <c r="D2" s="630"/>
      <c r="E2" s="790" t="str">
        <f>'Input Form'!B9&amp;" "&amp;'Input Form'!C9</f>
        <v>Order No.: 29885</v>
      </c>
      <c r="G2" s="1169" t="str">
        <f>IF(ISBLANK('Input Form'!C34),"--",'Input Form'!C34)</f>
        <v>--</v>
      </c>
      <c r="H2" s="1172" t="str">
        <f>IF(ISBLANK('Input Form'!D34),"--",'Input Form'!D34)</f>
        <v>--</v>
      </c>
      <c r="I2" s="1172" t="str">
        <f>IF(ISBLANK('Input Form'!E34),"--",'Input Form'!E34)</f>
        <v>--</v>
      </c>
      <c r="J2" s="1160" t="str">
        <f>IF(ISBLANK('Input Form'!F34),"--",'Input Form'!F34)</f>
        <v>--</v>
      </c>
      <c r="L2" s="3" t="str">
        <f>VLOOKUP(pos(L2),'Language-Sprachen'!$A$200:$G$461,'Language-Sprachen'!$A$3,0)</f>
        <v>Questions to be answered:</v>
      </c>
    </row>
    <row r="3" spans="1:12" ht="21.75" customHeight="1">
      <c r="A3" s="1128">
        <f>Evaluation!BB76</f>
        <v>0.87</v>
      </c>
      <c r="B3" s="1158"/>
      <c r="C3" s="631" t="str">
        <f>VLOOKUP(pos(C3),'Language-Sprachen'!$A$200:$G$461,'Language-Sprachen'!$A$3,0)</f>
        <v>Result of the VDA 6.3 Questionnaire for Process audits</v>
      </c>
      <c r="D3" s="632"/>
      <c r="E3" s="791" t="str">
        <f>'Input Form'!B10</f>
        <v>Date:</v>
      </c>
      <c r="G3" s="1170"/>
      <c r="H3" s="1173"/>
      <c r="I3" s="1173"/>
      <c r="J3" s="1161"/>
      <c r="L3" s="420" t="str">
        <f>VLOOKUP(pos(L3),'Language-Sprachen'!$A$200:$G$461,'Language-Sprachen'!$A$3,0)</f>
        <v>Questions answered:</v>
      </c>
    </row>
    <row r="4" spans="1:12" s="635" customFormat="1" ht="16.5" customHeight="1">
      <c r="A4" s="792" t="str">
        <f>Evaluation!BE76</f>
        <v>B</v>
      </c>
      <c r="B4" s="1158"/>
      <c r="C4" s="633" t="str">
        <f>'Input Form'!B19</f>
        <v>Supplier:</v>
      </c>
      <c r="D4" s="634"/>
      <c r="E4" s="793">
        <f>IF('Input Form'!C10=0,"",'Input Form'!C10)</f>
        <v>46069</v>
      </c>
      <c r="F4"/>
      <c r="G4" s="1170"/>
      <c r="H4" s="1173"/>
      <c r="I4" s="1173"/>
      <c r="J4" s="1161"/>
      <c r="L4" s="3" t="str">
        <f>VLOOKUP(pos(L4),'Language-Sprachen'!$A$200:$G$461,'Language-Sprachen'!$A$3,0)</f>
        <v>All questions rated with 10 points</v>
      </c>
    </row>
    <row r="5" spans="1:12" ht="2.25" customHeight="1">
      <c r="A5" s="794"/>
      <c r="B5" s="1158"/>
      <c r="E5" s="795"/>
      <c r="G5" s="1170"/>
      <c r="H5" s="1173"/>
      <c r="I5" s="1173"/>
      <c r="J5" s="1161"/>
    </row>
    <row r="6" spans="1:12" ht="2.25" customHeight="1">
      <c r="A6" s="794"/>
      <c r="B6" s="1158"/>
      <c r="C6" s="638"/>
      <c r="D6" s="639"/>
      <c r="E6" s="796"/>
      <c r="G6" s="1170"/>
      <c r="H6" s="1173"/>
      <c r="I6" s="1173"/>
      <c r="J6" s="1161"/>
    </row>
    <row r="7" spans="1:12" ht="15.75" thickBot="1">
      <c r="A7" s="797"/>
      <c r="B7" s="1159"/>
      <c r="C7" s="798" t="str">
        <f>IF('Input Form'!C19=0,"",'Input Form'!C19)</f>
        <v>COMPONENTES Y CONJUNTOS SA</v>
      </c>
      <c r="D7" s="799"/>
      <c r="E7" s="800"/>
      <c r="G7" s="1170"/>
      <c r="H7" s="1173"/>
      <c r="I7" s="1173"/>
      <c r="J7" s="1161"/>
      <c r="L7" s="3" t="str">
        <f>VLOOKUP(pos(L7),'Language-Sprachen'!$A$200:$G$461,'Language-Sprachen'!$A$3,0)</f>
        <v>Clear questionnaire</v>
      </c>
    </row>
    <row r="8" spans="1:12" ht="38.25" customHeight="1" thickBot="1">
      <c r="A8" s="640"/>
      <c r="B8" s="641"/>
      <c r="C8" s="642"/>
      <c r="E8" s="788"/>
      <c r="F8" s="1167" t="str">
        <f>Actionplan!I10</f>
        <v>Immediate action (x)</v>
      </c>
      <c r="G8" s="1170"/>
      <c r="H8" s="1173"/>
      <c r="I8" s="1173"/>
      <c r="J8" s="1161"/>
    </row>
    <row r="9" spans="1:12" s="635" customFormat="1" ht="34.5" customHeight="1" thickBot="1">
      <c r="A9" s="643" t="str">
        <f>VLOOKUP(pos(A9),'Language-Sprachen'!$A$200:$G$461,'Language-Sprachen'!$A$3,0)</f>
        <v>No.</v>
      </c>
      <c r="B9" s="644" t="str">
        <f>VLOOKUP(pos(B9),'Language-Sprachen'!$A$200:$G$461,'Language-Sprachen'!$A$3,0)</f>
        <v>Type</v>
      </c>
      <c r="C9" s="645" t="str">
        <f>VLOOKUP(pos(C9),'Language-Sprachen'!$A$200:$G$461,'Language-Sprachen'!$A$3,0)</f>
        <v>Question</v>
      </c>
      <c r="D9" s="646"/>
      <c r="E9" s="879" t="str">
        <f>VLOOKUP(pos(E9),'Language-Sprachen'!$A$200:$G$461,'Language-Sprachen'!$A$3,0)</f>
        <v>Audit results</v>
      </c>
      <c r="F9" s="1168"/>
      <c r="G9" s="1171"/>
      <c r="H9" s="1174"/>
      <c r="I9" s="1174"/>
      <c r="J9" s="1162"/>
    </row>
    <row r="10" spans="1:12" ht="15.75" hidden="1" customHeight="1">
      <c r="A10" s="647"/>
      <c r="B10" s="784"/>
      <c r="C10" s="648"/>
      <c r="D10" s="786"/>
      <c r="E10" s="649"/>
      <c r="G10" s="862"/>
      <c r="H10" s="863"/>
      <c r="I10" s="863"/>
      <c r="J10" s="864"/>
    </row>
    <row r="11" spans="1:12" ht="16.5" hidden="1" customHeight="1" thickBot="1">
      <c r="A11" s="781"/>
      <c r="B11" s="785"/>
      <c r="C11" s="782"/>
      <c r="D11" s="787"/>
      <c r="E11" s="783"/>
      <c r="G11" s="865"/>
      <c r="H11" s="479"/>
      <c r="I11" s="479"/>
      <c r="J11" s="866"/>
    </row>
    <row r="12" spans="1:12" s="635" customFormat="1" ht="73.5" customHeight="1" thickBot="1">
      <c r="A12" s="650" t="s">
        <v>138</v>
      </c>
      <c r="B12" s="651">
        <f>Evaluation!epm</f>
        <v>0.83</v>
      </c>
      <c r="C12" s="652" t="str">
        <f>VLOOKUP(pos(C12),'Language-Sprachen'!$A$200:$G$461,'Language-Sprachen'!$A$3,0)</f>
        <v>Project management</v>
      </c>
      <c r="D12" s="780" t="str">
        <f>VLOOKUP(pos(D12),'Language-Sprachen'!$A$200:$G$461,'Language-Sprachen'!$A$3,0)</f>
        <v>General</v>
      </c>
      <c r="E12" s="654" t="str">
        <f>L2&amp;" "&amp;Evaluation!BN8&amp;"
"&amp;L3&amp;" "&amp;Evaluation!BM8&amp;" /  7"</f>
        <v>Questions to be answered: 5
Questions answered: 7 /  7</v>
      </c>
      <c r="F12" s="873"/>
      <c r="G12" s="865"/>
      <c r="H12" s="479"/>
      <c r="I12" s="479"/>
      <c r="J12" s="866"/>
    </row>
    <row r="13" spans="1:12" s="635" customFormat="1" ht="60.75">
      <c r="A13" s="655" t="s">
        <v>56</v>
      </c>
      <c r="B13" s="656"/>
      <c r="C13" s="657" t="str">
        <f>VLOOKUP(pos(C13),'Language-Sprachen'!$A$200:$G$461,'Language-Sprachen'!$A$3,0)</f>
        <v>Is a project management established with a project organisation?</v>
      </c>
      <c r="D13" s="289">
        <v>8</v>
      </c>
      <c r="E13" s="1126" t="s">
        <v>1174</v>
      </c>
      <c r="F13" s="877"/>
      <c r="G13" s="865"/>
      <c r="H13" s="479"/>
      <c r="I13" s="479"/>
      <c r="J13" s="866"/>
      <c r="L13" s="635" t="s">
        <v>493</v>
      </c>
    </row>
    <row r="14" spans="1:12" s="635" customFormat="1" ht="30">
      <c r="A14" s="658" t="s">
        <v>186</v>
      </c>
      <c r="B14" s="656"/>
      <c r="C14" s="659" t="str">
        <f>VLOOKUP(pos(C14),'Language-Sprachen'!$A$200:$G$461,'Language-Sprachen'!$A$3,0)</f>
        <v>Are all resources required for the project implementation planned and available and are changes reported?</v>
      </c>
      <c r="D14" s="289">
        <v>8</v>
      </c>
      <c r="E14" s="1126" t="s">
        <v>1175</v>
      </c>
      <c r="F14" s="877"/>
      <c r="G14" s="865"/>
      <c r="H14" s="479"/>
      <c r="I14" s="479"/>
      <c r="J14" s="866"/>
      <c r="L14" s="635" t="s">
        <v>1094</v>
      </c>
    </row>
    <row r="15" spans="1:12" s="635" customFormat="1" ht="15.75">
      <c r="A15" s="658" t="s">
        <v>188</v>
      </c>
      <c r="B15" s="656"/>
      <c r="C15" s="657" t="str">
        <f>VLOOKUP(pos(C15),'Language-Sprachen'!$A$200:$G$461,'Language-Sprachen'!$A$3,0)</f>
        <v>Is there a project plan and has this been agreed with the customer?</v>
      </c>
      <c r="D15" s="289">
        <v>8</v>
      </c>
      <c r="E15" s="1126" t="s">
        <v>1176</v>
      </c>
      <c r="F15" s="877"/>
      <c r="G15" s="865"/>
      <c r="H15" s="479"/>
      <c r="I15" s="479"/>
      <c r="J15" s="866"/>
      <c r="L15" s="635" t="s">
        <v>760</v>
      </c>
    </row>
    <row r="16" spans="1:12" s="635" customFormat="1" ht="60">
      <c r="A16" s="658" t="s">
        <v>106</v>
      </c>
      <c r="B16" s="656"/>
      <c r="C16" s="657" t="str">
        <f>VLOOKUP(pos(C16),'Language-Sprachen'!$A$200:$G$461,'Language-Sprachen'!$A$3,0)</f>
        <v>Is the advanced product quality planning implemented within the project and monitored for compliance?</v>
      </c>
      <c r="D16" s="289">
        <v>8</v>
      </c>
      <c r="E16" s="1126" t="s">
        <v>1177</v>
      </c>
      <c r="F16" s="877"/>
      <c r="G16" s="865"/>
      <c r="H16" s="479"/>
      <c r="I16" s="479"/>
      <c r="J16" s="866"/>
    </row>
    <row r="17" spans="1:10" s="635" customFormat="1" ht="30">
      <c r="A17" s="660" t="s">
        <v>190</v>
      </c>
      <c r="B17" s="661" t="s">
        <v>10</v>
      </c>
      <c r="C17" s="657" t="str">
        <f>VLOOKUP(pos(C17),'Language-Sprachen'!$A$200:$G$461,'Language-Sprachen'!$A$3,0)</f>
        <v>Are the procurement activities of the project implemented and monitored for compliance?</v>
      </c>
      <c r="D17" s="289">
        <v>8</v>
      </c>
      <c r="E17" s="1126" t="str">
        <f>IF((D362="n.e."),$L$13,IF(D362=10,$L$14,$L$15))</f>
        <v>Description of non conformance (mandatory)</v>
      </c>
      <c r="F17" s="877"/>
      <c r="G17" s="865"/>
      <c r="H17" s="479"/>
      <c r="I17" s="479"/>
      <c r="J17" s="866"/>
    </row>
    <row r="18" spans="1:10" s="635" customFormat="1" ht="106.5">
      <c r="A18" s="660" t="s">
        <v>191</v>
      </c>
      <c r="B18" s="661" t="s">
        <v>10</v>
      </c>
      <c r="C18" s="657" t="str">
        <f>VLOOKUP(pos(C18),'Language-Sprachen'!$A$200:$G$461,'Language-Sprachen'!$A$3,0)</f>
        <v xml:space="preserve">Is change management within the project ensured by the project organisation?  </v>
      </c>
      <c r="D18" s="289">
        <v>8</v>
      </c>
      <c r="E18" s="1126" t="s">
        <v>1178</v>
      </c>
      <c r="F18" s="877"/>
      <c r="G18" s="865"/>
      <c r="H18" s="479"/>
      <c r="I18" s="479"/>
      <c r="J18" s="866"/>
    </row>
    <row r="19" spans="1:10" s="635" customFormat="1" ht="45.75" thickBot="1">
      <c r="A19" s="662" t="s">
        <v>192</v>
      </c>
      <c r="B19" s="663"/>
      <c r="C19" s="664" t="str">
        <f>VLOOKUP(pos(C19),'Language-Sprachen'!$A$200:$G$461,'Language-Sprachen'!$A$3,0)</f>
        <v>Is there an escalation process established and is this effectively implemented?</v>
      </c>
      <c r="D19" s="289">
        <v>10</v>
      </c>
      <c r="E19" s="1126" t="s">
        <v>1179</v>
      </c>
      <c r="F19" s="877"/>
      <c r="G19" s="865"/>
      <c r="H19" s="479"/>
      <c r="I19" s="479"/>
      <c r="J19" s="866"/>
    </row>
    <row r="20" spans="1:10" s="667" customFormat="1" ht="31.5" customHeight="1" thickBot="1">
      <c r="A20" s="1151" t="s">
        <v>139</v>
      </c>
      <c r="B20" s="668" t="e">
        <f>IF(Evaluation!BM14&lt;Evaluation!BN14,$D$382,epdp)</f>
        <v>#REF!</v>
      </c>
      <c r="C20" s="1153" t="str">
        <f>VLOOKUP(pos(C20),'Language-Sprachen'!$A$200:$G$461,'Language-Sprachen'!$A$3,0)</f>
        <v>Planning the product and process development</v>
      </c>
      <c r="D20" s="665" t="str">
        <f>VLOOKUP(pos(D20),'Language-Sprachen'!$A$200:$G$461,'Language-Sprachen'!$A$3,0)</f>
        <v>Pro-duct</v>
      </c>
      <c r="E20" s="666" t="str">
        <f>L2&amp;" "&amp;Evaluation!BN14&amp;"
"&amp;L3&amp;" "&amp;Evaluation!BM14&amp;" /  5"</f>
        <v>Questions to be answered: 4
Questions answered: 5 /  5</v>
      </c>
      <c r="F20" s="874"/>
      <c r="G20" s="865"/>
      <c r="H20" s="479"/>
      <c r="I20" s="479"/>
      <c r="J20" s="866"/>
    </row>
    <row r="21" spans="1:10" s="667" customFormat="1" ht="32.25" thickBot="1">
      <c r="A21" s="1152"/>
      <c r="B21" s="668">
        <f>IF(Evaluation!BS14&lt;Evaluation!BT14,$D$380,Evaluation!epzp)</f>
        <v>0.84</v>
      </c>
      <c r="C21" s="1154"/>
      <c r="D21" s="669" t="str">
        <f>VLOOKUP(pos(D21),'Language-Sprachen'!$A$200:$G$461,'Language-Sprachen'!$A$3,0)</f>
        <v>Pro-cess</v>
      </c>
      <c r="E21" s="670" t="str">
        <f>L2&amp;" "&amp;Evaluation!BT14&amp;"
"&amp;L3&amp;" "&amp;Evaluation!BS14&amp;" /  5"</f>
        <v>Questions to be answered: 4
Questions answered: 5 /  5</v>
      </c>
      <c r="F21" s="876"/>
      <c r="G21" s="865"/>
      <c r="H21" s="479"/>
      <c r="I21" s="479"/>
      <c r="J21" s="866"/>
    </row>
    <row r="22" spans="1:10" s="635" customFormat="1" ht="16.5" thickBot="1">
      <c r="A22" s="671" t="s">
        <v>112</v>
      </c>
      <c r="B22" s="672"/>
      <c r="C22" s="673" t="str">
        <f>VLOOKUP(pos(C22),'Language-Sprachen'!$A$200:$G$461,'Language-Sprachen'!$A$3,0)</f>
        <v>Are the specific product and process requirements available?</v>
      </c>
      <c r="D22" s="1165"/>
      <c r="E22" s="1166"/>
      <c r="F22" s="875"/>
      <c r="G22" s="865"/>
      <c r="H22" s="479"/>
      <c r="I22" s="479"/>
      <c r="J22" s="866"/>
    </row>
    <row r="23" spans="1:10" s="635" customFormat="1" ht="16.5" thickBot="1">
      <c r="A23" s="674"/>
      <c r="B23" s="675"/>
      <c r="C23" s="676" t="str">
        <f>SUBSTITUTE(D20,"-","")</f>
        <v>Product</v>
      </c>
      <c r="D23" s="290">
        <v>8</v>
      </c>
      <c r="E23" s="1126" t="s">
        <v>1180</v>
      </c>
      <c r="F23" s="877"/>
      <c r="G23" s="865"/>
      <c r="H23" s="479"/>
      <c r="I23" s="479"/>
      <c r="J23" s="866"/>
    </row>
    <row r="24" spans="1:10" s="635" customFormat="1" ht="16.5" thickBot="1">
      <c r="A24" s="677"/>
      <c r="B24" s="678"/>
      <c r="C24" s="679" t="str">
        <f>SUBSTITUTE(D21,"-","")</f>
        <v>Process</v>
      </c>
      <c r="D24" s="290">
        <v>8</v>
      </c>
      <c r="E24" s="1126" t="s">
        <v>1180</v>
      </c>
      <c r="F24" s="877"/>
      <c r="G24" s="865"/>
      <c r="H24" s="479"/>
      <c r="I24" s="479"/>
      <c r="J24" s="866"/>
    </row>
    <row r="25" spans="1:10" s="635" customFormat="1" ht="30.75" thickBot="1">
      <c r="A25" s="680" t="s">
        <v>113</v>
      </c>
      <c r="B25" s="681" t="s">
        <v>10</v>
      </c>
      <c r="C25" s="657" t="str">
        <f>VLOOKUP(pos(C25),'Language-Sprachen'!$A$200:$G$461,'Language-Sprachen'!$A$3,0)</f>
        <v>Is the feasibility comprehensively evaluated according to the product and process requirements?*</v>
      </c>
      <c r="D25" s="1175"/>
      <c r="E25" s="1176"/>
      <c r="F25" s="873"/>
      <c r="G25" s="865"/>
      <c r="H25" s="479"/>
      <c r="I25" s="479"/>
      <c r="J25" s="866"/>
    </row>
    <row r="26" spans="1:10" s="635" customFormat="1" ht="75">
      <c r="A26" s="682"/>
      <c r="B26" s="683"/>
      <c r="C26" s="676" t="str">
        <f>$C$23</f>
        <v>Product</v>
      </c>
      <c r="D26" s="289">
        <v>10</v>
      </c>
      <c r="E26" s="1126" t="s">
        <v>1181</v>
      </c>
      <c r="F26" s="877"/>
      <c r="G26" s="865"/>
      <c r="H26" s="479"/>
      <c r="I26" s="479"/>
      <c r="J26" s="866"/>
    </row>
    <row r="27" spans="1:10" s="635" customFormat="1" ht="30.75" thickBot="1">
      <c r="A27" s="684"/>
      <c r="B27" s="685"/>
      <c r="C27" s="679" t="str">
        <f>$C$24</f>
        <v>Process</v>
      </c>
      <c r="D27" s="290">
        <v>10</v>
      </c>
      <c r="E27" s="1126" t="s">
        <v>1182</v>
      </c>
      <c r="F27" s="877"/>
      <c r="G27" s="865"/>
      <c r="H27" s="479"/>
      <c r="I27" s="479"/>
      <c r="J27" s="866"/>
    </row>
    <row r="28" spans="1:10" s="635" customFormat="1" ht="16.5" thickBot="1">
      <c r="A28" s="686" t="s">
        <v>114</v>
      </c>
      <c r="B28" s="687"/>
      <c r="C28" s="657" t="str">
        <f>VLOOKUP(pos(C28),'Language-Sprachen'!$A$200:$G$461,'Language-Sprachen'!$A$3,0)</f>
        <v>Are the activities for the product and process development planned in detail?</v>
      </c>
      <c r="D28" s="1175"/>
      <c r="E28" s="1176"/>
      <c r="F28" s="873"/>
      <c r="G28" s="865"/>
      <c r="H28" s="479"/>
      <c r="I28" s="479"/>
      <c r="J28" s="866"/>
    </row>
    <row r="29" spans="1:10" s="635" customFormat="1" ht="16.5" thickBot="1">
      <c r="A29" s="674"/>
      <c r="B29" s="675"/>
      <c r="C29" s="676" t="str">
        <f>$C$23</f>
        <v>Product</v>
      </c>
      <c r="D29" s="290">
        <v>8</v>
      </c>
      <c r="E29" s="1126" t="s">
        <v>1183</v>
      </c>
      <c r="F29" s="877"/>
      <c r="G29" s="865"/>
      <c r="H29" s="479"/>
      <c r="I29" s="479"/>
      <c r="J29" s="866"/>
    </row>
    <row r="30" spans="1:10" s="635" customFormat="1" ht="16.5" thickBot="1">
      <c r="A30" s="677"/>
      <c r="B30" s="678"/>
      <c r="C30" s="676" t="str">
        <f>$C$24</f>
        <v>Process</v>
      </c>
      <c r="D30" s="290">
        <v>8</v>
      </c>
      <c r="E30" s="1126" t="s">
        <v>1184</v>
      </c>
      <c r="F30" s="877"/>
      <c r="G30" s="865"/>
      <c r="H30" s="479"/>
      <c r="I30" s="479"/>
      <c r="J30" s="866"/>
    </row>
    <row r="31" spans="1:10" s="635" customFormat="1" ht="30.75" thickBot="1">
      <c r="A31" s="686" t="s">
        <v>115</v>
      </c>
      <c r="B31" s="687"/>
      <c r="C31" s="657" t="str">
        <f>VLOOKUP(pos(C31),'Language-Sprachen'!$A$200:$G$461,'Language-Sprachen'!$A$3,0)</f>
        <v>Are the activities planned for customer care / customer satisfaction / customer service and field failure analysis?</v>
      </c>
      <c r="D31" s="1175"/>
      <c r="E31" s="1176"/>
      <c r="F31" s="873"/>
      <c r="G31" s="865"/>
      <c r="H31" s="479"/>
      <c r="I31" s="479"/>
      <c r="J31" s="866"/>
    </row>
    <row r="32" spans="1:10" s="635" customFormat="1" ht="16.5" thickBot="1">
      <c r="A32" s="674"/>
      <c r="B32" s="675"/>
      <c r="C32" s="676" t="str">
        <f>$C$23</f>
        <v>Product</v>
      </c>
      <c r="D32" s="290">
        <v>10</v>
      </c>
      <c r="E32" s="1126" t="str">
        <f>IF((D32="n.e."),$L$13,IF(D32=10,$L$14,$L$15))</f>
        <v>No weakness identified</v>
      </c>
      <c r="F32" s="877"/>
      <c r="G32" s="865"/>
      <c r="H32" s="479"/>
      <c r="I32" s="479"/>
      <c r="J32" s="866"/>
    </row>
    <row r="33" spans="1:10" s="635" customFormat="1" ht="90.75" thickBot="1">
      <c r="A33" s="677"/>
      <c r="B33" s="678"/>
      <c r="C33" s="679" t="str">
        <f>$C$24</f>
        <v>Process</v>
      </c>
      <c r="D33" s="290">
        <v>6</v>
      </c>
      <c r="E33" s="1126" t="s">
        <v>1185</v>
      </c>
      <c r="F33" s="877"/>
      <c r="G33" s="865"/>
      <c r="H33" s="479"/>
      <c r="I33" s="479"/>
      <c r="J33" s="866"/>
    </row>
    <row r="34" spans="1:10" s="635" customFormat="1" ht="30.75" thickBot="1">
      <c r="A34" s="686" t="s">
        <v>116</v>
      </c>
      <c r="B34" s="687"/>
      <c r="C34" s="657" t="str">
        <f>VLOOKUP(pos(C34),'Language-Sprachen'!$A$200:$G$461,'Language-Sprachen'!$A$3,0)</f>
        <v>Have the necessary resources been taken into account for the product and process development?</v>
      </c>
      <c r="D34" s="1175"/>
      <c r="E34" s="1176"/>
      <c r="F34" s="873"/>
      <c r="G34" s="865"/>
      <c r="H34" s="479"/>
      <c r="I34" s="479"/>
      <c r="J34" s="866"/>
    </row>
    <row r="35" spans="1:10" s="635" customFormat="1" ht="16.5" thickBot="1">
      <c r="A35" s="674"/>
      <c r="B35" s="675"/>
      <c r="C35" s="676" t="str">
        <f>$C$23</f>
        <v>Product</v>
      </c>
      <c r="D35" s="290">
        <v>10</v>
      </c>
      <c r="E35" s="1126" t="s">
        <v>1186</v>
      </c>
      <c r="F35" s="877"/>
      <c r="G35" s="865"/>
      <c r="H35" s="479"/>
      <c r="I35" s="479"/>
      <c r="J35" s="866"/>
    </row>
    <row r="36" spans="1:10" s="635" customFormat="1" ht="16.5" thickBot="1">
      <c r="A36" s="677"/>
      <c r="B36" s="678"/>
      <c r="C36" s="679" t="str">
        <f>$C$24</f>
        <v>Process</v>
      </c>
      <c r="D36" s="290">
        <v>10</v>
      </c>
      <c r="E36" s="1126" t="s">
        <v>1186</v>
      </c>
      <c r="F36" s="877"/>
      <c r="G36" s="865"/>
      <c r="H36" s="479"/>
      <c r="I36" s="479"/>
      <c r="J36" s="866"/>
    </row>
    <row r="37" spans="1:10" s="667" customFormat="1" ht="32.25" thickBot="1">
      <c r="A37" s="1155" t="s">
        <v>140</v>
      </c>
      <c r="B37" s="688" t="s">
        <v>740</v>
      </c>
      <c r="C37" s="1153" t="str">
        <f>VLOOKUP(pos(C37),'Language-Sprachen'!$A$200:$G$461,'Language-Sprachen'!$A$3,0)</f>
        <v>Implementation of the product and process development</v>
      </c>
      <c r="D37" s="665" t="str">
        <f>D20</f>
        <v>Pro-duct</v>
      </c>
      <c r="E37" s="666" t="str">
        <f>L2&amp;" "&amp;Evaluation!BN22&amp;"
"&amp;L3&amp;" "&amp;Evaluation!BM22&amp;" /  6"</f>
        <v>Questions to be answered: 4
Questions answered: 6 /  6</v>
      </c>
      <c r="F37" s="874"/>
      <c r="G37" s="865"/>
      <c r="H37" s="479"/>
      <c r="I37" s="479"/>
      <c r="J37" s="866"/>
    </row>
    <row r="38" spans="1:10" s="667" customFormat="1" ht="32.25" thickBot="1">
      <c r="A38" s="1156"/>
      <c r="B38" s="688" t="s">
        <v>740</v>
      </c>
      <c r="C38" s="1154"/>
      <c r="D38" s="669" t="str">
        <f>D21</f>
        <v>Pro-cess</v>
      </c>
      <c r="E38" s="689" t="str">
        <f>L2&amp;" "&amp;Evaluation!BT22&amp;"
"&amp;L3&amp;" "&amp;Evaluation!BS22&amp;" /  8"</f>
        <v>Questions to be answered: 6
Questions answered: 8 /  8</v>
      </c>
      <c r="F38" s="876"/>
      <c r="G38" s="865"/>
      <c r="H38" s="479"/>
      <c r="I38" s="479"/>
      <c r="J38" s="866"/>
    </row>
    <row r="39" spans="1:10" s="635" customFormat="1" ht="30.75" thickBot="1">
      <c r="A39" s="690" t="s">
        <v>119</v>
      </c>
      <c r="B39" s="691" t="s">
        <v>10</v>
      </c>
      <c r="C39" s="673" t="str">
        <f>VLOOKUP(pos(C39),'Language-Sprachen'!$A$200:$G$461,'Language-Sprachen'!$A$3,0)</f>
        <v>Are the actions from the product and process development plans implemented?</v>
      </c>
      <c r="D39" s="1165"/>
      <c r="E39" s="1166"/>
      <c r="F39" s="875"/>
      <c r="G39" s="865"/>
      <c r="H39" s="479"/>
      <c r="I39" s="479"/>
      <c r="J39" s="866"/>
    </row>
    <row r="40" spans="1:10" s="635" customFormat="1" ht="15.75">
      <c r="A40" s="692"/>
      <c r="B40" s="693"/>
      <c r="C40" s="676" t="str">
        <f>$C$23</f>
        <v>Product</v>
      </c>
      <c r="D40" s="326">
        <v>8</v>
      </c>
      <c r="E40" s="1126" t="s">
        <v>1187</v>
      </c>
      <c r="F40" s="877"/>
      <c r="G40" s="865"/>
      <c r="H40" s="479"/>
      <c r="I40" s="479"/>
      <c r="J40" s="866"/>
    </row>
    <row r="41" spans="1:10" s="635" customFormat="1" ht="16.5" thickBot="1">
      <c r="A41" s="694"/>
      <c r="B41" s="695"/>
      <c r="C41" s="679" t="str">
        <f>$C$24</f>
        <v>Process</v>
      </c>
      <c r="D41" s="327">
        <v>8</v>
      </c>
      <c r="E41" s="1126" t="s">
        <v>1187</v>
      </c>
      <c r="F41" s="877"/>
      <c r="G41" s="865"/>
      <c r="H41" s="479"/>
      <c r="I41" s="479"/>
      <c r="J41" s="866"/>
    </row>
    <row r="42" spans="1:10" s="635" customFormat="1" ht="30.75" thickBot="1">
      <c r="A42" s="671" t="s">
        <v>194</v>
      </c>
      <c r="B42" s="672"/>
      <c r="C42" s="673" t="str">
        <f>VLOOKUP(pos(C42),'Language-Sprachen'!$A$200:$G$461,'Language-Sprachen'!$A$3,0)</f>
        <v>Are personnel resources available and are they qualified to ensure the start of the serial production?</v>
      </c>
      <c r="D42" s="1165"/>
      <c r="E42" s="1166"/>
      <c r="F42" s="873"/>
      <c r="G42" s="865"/>
      <c r="H42" s="479"/>
      <c r="I42" s="479"/>
      <c r="J42" s="866"/>
    </row>
    <row r="43" spans="1:10" s="635" customFormat="1" ht="16.5" thickBot="1">
      <c r="A43" s="674"/>
      <c r="B43" s="675"/>
      <c r="C43" s="676" t="str">
        <f>$C$23</f>
        <v>Product</v>
      </c>
      <c r="D43" s="327">
        <v>8</v>
      </c>
      <c r="E43" s="1126" t="s">
        <v>1188</v>
      </c>
      <c r="F43" s="877"/>
      <c r="G43" s="865"/>
      <c r="H43" s="479"/>
      <c r="I43" s="479"/>
      <c r="J43" s="866"/>
    </row>
    <row r="44" spans="1:10" s="635" customFormat="1" ht="16.5" thickBot="1">
      <c r="A44" s="677"/>
      <c r="B44" s="678"/>
      <c r="C44" s="679" t="str">
        <f>$C$24</f>
        <v>Process</v>
      </c>
      <c r="D44" s="327">
        <v>8</v>
      </c>
      <c r="E44" s="1126" t="s">
        <v>1188</v>
      </c>
      <c r="F44" s="877"/>
      <c r="G44" s="865"/>
      <c r="H44" s="479"/>
      <c r="I44" s="479"/>
      <c r="J44" s="866"/>
    </row>
    <row r="45" spans="1:10" s="635" customFormat="1" ht="30.75" thickBot="1">
      <c r="A45" s="671" t="s">
        <v>195</v>
      </c>
      <c r="B45" s="672"/>
      <c r="C45" s="673" t="str">
        <f>VLOOKUP(pos(C45),'Language-Sprachen'!$A$200:$G$461,'Language-Sprachen'!$A$3,0)</f>
        <v>Are the material resources available and suitable to ensure the start of the serial production?</v>
      </c>
      <c r="D45" s="1165"/>
      <c r="E45" s="1166"/>
      <c r="F45" s="873"/>
      <c r="G45" s="865"/>
      <c r="H45" s="479"/>
      <c r="I45" s="479"/>
      <c r="J45" s="866"/>
    </row>
    <row r="46" spans="1:10" s="635" customFormat="1" ht="16.5" thickBot="1">
      <c r="A46" s="674"/>
      <c r="B46" s="675"/>
      <c r="C46" s="676" t="str">
        <f>$C$23</f>
        <v>Product</v>
      </c>
      <c r="D46" s="327">
        <v>10</v>
      </c>
      <c r="E46" s="1126" t="s">
        <v>1189</v>
      </c>
      <c r="F46" s="877"/>
      <c r="G46" s="865"/>
      <c r="H46" s="479"/>
      <c r="I46" s="479"/>
      <c r="J46" s="866"/>
    </row>
    <row r="47" spans="1:10" s="635" customFormat="1" ht="16.5" thickBot="1">
      <c r="A47" s="677"/>
      <c r="B47" s="678"/>
      <c r="C47" s="679" t="str">
        <f>$C$24</f>
        <v>Process</v>
      </c>
      <c r="D47" s="327">
        <v>10</v>
      </c>
      <c r="E47" s="1126" t="s">
        <v>1189</v>
      </c>
      <c r="F47" s="877"/>
      <c r="G47" s="865"/>
      <c r="H47" s="479"/>
      <c r="I47" s="479"/>
      <c r="J47" s="866"/>
    </row>
    <row r="48" spans="1:10" s="635" customFormat="1" ht="30.75" thickBot="1">
      <c r="A48" s="690" t="s">
        <v>196</v>
      </c>
      <c r="B48" s="691" t="s">
        <v>10</v>
      </c>
      <c r="C48" s="673" t="str">
        <f>VLOOKUP(pos(C48),'Language-Sprachen'!$A$200:$G$461,'Language-Sprachen'!$A$3,0)</f>
        <v>Are the required approvals and releases for the product and process development available?</v>
      </c>
      <c r="D48" s="1165"/>
      <c r="E48" s="1166"/>
      <c r="F48" s="873"/>
      <c r="G48" s="865"/>
      <c r="H48" s="479"/>
      <c r="I48" s="479"/>
      <c r="J48" s="866"/>
    </row>
    <row r="49" spans="1:10" s="635" customFormat="1" ht="15.75">
      <c r="A49" s="692"/>
      <c r="B49" s="693"/>
      <c r="C49" s="676" t="str">
        <f>$C$23</f>
        <v>Product</v>
      </c>
      <c r="D49" s="326">
        <v>10</v>
      </c>
      <c r="E49" s="1126" t="str">
        <f>IF((D49="n.e."),$L$13,IF(D49=10,$L$14,$L$15))</f>
        <v>No weakness identified</v>
      </c>
      <c r="F49" s="877"/>
      <c r="G49" s="865"/>
      <c r="H49" s="479"/>
      <c r="I49" s="479"/>
      <c r="J49" s="866"/>
    </row>
    <row r="50" spans="1:10" s="635" customFormat="1" ht="16.5" thickBot="1">
      <c r="A50" s="694"/>
      <c r="B50" s="695"/>
      <c r="C50" s="679" t="str">
        <f>$C$24</f>
        <v>Process</v>
      </c>
      <c r="D50" s="327">
        <v>6</v>
      </c>
      <c r="E50" s="1126" t="s">
        <v>1190</v>
      </c>
      <c r="F50" s="877"/>
      <c r="G50" s="865"/>
      <c r="H50" s="479"/>
      <c r="I50" s="479"/>
      <c r="J50" s="866"/>
    </row>
    <row r="51" spans="1:10" s="635" customFormat="1" ht="30.75" thickBot="1">
      <c r="A51" s="655" t="s">
        <v>197</v>
      </c>
      <c r="B51" s="656"/>
      <c r="C51" s="696" t="str">
        <f>VLOOKUP(pos(C51),'Language-Sprachen'!$A$200:$G$461,'Language-Sprachen'!$A$3,0)</f>
        <v>Are the manufacturing and inspection specifications derived from the product and process development and are they implemented?</v>
      </c>
      <c r="D51" s="1165"/>
      <c r="E51" s="1166"/>
      <c r="F51" s="873"/>
      <c r="G51" s="865"/>
      <c r="H51" s="479"/>
      <c r="I51" s="479"/>
      <c r="J51" s="866"/>
    </row>
    <row r="52" spans="1:10" s="635" customFormat="1" ht="16.5" thickBot="1">
      <c r="A52" s="655"/>
      <c r="B52" s="656"/>
      <c r="C52" s="676" t="str">
        <f>$C$23</f>
        <v>Product</v>
      </c>
      <c r="D52" s="559">
        <v>10</v>
      </c>
      <c r="E52" s="1126" t="s">
        <v>1191</v>
      </c>
      <c r="F52" s="877"/>
      <c r="G52" s="865"/>
      <c r="H52" s="479"/>
      <c r="I52" s="479"/>
      <c r="J52" s="866"/>
    </row>
    <row r="53" spans="1:10" s="635" customFormat="1" ht="16.5" thickBot="1">
      <c r="A53" s="655"/>
      <c r="B53" s="656"/>
      <c r="C53" s="676" t="str">
        <f>$C$24</f>
        <v>Process</v>
      </c>
      <c r="D53" s="559">
        <v>10</v>
      </c>
      <c r="E53" s="1126" t="s">
        <v>1191</v>
      </c>
      <c r="F53" s="877"/>
      <c r="G53" s="865"/>
      <c r="H53" s="479"/>
      <c r="I53" s="479"/>
      <c r="J53" s="866"/>
    </row>
    <row r="54" spans="1:10" s="635" customFormat="1" ht="30.75" thickBot="1">
      <c r="A54" s="671" t="s">
        <v>198</v>
      </c>
      <c r="B54" s="672"/>
      <c r="C54" s="673" t="str">
        <f>VLOOKUP(pos(C54),'Language-Sprachen'!$A$200:$G$461,'Language-Sprachen'!$A$3,0)</f>
        <v>Is a performance test carried out under series conditions for the series release?</v>
      </c>
      <c r="D54" s="1165"/>
      <c r="E54" s="1166"/>
      <c r="F54" s="873"/>
      <c r="G54" s="865"/>
      <c r="H54" s="479"/>
      <c r="I54" s="479"/>
      <c r="J54" s="866"/>
    </row>
    <row r="55" spans="1:10" s="635" customFormat="1" ht="16.5" thickBot="1">
      <c r="A55" s="677"/>
      <c r="B55" s="678"/>
      <c r="C55" s="679" t="str">
        <f>$C$24</f>
        <v>Process</v>
      </c>
      <c r="D55" s="559">
        <v>8</v>
      </c>
      <c r="E55" s="1126" t="s">
        <v>1192</v>
      </c>
      <c r="F55" s="877"/>
      <c r="G55" s="865"/>
      <c r="H55" s="479"/>
      <c r="I55" s="479"/>
      <c r="J55" s="866"/>
    </row>
    <row r="56" spans="1:10" s="635" customFormat="1" ht="30.75" thickBot="1">
      <c r="A56" s="671" t="s">
        <v>199</v>
      </c>
      <c r="B56" s="820"/>
      <c r="C56" s="673" t="str">
        <f>VLOOKUP(pos(C56),'Language-Sprachen'!$A$200:$G$461,'Language-Sprachen'!$A$3,0)</f>
        <v>Are the processes established for securing customer care / customer satisfaction / customer service as well as the field failure analysis?</v>
      </c>
      <c r="D56" s="1165"/>
      <c r="E56" s="1166"/>
      <c r="F56" s="873"/>
      <c r="G56" s="865"/>
      <c r="H56" s="479"/>
      <c r="I56" s="479"/>
      <c r="J56" s="866"/>
    </row>
    <row r="57" spans="1:10" s="635" customFormat="1" ht="92.25" thickBot="1">
      <c r="A57" s="677"/>
      <c r="B57" s="678"/>
      <c r="C57" s="679" t="str">
        <f>$C$24</f>
        <v>Process</v>
      </c>
      <c r="D57" s="559">
        <v>6</v>
      </c>
      <c r="E57" s="1126" t="s">
        <v>1193</v>
      </c>
      <c r="F57" s="877"/>
      <c r="G57" s="865"/>
      <c r="H57" s="479"/>
      <c r="I57" s="479"/>
      <c r="J57" s="866"/>
    </row>
    <row r="58" spans="1:10" s="635" customFormat="1" ht="30.75" thickBot="1">
      <c r="A58" s="805" t="s">
        <v>642</v>
      </c>
      <c r="B58" s="691" t="s">
        <v>10</v>
      </c>
      <c r="C58" s="673" t="str">
        <f>VLOOKUP(pos(C58),'Language-Sprachen'!$A$200:$G$461,'Language-Sprachen'!$A$3,0)</f>
        <v>Is there a controlled method for the product handover from development to serial production?</v>
      </c>
      <c r="D58" s="1165"/>
      <c r="E58" s="1166"/>
      <c r="F58" s="873"/>
      <c r="G58" s="865"/>
      <c r="H58" s="479"/>
      <c r="I58" s="479"/>
      <c r="J58" s="866"/>
    </row>
    <row r="59" spans="1:10" s="635" customFormat="1" ht="15.75">
      <c r="A59" s="697"/>
      <c r="B59" s="698"/>
      <c r="C59" s="676" t="str">
        <f>$C$23</f>
        <v>Product</v>
      </c>
      <c r="D59" s="560">
        <v>10</v>
      </c>
      <c r="E59" s="1126" t="s">
        <v>1194</v>
      </c>
      <c r="F59" s="877"/>
      <c r="G59" s="865"/>
      <c r="H59" s="479"/>
      <c r="I59" s="479"/>
      <c r="J59" s="866"/>
    </row>
    <row r="60" spans="1:10" s="635" customFormat="1" ht="16.5" thickBot="1">
      <c r="A60" s="694"/>
      <c r="B60" s="695"/>
      <c r="C60" s="679" t="str">
        <f>$C$24</f>
        <v>Process</v>
      </c>
      <c r="D60" s="559">
        <v>10</v>
      </c>
      <c r="E60" s="1126" t="s">
        <v>1194</v>
      </c>
      <c r="F60" s="877"/>
      <c r="G60" s="865"/>
      <c r="H60" s="479"/>
      <c r="I60" s="479"/>
      <c r="J60" s="866"/>
    </row>
    <row r="61" spans="1:10" s="667" customFormat="1" ht="51.75" thickBot="1">
      <c r="A61" s="699" t="s">
        <v>141</v>
      </c>
      <c r="B61" s="700">
        <f>Evaluation!elm</f>
        <v>0.94</v>
      </c>
      <c r="C61" s="701" t="str">
        <f>VLOOKUP(pos(C61),'Language-Sprachen'!$A$200:$G$461,'Language-Sprachen'!$A$3,0)</f>
        <v xml:space="preserve">Supplier Management </v>
      </c>
      <c r="D61" s="653" t="str">
        <f>D12</f>
        <v>General</v>
      </c>
      <c r="E61" s="702" t="str">
        <f>L2&amp;" "&amp;Evaluation!BN29&amp;"
"&amp;L3&amp;" "&amp;Evaluation!BM29&amp;" /  7"</f>
        <v>Questions to be answered: 5
Questions answered: 7 /  7</v>
      </c>
      <c r="F61" s="873"/>
      <c r="G61" s="865"/>
      <c r="H61" s="479"/>
      <c r="I61" s="479"/>
      <c r="J61" s="866"/>
    </row>
    <row r="62" spans="1:10" s="635" customFormat="1" ht="106.5" thickBot="1">
      <c r="A62" s="703" t="s">
        <v>95</v>
      </c>
      <c r="B62" s="663"/>
      <c r="C62" s="704" t="str">
        <f>VLOOKUP(pos(C62),'Language-Sprachen'!$A$200:$G$461,'Language-Sprachen'!$A$3,0)</f>
        <v xml:space="preserve">Are only approved and quality capable suppliers selected? </v>
      </c>
      <c r="D62" s="288">
        <v>6</v>
      </c>
      <c r="E62" s="1126" t="s">
        <v>1195</v>
      </c>
      <c r="F62" s="877"/>
      <c r="G62" s="865"/>
      <c r="H62" s="479"/>
      <c r="I62" s="479"/>
      <c r="J62" s="866"/>
    </row>
    <row r="63" spans="1:10" s="635" customFormat="1" ht="16.5" thickBot="1">
      <c r="A63" s="658" t="s">
        <v>159</v>
      </c>
      <c r="B63" s="705"/>
      <c r="C63" s="659" t="str">
        <f>VLOOKUP(pos(C63),'Language-Sprachen'!$A$200:$G$461,'Language-Sprachen'!$A$3,0)</f>
        <v xml:space="preserve">Are the customer's requirements taken into account in the supply chain? </v>
      </c>
      <c r="D63" s="288">
        <v>10</v>
      </c>
      <c r="E63" s="1126" t="str">
        <f t="shared" ref="E63:E68" si="0">IF((D63="n.e."),$L$13,IF(D63=10,$L$14,$L$15))</f>
        <v>No weakness identified</v>
      </c>
      <c r="F63" s="877"/>
      <c r="G63" s="865"/>
      <c r="H63" s="479"/>
      <c r="I63" s="479"/>
      <c r="J63" s="866"/>
    </row>
    <row r="64" spans="1:10" s="635" customFormat="1" ht="30.75" thickBot="1">
      <c r="A64" s="703" t="s">
        <v>160</v>
      </c>
      <c r="B64" s="663"/>
      <c r="C64" s="706" t="str">
        <f>VLOOKUP(pos(C64),'Language-Sprachen'!$A$200:$G$461,'Language-Sprachen'!$A$3,0)</f>
        <v xml:space="preserve">Have target agreements for delivery performance been agreed with suppliers and implemented? </v>
      </c>
      <c r="D64" s="288">
        <v>10</v>
      </c>
      <c r="E64" s="1126" t="s">
        <v>1196</v>
      </c>
      <c r="F64" s="877"/>
      <c r="G64" s="865"/>
      <c r="H64" s="479"/>
      <c r="I64" s="479"/>
      <c r="J64" s="866"/>
    </row>
    <row r="65" spans="1:12" s="635" customFormat="1" ht="30.75" thickBot="1">
      <c r="A65" s="660" t="s">
        <v>161</v>
      </c>
      <c r="B65" s="707" t="s">
        <v>10</v>
      </c>
      <c r="C65" s="659" t="str">
        <f>VLOOKUP(pos(C65),'Language-Sprachen'!$A$200:$G$461,'Language-Sprachen'!$A$3,0)</f>
        <v xml:space="preserve">Are the necessary approvals/releases available for the outsourced products and services? </v>
      </c>
      <c r="D65" s="288">
        <v>10</v>
      </c>
      <c r="E65" s="1126" t="s">
        <v>1197</v>
      </c>
      <c r="F65" s="877"/>
      <c r="G65" s="865"/>
      <c r="H65" s="479"/>
      <c r="I65" s="479"/>
      <c r="J65" s="866"/>
    </row>
    <row r="66" spans="1:12" s="635" customFormat="1" ht="16.5" thickBot="1">
      <c r="A66" s="660" t="s">
        <v>164</v>
      </c>
      <c r="B66" s="707" t="s">
        <v>10</v>
      </c>
      <c r="C66" s="706" t="str">
        <f>VLOOKUP(pos(C66),'Language-Sprachen'!$A$200:$G$461,'Language-Sprachen'!$A$3,0)</f>
        <v xml:space="preserve">Is the quality of the outsourced products and services ensured? </v>
      </c>
      <c r="D66" s="288">
        <v>10</v>
      </c>
      <c r="E66" s="1126" t="str">
        <f>IF((D66="n.e."),$L$13,IF(D66=10,$L$14,$L$15))</f>
        <v>No weakness identified</v>
      </c>
      <c r="F66" s="877"/>
      <c r="G66" s="865"/>
      <c r="H66" s="479"/>
      <c r="I66" s="479"/>
      <c r="J66" s="866"/>
    </row>
    <row r="67" spans="1:12" s="635" customFormat="1" ht="16.5" thickBot="1">
      <c r="A67" s="658" t="s">
        <v>165</v>
      </c>
      <c r="B67" s="705"/>
      <c r="C67" s="659" t="str">
        <f>VLOOKUP(pos(C67),'Language-Sprachen'!$A$200:$G$461,'Language-Sprachen'!$A$3,0)</f>
        <v xml:space="preserve">Are incoming goods stored appropriately? </v>
      </c>
      <c r="D67" s="288">
        <v>10</v>
      </c>
      <c r="E67" s="1126" t="str">
        <f t="shared" si="0"/>
        <v>No weakness identified</v>
      </c>
      <c r="F67" s="877"/>
      <c r="G67" s="865"/>
      <c r="H67" s="479"/>
      <c r="I67" s="479"/>
      <c r="J67" s="866"/>
    </row>
    <row r="68" spans="1:12" s="635" customFormat="1" ht="16.5" thickBot="1">
      <c r="A68" s="703" t="s">
        <v>166</v>
      </c>
      <c r="B68" s="663"/>
      <c r="C68" s="664" t="str">
        <f>VLOOKUP(pos(C68),'Language-Sprachen'!$A$200:$G$461,'Language-Sprachen'!$A$3,0)</f>
        <v xml:space="preserve">Are personnel qualified for the various tasks and are responsibilities defined? </v>
      </c>
      <c r="D68" s="288">
        <v>10</v>
      </c>
      <c r="E68" s="1126" t="str">
        <f t="shared" si="0"/>
        <v>No weakness identified</v>
      </c>
      <c r="F68" s="877"/>
      <c r="G68" s="867"/>
      <c r="H68" s="868"/>
      <c r="I68" s="868"/>
      <c r="J68" s="869"/>
    </row>
    <row r="69" spans="1:12" s="667" customFormat="1" ht="54.75" customHeight="1" thickBot="1">
      <c r="A69" s="699" t="s">
        <v>142</v>
      </c>
      <c r="B69" s="700">
        <f>IF(MAX(Evaluation!BM36:BM40)&lt;17,$D$380,SUMIF(Evaluation!BM36:BM40,"&gt;16",Evaluation!AS36:AT40)/COUNTIF(Evaluation!BM36:BM40,"&gt;16"))</f>
        <v>0.89666666666666661</v>
      </c>
      <c r="C69" s="701" t="str">
        <f>VLOOKUP(pos(C69),'Language-Sprachen'!$A$200:$G$461,'Language-Sprachen'!$A$3,0)</f>
        <v xml:space="preserve">Process analysis /
production </v>
      </c>
      <c r="D69" s="653" t="str">
        <f>D12</f>
        <v>General</v>
      </c>
      <c r="E69" s="708" t="str">
        <f>IF('Input Form'!D36&gt;0,"PS1: "&amp;IF(Evaluation!BM36&lt;Evaluation!BN36,$D$380,TEXT(Evaluation!_e1,"0%"))&amp;" ("&amp;Evaluation!BM36&amp;"/26), ","")&amp;IF('Input Form'!D36&gt;1,"PS2: "&amp;IF(Evaluation!BM38&lt;Evaluation!BN38,$D$380,TEXT(Evaluation!_e2,"0%"))&amp;" ("&amp;Evaluation!BM38&amp;"/26), ","")&amp;IF('Input Form'!D36&gt;2,"PS3: "&amp;IF(Evaluation!BM40&lt;Evaluation!BN40,$D$380,TEXT(Evaluation!_e3,"0%"))&amp;" ("&amp;Evaluation!BM40&amp;"/26), ","")</f>
        <v xml:space="preserve">PS1: 99% (25/26), PS2: 71% (25/26), PS3: 99% (25/26), </v>
      </c>
      <c r="F69" s="874"/>
      <c r="G69" s="751"/>
      <c r="H69" s="191"/>
      <c r="I69" s="191"/>
      <c r="J69" s="894"/>
      <c r="L69" s="357" t="str">
        <f>VLOOKUP(pos(L69),'Language-Sprachen'!$A$200:$G$461,'Language-Sprachen'!$A$3,0)</f>
        <v>Please fill in the number of process steps in the input area (D36) as needed. 17 from 26 questions must be answered for each process step.</v>
      </c>
    </row>
    <row r="70" spans="1:12" s="635" customFormat="1" ht="39.75" customHeight="1" thickBot="1">
      <c r="A70" s="709" t="s">
        <v>96</v>
      </c>
      <c r="B70" s="710">
        <f>Evaluation!_es1</f>
        <v>0.96</v>
      </c>
      <c r="C70" s="711" t="str">
        <f>VLOOKUP(pos(C70),'Language-Sprachen'!$A$200:$G$461,'Language-Sprachen'!$A$3,0)</f>
        <v xml:space="preserve">What goes into the process ? Process input </v>
      </c>
      <c r="D70" s="1163"/>
      <c r="E70" s="1164"/>
      <c r="F70" s="876"/>
      <c r="G70" s="752"/>
      <c r="H70"/>
      <c r="I70"/>
      <c r="J70" s="36"/>
    </row>
    <row r="71" spans="1:12" s="635" customFormat="1" ht="30.75" thickBot="1">
      <c r="A71" s="712" t="s">
        <v>167</v>
      </c>
      <c r="B71" s="713"/>
      <c r="C71" s="714" t="str">
        <f>VLOOKUP(pos(C71),'Language-Sprachen'!$A$200:$G$461,'Language-Sprachen'!$A$3,0)</f>
        <v xml:space="preserve">Has the project been transferred from development to serial production and is a reliable start guaranteed? </v>
      </c>
      <c r="D71" s="1165"/>
      <c r="E71" s="1166"/>
      <c r="F71" s="875"/>
      <c r="G71" s="752"/>
      <c r="H71"/>
      <c r="I71"/>
      <c r="J71" s="36"/>
    </row>
    <row r="72" spans="1:12" s="635" customFormat="1" ht="15.75">
      <c r="A72" s="715" t="s">
        <v>279</v>
      </c>
      <c r="B72" s="713"/>
      <c r="C72" s="657" t="str">
        <f>PrSchr1</f>
        <v>Incoming</v>
      </c>
      <c r="D72" s="291">
        <v>10</v>
      </c>
      <c r="E72" s="1126" t="str">
        <f>IF((D72="n.e."),$L$13,IF(D72=10,$L$14,$L$15))</f>
        <v>No weakness identified</v>
      </c>
      <c r="F72" s="877"/>
      <c r="G72" s="861" t="str">
        <f>IF('Input Form'!$C$53="x","OK","")</f>
        <v/>
      </c>
      <c r="H72" s="31" t="str">
        <f>IF('Input Form'!$D$53="x","OK","")</f>
        <v/>
      </c>
      <c r="I72" s="31" t="str">
        <f>IF('Input Form'!$E$53="x","OK","")</f>
        <v/>
      </c>
      <c r="J72" s="32" t="str">
        <f>IF('Input Form'!$F$53="x","OK","")</f>
        <v/>
      </c>
    </row>
    <row r="73" spans="1:12" s="635" customFormat="1" ht="15.75">
      <c r="A73" s="715" t="s">
        <v>280</v>
      </c>
      <c r="B73" s="713"/>
      <c r="C73" s="657" t="str">
        <f>PrSchr2</f>
        <v>Manufacturing</v>
      </c>
      <c r="D73" s="291">
        <v>10</v>
      </c>
      <c r="E73" s="1126" t="str">
        <f>IF((D73="n.e."),$L$13,IF(D73=10,$L$14,$L$15))</f>
        <v>No weakness identified</v>
      </c>
      <c r="F73" s="877"/>
      <c r="G73" s="861" t="str">
        <f>IF('Input Form'!$C$54="x","OK","")</f>
        <v/>
      </c>
      <c r="H73" s="31" t="str">
        <f>IF('Input Form'!$D$54="x","OK","")</f>
        <v/>
      </c>
      <c r="I73" s="31" t="str">
        <f>IF('Input Form'!$E$54="x","OK","")</f>
        <v/>
      </c>
      <c r="J73" s="32" t="str">
        <f>IF('Input Form'!$F$54="x","OK","")</f>
        <v/>
      </c>
    </row>
    <row r="74" spans="1:12" s="635" customFormat="1" ht="16.5" thickBot="1">
      <c r="A74" s="715" t="s">
        <v>281</v>
      </c>
      <c r="B74" s="713"/>
      <c r="C74" s="657" t="str">
        <f>PrSchr3</f>
        <v>Shipping</v>
      </c>
      <c r="D74" s="291">
        <v>10</v>
      </c>
      <c r="E74" s="1126" t="str">
        <f>IF((D74="n.e."),$L$13,IF(D74=10,$L$14,$L$15))</f>
        <v>No weakness identified</v>
      </c>
      <c r="F74" s="877"/>
      <c r="G74" s="861" t="str">
        <f>IF('Input Form'!$C$55="x","OK","")</f>
        <v/>
      </c>
      <c r="H74" s="31" t="str">
        <f>IF('Input Form'!$D$55="x","OK","")</f>
        <v/>
      </c>
      <c r="I74" s="31" t="str">
        <f>IF('Input Form'!$E$55="x","OK","")</f>
        <v/>
      </c>
      <c r="J74" s="32" t="str">
        <f>IF('Input Form'!$F$55="x","OK","")</f>
        <v/>
      </c>
    </row>
    <row r="75" spans="1:12" s="635" customFormat="1" ht="15.75" hidden="1" customHeight="1">
      <c r="A75" s="715" t="s">
        <v>761</v>
      </c>
      <c r="B75" s="718"/>
      <c r="C75" s="657">
        <f>PrSchr4</f>
        <v>0</v>
      </c>
      <c r="D75" s="291" t="s">
        <v>740</v>
      </c>
      <c r="E75" s="747" t="str">
        <f t="shared" ref="E75:E81" si="1">IF(ISBLANK(D75),$L$13,IF(D75=10,$L$14,$L$15))</f>
        <v>Description of non conformance (mandatory)</v>
      </c>
      <c r="F75" s="877"/>
      <c r="G75" s="861"/>
      <c r="H75" s="31"/>
      <c r="I75" s="31"/>
      <c r="J75" s="32"/>
    </row>
    <row r="76" spans="1:12" s="635" customFormat="1" ht="15.75" hidden="1" customHeight="1">
      <c r="A76" s="715" t="s">
        <v>762</v>
      </c>
      <c r="B76" s="718"/>
      <c r="C76" s="657">
        <f>PrSchr5</f>
        <v>0</v>
      </c>
      <c r="D76" s="291" t="s">
        <v>740</v>
      </c>
      <c r="E76" s="747" t="str">
        <f t="shared" si="1"/>
        <v>Description of non conformance (mandatory)</v>
      </c>
      <c r="F76" s="877"/>
      <c r="G76" s="861" t="str">
        <f>IF('Input Form'!$C$55="x","OK","")</f>
        <v/>
      </c>
      <c r="H76" s="31" t="str">
        <f>IF('Input Form'!$D$55="x","OK","")</f>
        <v/>
      </c>
      <c r="I76" s="31" t="str">
        <f>IF('Input Form'!$E$55="x","OK","")</f>
        <v/>
      </c>
      <c r="J76" s="32" t="str">
        <f>IF('Input Form'!$F$55="x","OK","")</f>
        <v/>
      </c>
    </row>
    <row r="77" spans="1:12" s="635" customFormat="1" ht="15.75" hidden="1" customHeight="1">
      <c r="A77" s="715" t="s">
        <v>763</v>
      </c>
      <c r="B77" s="713"/>
      <c r="C77" s="657">
        <f>PrSchr6</f>
        <v>0</v>
      </c>
      <c r="D77" s="291" t="s">
        <v>740</v>
      </c>
      <c r="E77" s="747" t="str">
        <f t="shared" si="1"/>
        <v>Description of non conformance (mandatory)</v>
      </c>
      <c r="F77" s="877"/>
      <c r="G77" s="861"/>
      <c r="H77" s="31"/>
      <c r="I77" s="31"/>
      <c r="J77" s="32"/>
    </row>
    <row r="78" spans="1:12" s="635" customFormat="1" ht="15.75" hidden="1" customHeight="1">
      <c r="A78" s="715" t="s">
        <v>764</v>
      </c>
      <c r="B78" s="713"/>
      <c r="C78" s="657">
        <f>PrSchr7</f>
        <v>0</v>
      </c>
      <c r="D78" s="291" t="s">
        <v>740</v>
      </c>
      <c r="E78" s="747" t="str">
        <f t="shared" si="1"/>
        <v>Description of non conformance (mandatory)</v>
      </c>
      <c r="F78" s="877"/>
      <c r="G78" s="861"/>
      <c r="H78" s="31"/>
      <c r="I78" s="31"/>
      <c r="J78" s="32"/>
    </row>
    <row r="79" spans="1:12" s="635" customFormat="1" ht="15.75" hidden="1" customHeight="1">
      <c r="A79" s="715" t="s">
        <v>765</v>
      </c>
      <c r="B79" s="713"/>
      <c r="C79" s="657">
        <f>PrSchr8</f>
        <v>0</v>
      </c>
      <c r="D79" s="291" t="s">
        <v>740</v>
      </c>
      <c r="E79" s="747" t="str">
        <f t="shared" si="1"/>
        <v>Description of non conformance (mandatory)</v>
      </c>
      <c r="F79" s="877"/>
      <c r="G79" s="861"/>
      <c r="H79" s="31"/>
      <c r="I79" s="31"/>
      <c r="J79" s="32"/>
    </row>
    <row r="80" spans="1:12" s="635" customFormat="1" ht="15.75" hidden="1" customHeight="1">
      <c r="A80" s="715" t="s">
        <v>766</v>
      </c>
      <c r="B80" s="713"/>
      <c r="C80" s="657">
        <f>PrSchr9</f>
        <v>0</v>
      </c>
      <c r="D80" s="291" t="s">
        <v>740</v>
      </c>
      <c r="E80" s="747" t="str">
        <f t="shared" si="1"/>
        <v>Description of non conformance (mandatory)</v>
      </c>
      <c r="F80" s="877"/>
      <c r="G80" s="861"/>
      <c r="H80" s="31"/>
      <c r="I80" s="31"/>
      <c r="J80" s="32"/>
    </row>
    <row r="81" spans="1:10" s="635" customFormat="1" ht="16.5" hidden="1" customHeight="1" thickBot="1">
      <c r="A81" s="715" t="s">
        <v>767</v>
      </c>
      <c r="B81" s="713"/>
      <c r="C81" s="657">
        <f>PrSchr10</f>
        <v>0</v>
      </c>
      <c r="D81" s="291" t="s">
        <v>740</v>
      </c>
      <c r="E81" s="912" t="str">
        <f t="shared" si="1"/>
        <v>Description of non conformance (mandatory)</v>
      </c>
      <c r="F81" s="877"/>
      <c r="G81" s="861"/>
      <c r="H81" s="31"/>
      <c r="I81" s="31"/>
      <c r="J81" s="32"/>
    </row>
    <row r="82" spans="1:10" s="635" customFormat="1" ht="45.75" thickBot="1">
      <c r="A82" s="716" t="s">
        <v>76</v>
      </c>
      <c r="B82" s="717"/>
      <c r="C82" s="673" t="str">
        <f>VLOOKUP(pos(C82),'Language-Sprachen'!$A$200:$G$461,'Language-Sprachen'!$A$3,0)</f>
        <v>Are the necessary quantities / production batch sizes of incoming materials available at the agreed upon time and at the correct storage location / work-station?</v>
      </c>
      <c r="D82" s="1165"/>
      <c r="E82" s="1166"/>
      <c r="F82" s="873"/>
      <c r="G82" s="752"/>
      <c r="H82"/>
      <c r="I82"/>
      <c r="J82" s="36"/>
    </row>
    <row r="83" spans="1:10" s="635" customFormat="1" ht="15.75">
      <c r="A83" s="715" t="s">
        <v>279</v>
      </c>
      <c r="B83" s="718"/>
      <c r="C83" s="657" t="str">
        <f>PrSchr1</f>
        <v>Incoming</v>
      </c>
      <c r="D83" s="291">
        <v>10</v>
      </c>
      <c r="E83" s="1126" t="str">
        <f>IF((D83="n.e."),$L$13,IF(D83=10,$L$14,$L$15))</f>
        <v>No weakness identified</v>
      </c>
      <c r="F83" s="877"/>
      <c r="G83" s="861" t="str">
        <f>IF('Input Form'!$C$53="x","OK","")</f>
        <v/>
      </c>
      <c r="H83" s="31" t="str">
        <f>IF('Input Form'!$D$53="x","OK","")</f>
        <v/>
      </c>
      <c r="I83" s="31" t="str">
        <f>IF('Input Form'!$E$53="x","OK","")</f>
        <v/>
      </c>
      <c r="J83" s="32" t="str">
        <f>IF('Input Form'!$F$53="x","OK","")</f>
        <v/>
      </c>
    </row>
    <row r="84" spans="1:10" s="635" customFormat="1" ht="15.75">
      <c r="A84" s="715" t="s">
        <v>280</v>
      </c>
      <c r="B84" s="718"/>
      <c r="C84" s="657" t="str">
        <f>PrSchr2</f>
        <v>Manufacturing</v>
      </c>
      <c r="D84" s="291">
        <v>10</v>
      </c>
      <c r="E84" s="1126" t="str">
        <f>IF((D84="n.e."),$L$13,IF(D84=10,$L$14,$L$15))</f>
        <v>No weakness identified</v>
      </c>
      <c r="F84" s="877"/>
      <c r="G84" s="861" t="str">
        <f>IF('Input Form'!$C$54="x","OK","")</f>
        <v/>
      </c>
      <c r="H84" s="31" t="str">
        <f>IF('Input Form'!$D$54="x","OK","")</f>
        <v/>
      </c>
      <c r="I84" s="31" t="str">
        <f>IF('Input Form'!$E$54="x","OK","")</f>
        <v/>
      </c>
      <c r="J84" s="32" t="str">
        <f>IF('Input Form'!$F$54="x","OK","")</f>
        <v/>
      </c>
    </row>
    <row r="85" spans="1:10" s="635" customFormat="1" ht="16.5" thickBot="1">
      <c r="A85" s="715" t="s">
        <v>281</v>
      </c>
      <c r="B85" s="718"/>
      <c r="C85" s="657" t="str">
        <f>PrSchr3</f>
        <v>Shipping</v>
      </c>
      <c r="D85" s="291">
        <v>10</v>
      </c>
      <c r="E85" s="1126" t="str">
        <f>IF((D85="n.e."),$L$13,IF(D85=10,$L$14,$L$15))</f>
        <v>No weakness identified</v>
      </c>
      <c r="F85" s="877"/>
      <c r="G85" s="861" t="str">
        <f>IF('Input Form'!$C$55="x","OK","")</f>
        <v/>
      </c>
      <c r="H85" s="31" t="str">
        <f>IF('Input Form'!$D$55="x","OK","")</f>
        <v/>
      </c>
      <c r="I85" s="31" t="str">
        <f>IF('Input Form'!$E$55="x","OK","")</f>
        <v/>
      </c>
      <c r="J85" s="32" t="str">
        <f>IF('Input Form'!$F$55="x","OK","")</f>
        <v/>
      </c>
    </row>
    <row r="86" spans="1:10" s="635" customFormat="1" ht="15.75" hidden="1" customHeight="1">
      <c r="A86" s="715" t="s">
        <v>761</v>
      </c>
      <c r="B86" s="718"/>
      <c r="C86" s="657">
        <f>PrSchr4</f>
        <v>0</v>
      </c>
      <c r="D86" s="291">
        <v>10</v>
      </c>
      <c r="E86" s="747" t="str">
        <f t="shared" ref="E86:E92" si="2">IF(ISBLANK(D86),$L$13,IF(D86=10,$L$14,$L$15))</f>
        <v>No weakness identified</v>
      </c>
      <c r="F86" s="877"/>
      <c r="G86" s="861"/>
      <c r="H86" s="31"/>
      <c r="I86" s="31"/>
      <c r="J86" s="32"/>
    </row>
    <row r="87" spans="1:10" s="635" customFormat="1" ht="15.75" hidden="1" customHeight="1">
      <c r="A87" s="715" t="s">
        <v>762</v>
      </c>
      <c r="B87" s="718"/>
      <c r="C87" s="657">
        <f>PrSchr5</f>
        <v>0</v>
      </c>
      <c r="D87" s="291">
        <v>10</v>
      </c>
      <c r="E87" s="747" t="str">
        <f t="shared" si="2"/>
        <v>No weakness identified</v>
      </c>
      <c r="F87" s="877"/>
      <c r="G87" s="861" t="str">
        <f>IF('Input Form'!$C$55="x","OK","")</f>
        <v/>
      </c>
      <c r="H87" s="31" t="str">
        <f>IF('Input Form'!$D$55="x","OK","")</f>
        <v/>
      </c>
      <c r="I87" s="31" t="str">
        <f>IF('Input Form'!$E$55="x","OK","")</f>
        <v/>
      </c>
      <c r="J87" s="32" t="str">
        <f>IF('Input Form'!$F$55="x","OK","")</f>
        <v/>
      </c>
    </row>
    <row r="88" spans="1:10" s="635" customFormat="1" ht="15.75" hidden="1" customHeight="1">
      <c r="A88" s="715" t="s">
        <v>763</v>
      </c>
      <c r="B88" s="713"/>
      <c r="C88" s="657">
        <f>PrSchr6</f>
        <v>0</v>
      </c>
      <c r="D88" s="291">
        <v>10</v>
      </c>
      <c r="E88" s="747" t="str">
        <f t="shared" si="2"/>
        <v>No weakness identified</v>
      </c>
      <c r="F88" s="877"/>
      <c r="G88" s="861"/>
      <c r="H88" s="31"/>
      <c r="I88" s="31"/>
      <c r="J88" s="32"/>
    </row>
    <row r="89" spans="1:10" s="635" customFormat="1" ht="15.75" hidden="1" customHeight="1">
      <c r="A89" s="715" t="s">
        <v>764</v>
      </c>
      <c r="B89" s="713"/>
      <c r="C89" s="657">
        <f>PrSchr7</f>
        <v>0</v>
      </c>
      <c r="D89" s="291">
        <v>10</v>
      </c>
      <c r="E89" s="747" t="str">
        <f t="shared" si="2"/>
        <v>No weakness identified</v>
      </c>
      <c r="F89" s="877"/>
      <c r="G89" s="861"/>
      <c r="H89" s="31"/>
      <c r="I89" s="31"/>
      <c r="J89" s="32"/>
    </row>
    <row r="90" spans="1:10" s="635" customFormat="1" ht="15.75" hidden="1" customHeight="1">
      <c r="A90" s="715" t="s">
        <v>765</v>
      </c>
      <c r="B90" s="713"/>
      <c r="C90" s="657">
        <f>PrSchr8</f>
        <v>0</v>
      </c>
      <c r="D90" s="291">
        <v>10</v>
      </c>
      <c r="E90" s="747" t="str">
        <f t="shared" si="2"/>
        <v>No weakness identified</v>
      </c>
      <c r="F90" s="877"/>
      <c r="G90" s="861"/>
      <c r="H90" s="31"/>
      <c r="I90" s="31"/>
      <c r="J90" s="32"/>
    </row>
    <row r="91" spans="1:10" s="635" customFormat="1" ht="15.75" hidden="1" customHeight="1">
      <c r="A91" s="715" t="s">
        <v>766</v>
      </c>
      <c r="B91" s="713"/>
      <c r="C91" s="657">
        <f>PrSchr9</f>
        <v>0</v>
      </c>
      <c r="D91" s="291">
        <v>10</v>
      </c>
      <c r="E91" s="747" t="str">
        <f t="shared" si="2"/>
        <v>No weakness identified</v>
      </c>
      <c r="F91" s="877"/>
      <c r="G91" s="861"/>
      <c r="H91" s="31"/>
      <c r="I91" s="31"/>
      <c r="J91" s="32"/>
    </row>
    <row r="92" spans="1:10" s="635" customFormat="1" ht="16.5" hidden="1" customHeight="1" thickBot="1">
      <c r="A92" s="715" t="s">
        <v>767</v>
      </c>
      <c r="B92" s="713"/>
      <c r="C92" s="657">
        <f>PrSchr10</f>
        <v>0</v>
      </c>
      <c r="D92" s="291">
        <v>10</v>
      </c>
      <c r="E92" s="912" t="str">
        <f t="shared" si="2"/>
        <v>No weakness identified</v>
      </c>
      <c r="F92" s="877"/>
      <c r="G92" s="861"/>
      <c r="H92" s="31"/>
      <c r="I92" s="31"/>
      <c r="J92" s="32"/>
    </row>
    <row r="93" spans="1:10" s="635" customFormat="1" ht="45.75" thickBot="1">
      <c r="A93" s="716" t="s">
        <v>62</v>
      </c>
      <c r="B93" s="717"/>
      <c r="C93" s="673" t="str">
        <f>VLOOKUP(pos(C93),'Language-Sprachen'!$A$200:$G$461,'Language-Sprachen'!$A$3,0)</f>
        <v xml:space="preserve">Are incoming materials stored appropriately and are transport facilities / packing arrangements suitable for the special characteristics of the incoming materials ? </v>
      </c>
      <c r="D93" s="1165"/>
      <c r="E93" s="1166"/>
      <c r="F93" s="873"/>
      <c r="G93" s="752"/>
      <c r="H93"/>
      <c r="I93"/>
      <c r="J93" s="36"/>
    </row>
    <row r="94" spans="1:10" s="635" customFormat="1" ht="15.75">
      <c r="A94" s="715" t="s">
        <v>279</v>
      </c>
      <c r="B94" s="718"/>
      <c r="C94" s="657" t="str">
        <f>PrSchr1</f>
        <v>Incoming</v>
      </c>
      <c r="D94" s="291">
        <v>10</v>
      </c>
      <c r="E94" s="1126" t="str">
        <f>IF((D94="n.e."),$L$13,IF(D94=10,$L$14,$L$15))</f>
        <v>No weakness identified</v>
      </c>
      <c r="F94" s="877"/>
      <c r="G94" s="861" t="str">
        <f>IF('Input Form'!$C$53="x","OK","")</f>
        <v/>
      </c>
      <c r="H94" s="31" t="str">
        <f>IF('Input Form'!$D$53="x","OK","")</f>
        <v/>
      </c>
      <c r="I94" s="31" t="str">
        <f>IF('Input Form'!$E$53="x","OK","")</f>
        <v/>
      </c>
      <c r="J94" s="32" t="str">
        <f>IF('Input Form'!$F$53="x","OK","")</f>
        <v/>
      </c>
    </row>
    <row r="95" spans="1:10" s="635" customFormat="1" ht="15.75">
      <c r="A95" s="715" t="s">
        <v>280</v>
      </c>
      <c r="B95" s="718"/>
      <c r="C95" s="657" t="str">
        <f>PrSchr2</f>
        <v>Manufacturing</v>
      </c>
      <c r="D95" s="291">
        <v>10</v>
      </c>
      <c r="E95" s="1126" t="str">
        <f>IF((D95="n.e."),$L$13,IF(D95=10,$L$14,$L$15))</f>
        <v>No weakness identified</v>
      </c>
      <c r="F95" s="877"/>
      <c r="G95" s="861" t="str">
        <f>IF('Input Form'!$C$54="x","OK","")</f>
        <v/>
      </c>
      <c r="H95" s="31" t="str">
        <f>IF('Input Form'!$D$54="x","OK","")</f>
        <v/>
      </c>
      <c r="I95" s="31" t="str">
        <f>IF('Input Form'!$E$54="x","OK","")</f>
        <v/>
      </c>
      <c r="J95" s="32" t="str">
        <f>IF('Input Form'!$F$54="x","OK","")</f>
        <v/>
      </c>
    </row>
    <row r="96" spans="1:10" s="635" customFormat="1" ht="16.5" thickBot="1">
      <c r="A96" s="715" t="s">
        <v>281</v>
      </c>
      <c r="B96" s="718"/>
      <c r="C96" s="657" t="str">
        <f>PrSchr3</f>
        <v>Shipping</v>
      </c>
      <c r="D96" s="291">
        <v>10</v>
      </c>
      <c r="E96" s="1126" t="str">
        <f>IF((D96="n.e."),$L$13,IF(D96=10,$L$14,$L$15))</f>
        <v>No weakness identified</v>
      </c>
      <c r="F96" s="877"/>
      <c r="G96" s="861"/>
      <c r="H96" s="31"/>
      <c r="I96" s="31"/>
      <c r="J96" s="32"/>
    </row>
    <row r="97" spans="1:10" s="635" customFormat="1" ht="15.75" hidden="1" customHeight="1">
      <c r="A97" s="715" t="s">
        <v>761</v>
      </c>
      <c r="B97" s="718"/>
      <c r="C97" s="657">
        <f>PrSchr4</f>
        <v>0</v>
      </c>
      <c r="D97" s="291" t="s">
        <v>740</v>
      </c>
      <c r="E97" s="747" t="str">
        <f t="shared" ref="E97:E103" si="3">IF(ISBLANK(D97),$L$13,IF(D97=10,$L$14,$L$15))</f>
        <v>Description of non conformance (mandatory)</v>
      </c>
      <c r="F97" s="877"/>
      <c r="G97" s="861"/>
      <c r="H97" s="31"/>
      <c r="I97" s="31"/>
      <c r="J97" s="32"/>
    </row>
    <row r="98" spans="1:10" s="635" customFormat="1" ht="15.75" hidden="1" customHeight="1">
      <c r="A98" s="715" t="s">
        <v>762</v>
      </c>
      <c r="B98" s="718"/>
      <c r="C98" s="657">
        <f>PrSchr5</f>
        <v>0</v>
      </c>
      <c r="D98" s="291" t="s">
        <v>740</v>
      </c>
      <c r="E98" s="747" t="str">
        <f t="shared" si="3"/>
        <v>Description of non conformance (mandatory)</v>
      </c>
      <c r="F98" s="877"/>
      <c r="G98" s="861" t="str">
        <f>IF('Input Form'!$C$55="x","OK","")</f>
        <v/>
      </c>
      <c r="H98" s="31" t="str">
        <f>IF('Input Form'!$D$55="x","OK","")</f>
        <v/>
      </c>
      <c r="I98" s="31" t="str">
        <f>IF('Input Form'!$E$55="x","OK","")</f>
        <v/>
      </c>
      <c r="J98" s="32" t="str">
        <f>IF('Input Form'!$F$55="x","OK","")</f>
        <v/>
      </c>
    </row>
    <row r="99" spans="1:10" s="635" customFormat="1" ht="15.75" hidden="1" customHeight="1">
      <c r="A99" s="715" t="s">
        <v>763</v>
      </c>
      <c r="B99" s="713"/>
      <c r="C99" s="657">
        <f>PrSchr6</f>
        <v>0</v>
      </c>
      <c r="D99" s="291" t="s">
        <v>740</v>
      </c>
      <c r="E99" s="747" t="str">
        <f t="shared" si="3"/>
        <v>Description of non conformance (mandatory)</v>
      </c>
      <c r="F99" s="877"/>
      <c r="G99" s="861"/>
      <c r="H99" s="31"/>
      <c r="I99" s="31"/>
      <c r="J99" s="32"/>
    </row>
    <row r="100" spans="1:10" s="635" customFormat="1" ht="15.75" hidden="1" customHeight="1">
      <c r="A100" s="715" t="s">
        <v>764</v>
      </c>
      <c r="B100" s="713"/>
      <c r="C100" s="657">
        <f>PrSchr7</f>
        <v>0</v>
      </c>
      <c r="D100" s="291" t="s">
        <v>740</v>
      </c>
      <c r="E100" s="747" t="str">
        <f t="shared" si="3"/>
        <v>Description of non conformance (mandatory)</v>
      </c>
      <c r="F100" s="877"/>
      <c r="G100" s="861"/>
      <c r="H100" s="31"/>
      <c r="I100" s="31"/>
      <c r="J100" s="32"/>
    </row>
    <row r="101" spans="1:10" s="635" customFormat="1" ht="15.75" hidden="1" customHeight="1">
      <c r="A101" s="715" t="s">
        <v>765</v>
      </c>
      <c r="B101" s="713"/>
      <c r="C101" s="657">
        <f>PrSchr8</f>
        <v>0</v>
      </c>
      <c r="D101" s="291" t="s">
        <v>740</v>
      </c>
      <c r="E101" s="747" t="str">
        <f t="shared" si="3"/>
        <v>Description of non conformance (mandatory)</v>
      </c>
      <c r="F101" s="877"/>
      <c r="G101" s="861"/>
      <c r="H101" s="31"/>
      <c r="I101" s="31"/>
      <c r="J101" s="32"/>
    </row>
    <row r="102" spans="1:10" s="635" customFormat="1" ht="15.75" hidden="1" customHeight="1">
      <c r="A102" s="715" t="s">
        <v>766</v>
      </c>
      <c r="B102" s="713"/>
      <c r="C102" s="657">
        <f>PrSchr9</f>
        <v>0</v>
      </c>
      <c r="D102" s="291" t="s">
        <v>740</v>
      </c>
      <c r="E102" s="747" t="str">
        <f t="shared" si="3"/>
        <v>Description of non conformance (mandatory)</v>
      </c>
      <c r="F102" s="877"/>
      <c r="G102" s="861"/>
      <c r="H102" s="31"/>
      <c r="I102" s="31"/>
      <c r="J102" s="32"/>
    </row>
    <row r="103" spans="1:10" s="635" customFormat="1" ht="16.5" hidden="1" customHeight="1" thickBot="1">
      <c r="A103" s="715" t="s">
        <v>767</v>
      </c>
      <c r="B103" s="713"/>
      <c r="C103" s="657">
        <f>PrSchr10</f>
        <v>0</v>
      </c>
      <c r="D103" s="291" t="s">
        <v>740</v>
      </c>
      <c r="E103" s="912" t="str">
        <f t="shared" si="3"/>
        <v>Description of non conformance (mandatory)</v>
      </c>
      <c r="F103" s="877"/>
      <c r="G103" s="861"/>
      <c r="H103" s="31"/>
      <c r="I103" s="31"/>
      <c r="J103" s="32"/>
    </row>
    <row r="104" spans="1:10" s="635" customFormat="1" ht="30.75" thickBot="1">
      <c r="A104" s="716" t="s">
        <v>63</v>
      </c>
      <c r="B104" s="717"/>
      <c r="C104" s="673" t="str">
        <f>VLOOKUP(pos(C104),'Language-Sprachen'!$A$200:$G$461,'Language-Sprachen'!$A$3,0)</f>
        <v xml:space="preserve">Are the necessary identifications / records / approvals available and allocated appropriately to the incoming materials ? </v>
      </c>
      <c r="D104" s="1165"/>
      <c r="E104" s="1166"/>
      <c r="F104" s="873"/>
      <c r="G104" s="752"/>
      <c r="H104"/>
      <c r="I104"/>
      <c r="J104" s="36"/>
    </row>
    <row r="105" spans="1:10" s="635" customFormat="1" ht="15.75">
      <c r="A105" s="715" t="s">
        <v>279</v>
      </c>
      <c r="B105" s="718"/>
      <c r="C105" s="657" t="str">
        <f>PrSchr1</f>
        <v>Incoming</v>
      </c>
      <c r="D105" s="291">
        <v>10</v>
      </c>
      <c r="E105" s="1126" t="str">
        <f>IF((D105="n.e."),$L$13,IF(D105=10,$L$14,$L$15))</f>
        <v>No weakness identified</v>
      </c>
      <c r="F105" s="877"/>
      <c r="G105" s="861" t="str">
        <f>IF('Input Form'!$C$53="x","OK","")</f>
        <v/>
      </c>
      <c r="H105" s="31" t="str">
        <f>IF('Input Form'!$D$53="x","OK","")</f>
        <v/>
      </c>
      <c r="I105" s="31" t="str">
        <f>IF('Input Form'!$E$53="x","OK","")</f>
        <v/>
      </c>
      <c r="J105" s="32" t="str">
        <f>IF('Input Form'!$F$53="x","OK","")</f>
        <v/>
      </c>
    </row>
    <row r="106" spans="1:10" s="635" customFormat="1" ht="60">
      <c r="A106" s="715" t="s">
        <v>280</v>
      </c>
      <c r="B106" s="718"/>
      <c r="C106" s="657" t="str">
        <f>PrSchr2</f>
        <v>Manufacturing</v>
      </c>
      <c r="D106" s="291">
        <v>4</v>
      </c>
      <c r="E106" s="1126" t="s">
        <v>1167</v>
      </c>
      <c r="F106" s="877"/>
      <c r="G106" s="861" t="str">
        <f>IF('Input Form'!$C$54="x","OK","")</f>
        <v/>
      </c>
      <c r="H106" s="31" t="str">
        <f>IF('Input Form'!$D$54="x","OK","")</f>
        <v/>
      </c>
      <c r="I106" s="31" t="str">
        <f>IF('Input Form'!$E$54="x","OK","")</f>
        <v/>
      </c>
      <c r="J106" s="32" t="str">
        <f>IF('Input Form'!$F$54="x","OK","")</f>
        <v/>
      </c>
    </row>
    <row r="107" spans="1:10" s="635" customFormat="1" ht="16.5" thickBot="1">
      <c r="A107" s="715" t="s">
        <v>281</v>
      </c>
      <c r="B107" s="718"/>
      <c r="C107" s="657" t="str">
        <f>PrSchr3</f>
        <v>Shipping</v>
      </c>
      <c r="D107" s="291">
        <v>10</v>
      </c>
      <c r="E107" s="1126" t="str">
        <f>IF((D107="n.e."),$L$13,IF(D107=10,$L$14,$L$15))</f>
        <v>No weakness identified</v>
      </c>
      <c r="F107" s="877"/>
      <c r="G107" s="861" t="str">
        <f>IF('Input Form'!$C$55="x","OK","")</f>
        <v/>
      </c>
      <c r="H107" s="31" t="str">
        <f>IF('Input Form'!$D$55="x","OK","")</f>
        <v/>
      </c>
      <c r="I107" s="31" t="str">
        <f>IF('Input Form'!$E$55="x","OK","")</f>
        <v/>
      </c>
      <c r="J107" s="32" t="str">
        <f>IF('Input Form'!$F$55="x","OK","")</f>
        <v/>
      </c>
    </row>
    <row r="108" spans="1:10" s="635" customFormat="1" ht="15.75" hidden="1" customHeight="1">
      <c r="A108" s="715" t="s">
        <v>761</v>
      </c>
      <c r="B108" s="718"/>
      <c r="C108" s="657">
        <f>PrSchr4</f>
        <v>0</v>
      </c>
      <c r="D108" s="291" t="s">
        <v>740</v>
      </c>
      <c r="E108" s="747" t="str">
        <f t="shared" ref="E108:E114" si="4">IF(ISBLANK(D108),$L$13,IF(D108=10,$L$14,$L$15))</f>
        <v>Description of non conformance (mandatory)</v>
      </c>
      <c r="F108" s="877"/>
      <c r="G108" s="861"/>
      <c r="H108" s="31"/>
      <c r="I108" s="31"/>
      <c r="J108" s="32"/>
    </row>
    <row r="109" spans="1:10" s="635" customFormat="1" ht="15.75" hidden="1" customHeight="1">
      <c r="A109" s="715" t="s">
        <v>762</v>
      </c>
      <c r="B109" s="718"/>
      <c r="C109" s="657">
        <f>PrSchr5</f>
        <v>0</v>
      </c>
      <c r="D109" s="291" t="s">
        <v>740</v>
      </c>
      <c r="E109" s="747" t="str">
        <f t="shared" si="4"/>
        <v>Description of non conformance (mandatory)</v>
      </c>
      <c r="F109" s="877"/>
      <c r="G109" s="861" t="str">
        <f>IF('Input Form'!$C$55="x","OK","")</f>
        <v/>
      </c>
      <c r="H109" s="31" t="str">
        <f>IF('Input Form'!$D$55="x","OK","")</f>
        <v/>
      </c>
      <c r="I109" s="31" t="str">
        <f>IF('Input Form'!$E$55="x","OK","")</f>
        <v/>
      </c>
      <c r="J109" s="32" t="str">
        <f>IF('Input Form'!$F$55="x","OK","")</f>
        <v/>
      </c>
    </row>
    <row r="110" spans="1:10" s="635" customFormat="1" ht="15.75" hidden="1" customHeight="1">
      <c r="A110" s="715" t="s">
        <v>763</v>
      </c>
      <c r="B110" s="713"/>
      <c r="C110" s="657">
        <f>PrSchr6</f>
        <v>0</v>
      </c>
      <c r="D110" s="291" t="s">
        <v>740</v>
      </c>
      <c r="E110" s="747" t="str">
        <f t="shared" si="4"/>
        <v>Description of non conformance (mandatory)</v>
      </c>
      <c r="F110" s="877"/>
      <c r="G110" s="861"/>
      <c r="H110" s="31"/>
      <c r="I110" s="31"/>
      <c r="J110" s="32"/>
    </row>
    <row r="111" spans="1:10" s="635" customFormat="1" ht="15.75" hidden="1" customHeight="1">
      <c r="A111" s="715" t="s">
        <v>764</v>
      </c>
      <c r="B111" s="713"/>
      <c r="C111" s="657">
        <f>PrSchr7</f>
        <v>0</v>
      </c>
      <c r="D111" s="291" t="s">
        <v>740</v>
      </c>
      <c r="E111" s="747" t="str">
        <f t="shared" si="4"/>
        <v>Description of non conformance (mandatory)</v>
      </c>
      <c r="F111" s="877"/>
      <c r="G111" s="861"/>
      <c r="H111" s="31"/>
      <c r="I111" s="31"/>
      <c r="J111" s="32"/>
    </row>
    <row r="112" spans="1:10" s="635" customFormat="1" ht="15.75" hidden="1" customHeight="1">
      <c r="A112" s="715" t="s">
        <v>765</v>
      </c>
      <c r="B112" s="713"/>
      <c r="C112" s="657">
        <f>PrSchr8</f>
        <v>0</v>
      </c>
      <c r="D112" s="291" t="s">
        <v>740</v>
      </c>
      <c r="E112" s="747" t="str">
        <f t="shared" si="4"/>
        <v>Description of non conformance (mandatory)</v>
      </c>
      <c r="F112" s="877"/>
      <c r="G112" s="861"/>
      <c r="H112" s="31"/>
      <c r="I112" s="31"/>
      <c r="J112" s="32"/>
    </row>
    <row r="113" spans="1:10" s="635" customFormat="1" ht="15.75" hidden="1" customHeight="1">
      <c r="A113" s="715" t="s">
        <v>766</v>
      </c>
      <c r="B113" s="713"/>
      <c r="C113" s="657">
        <f>PrSchr9</f>
        <v>0</v>
      </c>
      <c r="D113" s="291" t="s">
        <v>740</v>
      </c>
      <c r="E113" s="747" t="str">
        <f t="shared" si="4"/>
        <v>Description of non conformance (mandatory)</v>
      </c>
      <c r="F113" s="877"/>
      <c r="G113" s="861"/>
      <c r="H113" s="31"/>
      <c r="I113" s="31"/>
      <c r="J113" s="32"/>
    </row>
    <row r="114" spans="1:10" s="635" customFormat="1" ht="16.5" hidden="1" customHeight="1" thickBot="1">
      <c r="A114" s="715" t="s">
        <v>767</v>
      </c>
      <c r="B114" s="713"/>
      <c r="C114" s="657">
        <f>PrSchr10</f>
        <v>0</v>
      </c>
      <c r="D114" s="291" t="s">
        <v>740</v>
      </c>
      <c r="E114" s="912" t="str">
        <f t="shared" si="4"/>
        <v>Description of non conformance (mandatory)</v>
      </c>
      <c r="F114" s="877"/>
      <c r="G114" s="861"/>
      <c r="H114" s="31"/>
      <c r="I114" s="31"/>
      <c r="J114" s="32"/>
    </row>
    <row r="115" spans="1:10" s="635" customFormat="1" ht="30.75" thickBot="1">
      <c r="A115" s="719" t="s">
        <v>64</v>
      </c>
      <c r="B115" s="720" t="s">
        <v>10</v>
      </c>
      <c r="C115" s="673" t="str">
        <f>VLOOKUP(pos(C115),'Language-Sprachen'!$A$200:$G$461,'Language-Sprachen'!$A$3,0)</f>
        <v xml:space="preserve">Are changes to the product or process made during the serial production tracked and documented? </v>
      </c>
      <c r="D115" s="1165"/>
      <c r="E115" s="1166"/>
      <c r="F115" s="873"/>
      <c r="G115" s="752"/>
      <c r="H115"/>
      <c r="I115"/>
      <c r="J115" s="36"/>
    </row>
    <row r="116" spans="1:10" s="635" customFormat="1" ht="15.75">
      <c r="A116" s="721" t="s">
        <v>279</v>
      </c>
      <c r="B116" s="722"/>
      <c r="C116" s="657" t="str">
        <f>PrSchr1</f>
        <v>Incoming</v>
      </c>
      <c r="D116" s="328">
        <v>10</v>
      </c>
      <c r="E116" s="1126" t="str">
        <f>IF((D116="n.e."),$L$13,IF(D116=10,$L$14,$L$15))</f>
        <v>No weakness identified</v>
      </c>
      <c r="F116" s="877"/>
      <c r="G116" s="861" t="str">
        <f>IF('Input Form'!$C$53="x","OK","")</f>
        <v/>
      </c>
      <c r="H116" s="31" t="str">
        <f>IF('Input Form'!$D$53="x","OK","")</f>
        <v/>
      </c>
      <c r="I116" s="31" t="str">
        <f>IF('Input Form'!$E$53="x","OK","")</f>
        <v/>
      </c>
      <c r="J116" s="32" t="str">
        <f>IF('Input Form'!$F$53="x","OK","")</f>
        <v/>
      </c>
    </row>
    <row r="117" spans="1:10" s="635" customFormat="1" ht="15.75">
      <c r="A117" s="721" t="s">
        <v>280</v>
      </c>
      <c r="B117" s="722"/>
      <c r="C117" s="657" t="str">
        <f>PrSchr2</f>
        <v>Manufacturing</v>
      </c>
      <c r="D117" s="328">
        <v>10</v>
      </c>
      <c r="E117" s="1126" t="str">
        <f>IF((D117="n.e."),$L$13,IF(D117=10,$L$14,$L$15))</f>
        <v>No weakness identified</v>
      </c>
      <c r="F117" s="877"/>
      <c r="G117" s="861" t="str">
        <f>IF('Input Form'!$C$54="x","OK","")</f>
        <v/>
      </c>
      <c r="H117" s="31" t="str">
        <f>IF('Input Form'!$D$54="x","OK","")</f>
        <v/>
      </c>
      <c r="I117" s="31" t="str">
        <f>IF('Input Form'!$E$54="x","OK","")</f>
        <v/>
      </c>
      <c r="J117" s="32" t="str">
        <f>IF('Input Form'!$F$54="x","OK","")</f>
        <v/>
      </c>
    </row>
    <row r="118" spans="1:10" s="635" customFormat="1" ht="16.5" thickBot="1">
      <c r="A118" s="721" t="s">
        <v>281</v>
      </c>
      <c r="B118" s="722"/>
      <c r="C118" s="657" t="str">
        <f>PrSchr3</f>
        <v>Shipping</v>
      </c>
      <c r="D118" s="328">
        <v>10</v>
      </c>
      <c r="E118" s="1126" t="str">
        <f>IF((D118="n.e."),$L$13,IF(D118=10,$L$14,$L$15))</f>
        <v>No weakness identified</v>
      </c>
      <c r="F118" s="877"/>
      <c r="G118" s="861" t="str">
        <f>IF('Input Form'!$C$55="x","OK","")</f>
        <v/>
      </c>
      <c r="H118" s="31" t="str">
        <f>IF('Input Form'!$D$55="x","OK","")</f>
        <v/>
      </c>
      <c r="I118" s="31" t="str">
        <f>IF('Input Form'!$E$55="x","OK","")</f>
        <v/>
      </c>
      <c r="J118" s="32" t="str">
        <f>IF('Input Form'!$F$55="x","OK","")</f>
        <v/>
      </c>
    </row>
    <row r="119" spans="1:10" s="635" customFormat="1" ht="15.75" hidden="1" customHeight="1">
      <c r="A119" s="721" t="s">
        <v>761</v>
      </c>
      <c r="B119" s="722"/>
      <c r="C119" s="657">
        <f>PrSchr4</f>
        <v>0</v>
      </c>
      <c r="D119" s="328" t="s">
        <v>740</v>
      </c>
      <c r="E119" s="747" t="str">
        <f t="shared" ref="E119:E125" si="5">IF(ISBLANK(D119),$L$13,IF(D119=10,$L$14,$L$15))</f>
        <v>Description of non conformance (mandatory)</v>
      </c>
      <c r="F119" s="877"/>
      <c r="G119" s="861"/>
      <c r="H119" s="31"/>
      <c r="I119" s="31"/>
      <c r="J119" s="32"/>
    </row>
    <row r="120" spans="1:10" s="635" customFormat="1" ht="15.75" hidden="1" customHeight="1">
      <c r="A120" s="721" t="s">
        <v>762</v>
      </c>
      <c r="B120" s="722"/>
      <c r="C120" s="657">
        <f>PrSchr5</f>
        <v>0</v>
      </c>
      <c r="D120" s="328" t="s">
        <v>740</v>
      </c>
      <c r="E120" s="747" t="str">
        <f t="shared" si="5"/>
        <v>Description of non conformance (mandatory)</v>
      </c>
      <c r="F120" s="877"/>
      <c r="G120" s="861" t="str">
        <f>IF('Input Form'!$C$55="x","OK","")</f>
        <v/>
      </c>
      <c r="H120" s="31" t="str">
        <f>IF('Input Form'!$D$55="x","OK","")</f>
        <v/>
      </c>
      <c r="I120" s="31" t="str">
        <f>IF('Input Form'!$E$55="x","OK","")</f>
        <v/>
      </c>
      <c r="J120" s="32" t="str">
        <f>IF('Input Form'!$F$55="x","OK","")</f>
        <v/>
      </c>
    </row>
    <row r="121" spans="1:10" s="635" customFormat="1" ht="15.75" hidden="1" customHeight="1">
      <c r="A121" s="721" t="s">
        <v>763</v>
      </c>
      <c r="B121" s="722"/>
      <c r="C121" s="657">
        <f>PrSchr6</f>
        <v>0</v>
      </c>
      <c r="D121" s="328" t="s">
        <v>740</v>
      </c>
      <c r="E121" s="747" t="str">
        <f t="shared" si="5"/>
        <v>Description of non conformance (mandatory)</v>
      </c>
      <c r="F121" s="877"/>
      <c r="G121" s="861"/>
      <c r="H121" s="31"/>
      <c r="I121" s="31"/>
      <c r="J121" s="32"/>
    </row>
    <row r="122" spans="1:10" s="635" customFormat="1" ht="15.75" hidden="1" customHeight="1">
      <c r="A122" s="721" t="s">
        <v>764</v>
      </c>
      <c r="B122" s="722"/>
      <c r="C122" s="657">
        <f>PrSchr7</f>
        <v>0</v>
      </c>
      <c r="D122" s="328" t="s">
        <v>740</v>
      </c>
      <c r="E122" s="747" t="str">
        <f t="shared" si="5"/>
        <v>Description of non conformance (mandatory)</v>
      </c>
      <c r="F122" s="877"/>
      <c r="G122" s="861"/>
      <c r="H122" s="31"/>
      <c r="I122" s="31"/>
      <c r="J122" s="32"/>
    </row>
    <row r="123" spans="1:10" s="635" customFormat="1" ht="15.75" hidden="1" customHeight="1">
      <c r="A123" s="721" t="s">
        <v>765</v>
      </c>
      <c r="B123" s="722"/>
      <c r="C123" s="657">
        <f>PrSchr8</f>
        <v>0</v>
      </c>
      <c r="D123" s="328" t="s">
        <v>740</v>
      </c>
      <c r="E123" s="747" t="str">
        <f t="shared" si="5"/>
        <v>Description of non conformance (mandatory)</v>
      </c>
      <c r="F123" s="877"/>
      <c r="G123" s="861"/>
      <c r="H123" s="31"/>
      <c r="I123" s="31"/>
      <c r="J123" s="32"/>
    </row>
    <row r="124" spans="1:10" s="635" customFormat="1" ht="15.75" hidden="1" customHeight="1">
      <c r="A124" s="721" t="s">
        <v>766</v>
      </c>
      <c r="B124" s="722"/>
      <c r="C124" s="657">
        <f>PrSchr9</f>
        <v>0</v>
      </c>
      <c r="D124" s="328" t="s">
        <v>740</v>
      </c>
      <c r="E124" s="747" t="str">
        <f t="shared" si="5"/>
        <v>Description of non conformance (mandatory)</v>
      </c>
      <c r="F124" s="877"/>
      <c r="G124" s="861"/>
      <c r="H124" s="31"/>
      <c r="I124" s="31"/>
      <c r="J124" s="32"/>
    </row>
    <row r="125" spans="1:10" s="635" customFormat="1" ht="16.5" hidden="1" customHeight="1" thickBot="1">
      <c r="A125" s="728" t="s">
        <v>767</v>
      </c>
      <c r="B125" s="729"/>
      <c r="C125" s="657">
        <f>PrSchr10</f>
        <v>0</v>
      </c>
      <c r="D125" s="328" t="s">
        <v>740</v>
      </c>
      <c r="E125" s="912" t="str">
        <f t="shared" si="5"/>
        <v>Description of non conformance (mandatory)</v>
      </c>
      <c r="F125" s="877"/>
      <c r="G125" s="861"/>
      <c r="H125" s="31"/>
      <c r="I125" s="31"/>
      <c r="J125" s="32"/>
    </row>
    <row r="126" spans="1:10" s="635" customFormat="1" ht="41.25" customHeight="1" thickBot="1">
      <c r="A126" s="709" t="s">
        <v>168</v>
      </c>
      <c r="B126" s="723">
        <f>Evaluation!_es2</f>
        <v>0.85</v>
      </c>
      <c r="C126" s="711" t="str">
        <f>VLOOKUP(pos(C126),'Language-Sprachen'!$A$200:$G$461,'Language-Sprachen'!$A$3,0)</f>
        <v>Are all production processes controlled? Process management</v>
      </c>
      <c r="D126" s="1163"/>
      <c r="E126" s="1164"/>
      <c r="F126" s="874"/>
      <c r="G126" s="752"/>
      <c r="H126"/>
      <c r="I126"/>
      <c r="J126" s="36"/>
    </row>
    <row r="127" spans="1:10" s="635" customFormat="1" ht="30.75" thickBot="1">
      <c r="A127" s="716" t="s">
        <v>169</v>
      </c>
      <c r="B127" s="717"/>
      <c r="C127" s="673" t="str">
        <f>VLOOKUP(pos(C127),'Language-Sprachen'!$A$200:$G$461,'Language-Sprachen'!$A$3,0)</f>
        <v xml:space="preserve">Are the specifications of the control plan complete and have they been effectively implemented? </v>
      </c>
      <c r="D127" s="1165"/>
      <c r="E127" s="1166"/>
      <c r="F127" s="875"/>
      <c r="G127" s="752"/>
      <c r="H127"/>
      <c r="I127"/>
      <c r="J127" s="36"/>
    </row>
    <row r="128" spans="1:10" s="635" customFormat="1" ht="15.75">
      <c r="A128" s="715" t="s">
        <v>279</v>
      </c>
      <c r="B128" s="724"/>
      <c r="C128" s="657" t="str">
        <f>PrSchr1</f>
        <v>Incoming</v>
      </c>
      <c r="D128" s="291">
        <v>10</v>
      </c>
      <c r="E128" s="1126" t="str">
        <f>IF((D128="n.e."),$L$13,IF(D128=10,$L$14,$L$15))</f>
        <v>No weakness identified</v>
      </c>
      <c r="F128" s="877"/>
      <c r="G128" s="861" t="str">
        <f>IF('Input Form'!$C$53="x","OK","")</f>
        <v/>
      </c>
      <c r="H128" s="31" t="str">
        <f>IF('Input Form'!$D$53="x","OK","")</f>
        <v/>
      </c>
      <c r="I128" s="31" t="str">
        <f>IF('Input Form'!$E$53="x","OK","")</f>
        <v/>
      </c>
      <c r="J128" s="32" t="str">
        <f>IF('Input Form'!$F$53="x","OK","")</f>
        <v/>
      </c>
    </row>
    <row r="129" spans="1:10" s="635" customFormat="1" ht="75">
      <c r="A129" s="715" t="s">
        <v>280</v>
      </c>
      <c r="B129" s="724"/>
      <c r="C129" s="657" t="str">
        <f>PrSchr2</f>
        <v>Manufacturing</v>
      </c>
      <c r="D129" s="291">
        <v>4</v>
      </c>
      <c r="E129" s="1126" t="s">
        <v>1168</v>
      </c>
      <c r="F129" s="877"/>
      <c r="G129" s="861" t="str">
        <f>IF('Input Form'!$C$54="x","OK","")</f>
        <v/>
      </c>
      <c r="H129" s="31" t="str">
        <f>IF('Input Form'!$D$54="x","OK","")</f>
        <v/>
      </c>
      <c r="I129" s="31" t="str">
        <f>IF('Input Form'!$E$54="x","OK","")</f>
        <v/>
      </c>
      <c r="J129" s="32" t="str">
        <f>IF('Input Form'!$F$54="x","OK","")</f>
        <v/>
      </c>
    </row>
    <row r="130" spans="1:10" s="635" customFormat="1" ht="16.5" thickBot="1">
      <c r="A130" s="715" t="s">
        <v>281</v>
      </c>
      <c r="B130" s="724"/>
      <c r="C130" s="657" t="str">
        <f>PrSchr3</f>
        <v>Shipping</v>
      </c>
      <c r="D130" s="291">
        <v>10</v>
      </c>
      <c r="E130" s="1126" t="str">
        <f>IF((D130="n.e."),$L$13,IF(D130=10,$L$14,$L$15))</f>
        <v>No weakness identified</v>
      </c>
      <c r="F130" s="877"/>
      <c r="G130" s="861" t="str">
        <f>IF('Input Form'!$C$55="x","OK","")</f>
        <v/>
      </c>
      <c r="H130" s="31" t="str">
        <f>IF('Input Form'!$D$55="x","OK","")</f>
        <v/>
      </c>
      <c r="I130" s="31" t="str">
        <f>IF('Input Form'!$E$55="x","OK","")</f>
        <v/>
      </c>
      <c r="J130" s="32" t="str">
        <f>IF('Input Form'!$F$55="x","OK","")</f>
        <v/>
      </c>
    </row>
    <row r="131" spans="1:10" s="635" customFormat="1" ht="15.75" hidden="1" customHeight="1">
      <c r="A131" s="715" t="s">
        <v>761</v>
      </c>
      <c r="B131" s="718"/>
      <c r="C131" s="657">
        <f>PrSchr4</f>
        <v>0</v>
      </c>
      <c r="D131" s="291" t="s">
        <v>740</v>
      </c>
      <c r="E131" s="747" t="str">
        <f t="shared" ref="E131:E137" si="6">IF(ISBLANK(D131),$L$13,IF(D131=10,$L$14,$L$15))</f>
        <v>Description of non conformance (mandatory)</v>
      </c>
      <c r="F131" s="877"/>
      <c r="G131" s="861"/>
      <c r="H131" s="31"/>
      <c r="I131" s="31"/>
      <c r="J131" s="32"/>
    </row>
    <row r="132" spans="1:10" s="635" customFormat="1" ht="15.75" hidden="1" customHeight="1">
      <c r="A132" s="715" t="s">
        <v>762</v>
      </c>
      <c r="B132" s="718"/>
      <c r="C132" s="657">
        <f>PrSchr5</f>
        <v>0</v>
      </c>
      <c r="D132" s="291" t="s">
        <v>740</v>
      </c>
      <c r="E132" s="747" t="str">
        <f t="shared" si="6"/>
        <v>Description of non conformance (mandatory)</v>
      </c>
      <c r="F132" s="877"/>
      <c r="G132" s="861" t="str">
        <f>IF('Input Form'!$C$55="x","OK","")</f>
        <v/>
      </c>
      <c r="H132" s="31" t="str">
        <f>IF('Input Form'!$D$55="x","OK","")</f>
        <v/>
      </c>
      <c r="I132" s="31" t="str">
        <f>IF('Input Form'!$E$55="x","OK","")</f>
        <v/>
      </c>
      <c r="J132" s="32" t="str">
        <f>IF('Input Form'!$F$55="x","OK","")</f>
        <v/>
      </c>
    </row>
    <row r="133" spans="1:10" s="635" customFormat="1" ht="15.75" hidden="1" customHeight="1">
      <c r="A133" s="715" t="s">
        <v>763</v>
      </c>
      <c r="B133" s="713"/>
      <c r="C133" s="657">
        <f>PrSchr6</f>
        <v>0</v>
      </c>
      <c r="D133" s="291" t="s">
        <v>740</v>
      </c>
      <c r="E133" s="747" t="str">
        <f t="shared" si="6"/>
        <v>Description of non conformance (mandatory)</v>
      </c>
      <c r="F133" s="877"/>
      <c r="G133" s="861"/>
      <c r="H133" s="31"/>
      <c r="I133" s="31"/>
      <c r="J133" s="32"/>
    </row>
    <row r="134" spans="1:10" s="635" customFormat="1" ht="15.75" hidden="1" customHeight="1">
      <c r="A134" s="715" t="s">
        <v>764</v>
      </c>
      <c r="B134" s="713"/>
      <c r="C134" s="657">
        <f>PrSchr7</f>
        <v>0</v>
      </c>
      <c r="D134" s="291" t="s">
        <v>740</v>
      </c>
      <c r="E134" s="747" t="str">
        <f t="shared" si="6"/>
        <v>Description of non conformance (mandatory)</v>
      </c>
      <c r="F134" s="877"/>
      <c r="G134" s="861"/>
      <c r="H134" s="31"/>
      <c r="I134" s="31"/>
      <c r="J134" s="32"/>
    </row>
    <row r="135" spans="1:10" s="635" customFormat="1" ht="15.75" hidden="1" customHeight="1">
      <c r="A135" s="715" t="s">
        <v>765</v>
      </c>
      <c r="B135" s="713"/>
      <c r="C135" s="657">
        <f>PrSchr8</f>
        <v>0</v>
      </c>
      <c r="D135" s="291" t="s">
        <v>740</v>
      </c>
      <c r="E135" s="747" t="str">
        <f t="shared" si="6"/>
        <v>Description of non conformance (mandatory)</v>
      </c>
      <c r="F135" s="877"/>
      <c r="G135" s="861"/>
      <c r="H135" s="31"/>
      <c r="I135" s="31"/>
      <c r="J135" s="32"/>
    </row>
    <row r="136" spans="1:10" s="635" customFormat="1" ht="15.75" hidden="1" customHeight="1">
      <c r="A136" s="715" t="s">
        <v>766</v>
      </c>
      <c r="B136" s="713"/>
      <c r="C136" s="657">
        <f>PrSchr9</f>
        <v>0</v>
      </c>
      <c r="D136" s="291" t="s">
        <v>740</v>
      </c>
      <c r="E136" s="747" t="str">
        <f t="shared" si="6"/>
        <v>Description of non conformance (mandatory)</v>
      </c>
      <c r="F136" s="877"/>
      <c r="G136" s="861"/>
      <c r="H136" s="31"/>
      <c r="I136" s="31"/>
      <c r="J136" s="32"/>
    </row>
    <row r="137" spans="1:10" s="635" customFormat="1" ht="16.5" hidden="1" customHeight="1" thickBot="1">
      <c r="A137" s="715" t="s">
        <v>767</v>
      </c>
      <c r="B137" s="713"/>
      <c r="C137" s="657">
        <f>PrSchr10</f>
        <v>0</v>
      </c>
      <c r="D137" s="291" t="s">
        <v>740</v>
      </c>
      <c r="E137" s="912" t="str">
        <f t="shared" si="6"/>
        <v>Description of non conformance (mandatory)</v>
      </c>
      <c r="F137" s="877"/>
      <c r="G137" s="861"/>
      <c r="H137" s="31"/>
      <c r="I137" s="31"/>
      <c r="J137" s="32"/>
    </row>
    <row r="138" spans="1:10" s="635" customFormat="1" ht="16.5" thickBot="1">
      <c r="A138" s="716" t="s">
        <v>0</v>
      </c>
      <c r="B138" s="818"/>
      <c r="C138" s="673" t="str">
        <f>VLOOKUP(pos(C138),'Language-Sprachen'!$A$200:$G$461,'Language-Sprachen'!$A$3,0)</f>
        <v>Does a repeat release for the restart of production take place?</v>
      </c>
      <c r="D138" s="1165"/>
      <c r="E138" s="1166"/>
      <c r="F138" s="873"/>
      <c r="G138" s="752"/>
      <c r="H138"/>
      <c r="I138"/>
      <c r="J138" s="36"/>
    </row>
    <row r="139" spans="1:10" s="635" customFormat="1" ht="15.75">
      <c r="A139" s="715" t="s">
        <v>279</v>
      </c>
      <c r="B139" s="718"/>
      <c r="C139" s="657" t="str">
        <f>PrSchr1</f>
        <v>Incoming</v>
      </c>
      <c r="D139" s="328">
        <v>10</v>
      </c>
      <c r="E139" s="1126" t="str">
        <f>IF((D139="n.e."),$L$13,IF(D139=10,$L$14,$L$15))</f>
        <v>No weakness identified</v>
      </c>
      <c r="F139" s="877"/>
      <c r="G139" s="861" t="str">
        <f>IF('Input Form'!$C$53="x","OK","")</f>
        <v/>
      </c>
      <c r="H139" s="31" t="str">
        <f>IF('Input Form'!$D$53="x","OK","")</f>
        <v/>
      </c>
      <c r="I139" s="31" t="str">
        <f>IF('Input Form'!$E$53="x","OK","")</f>
        <v/>
      </c>
      <c r="J139" s="32" t="str">
        <f>IF('Input Form'!$F$53="x","OK","")</f>
        <v/>
      </c>
    </row>
    <row r="140" spans="1:10" s="635" customFormat="1" ht="15.75">
      <c r="A140" s="715" t="s">
        <v>280</v>
      </c>
      <c r="B140" s="718"/>
      <c r="C140" s="1129" t="str">
        <f>PrSchr2</f>
        <v>Manufacturing</v>
      </c>
      <c r="D140" s="328">
        <v>10</v>
      </c>
      <c r="E140" s="1126" t="str">
        <f>IF((D140="n.e."),$L$13,IF(D140=10,$L$14,$L$15))</f>
        <v>No weakness identified</v>
      </c>
      <c r="F140" s="877"/>
      <c r="G140" s="861" t="str">
        <f>IF('Input Form'!$C$54="x","OK","")</f>
        <v/>
      </c>
      <c r="H140" s="31" t="str">
        <f>IF('Input Form'!$D$54="x","OK","")</f>
        <v/>
      </c>
      <c r="I140" s="31" t="str">
        <f>IF('Input Form'!$E$54="x","OK","")</f>
        <v/>
      </c>
      <c r="J140" s="32" t="str">
        <f>IF('Input Form'!$F$54="x","OK","")</f>
        <v/>
      </c>
    </row>
    <row r="141" spans="1:10" s="635" customFormat="1" ht="16.5" thickBot="1">
      <c r="A141" s="715" t="s">
        <v>281</v>
      </c>
      <c r="B141" s="718"/>
      <c r="C141" s="657" t="str">
        <f>PrSchr3</f>
        <v>Shipping</v>
      </c>
      <c r="D141" s="328">
        <v>10</v>
      </c>
      <c r="E141" s="1126" t="str">
        <f>IF((D141="n.e."),$L$13,IF(D141=10,$L$14,$L$15))</f>
        <v>No weakness identified</v>
      </c>
      <c r="F141" s="877"/>
      <c r="G141" s="861" t="str">
        <f>IF('Input Form'!$C$55="x","OK","")</f>
        <v/>
      </c>
      <c r="H141" s="31" t="str">
        <f>IF('Input Form'!$D$55="x","OK","")</f>
        <v/>
      </c>
      <c r="I141" s="31" t="str">
        <f>IF('Input Form'!$E$55="x","OK","")</f>
        <v/>
      </c>
      <c r="J141" s="32" t="str">
        <f>IF('Input Form'!$F$55="x","OK","")</f>
        <v/>
      </c>
    </row>
    <row r="142" spans="1:10" s="635" customFormat="1" ht="15.75" hidden="1" customHeight="1">
      <c r="A142" s="715" t="s">
        <v>761</v>
      </c>
      <c r="B142" s="718"/>
      <c r="C142" s="657">
        <f>PrSchr4</f>
        <v>0</v>
      </c>
      <c r="D142" s="291" t="s">
        <v>740</v>
      </c>
      <c r="E142" s="747" t="str">
        <f t="shared" ref="E142:E148" si="7">IF(ISBLANK(D142),$L$13,IF(D142=10,$L$14,$L$15))</f>
        <v>Description of non conformance (mandatory)</v>
      </c>
      <c r="F142" s="877"/>
      <c r="G142" s="861"/>
      <c r="H142" s="31"/>
      <c r="I142" s="31"/>
      <c r="J142" s="32"/>
    </row>
    <row r="143" spans="1:10" s="635" customFormat="1" ht="15.75" hidden="1" customHeight="1">
      <c r="A143" s="715" t="s">
        <v>762</v>
      </c>
      <c r="B143" s="718"/>
      <c r="C143" s="657">
        <f>PrSchr5</f>
        <v>0</v>
      </c>
      <c r="D143" s="291" t="s">
        <v>740</v>
      </c>
      <c r="E143" s="747" t="str">
        <f t="shared" si="7"/>
        <v>Description of non conformance (mandatory)</v>
      </c>
      <c r="F143" s="877"/>
      <c r="G143" s="861" t="str">
        <f>IF('Input Form'!$C$55="x","OK","")</f>
        <v/>
      </c>
      <c r="H143" s="31" t="str">
        <f>IF('Input Form'!$D$55="x","OK","")</f>
        <v/>
      </c>
      <c r="I143" s="31" t="str">
        <f>IF('Input Form'!$E$55="x","OK","")</f>
        <v/>
      </c>
      <c r="J143" s="32" t="str">
        <f>IF('Input Form'!$F$55="x","OK","")</f>
        <v/>
      </c>
    </row>
    <row r="144" spans="1:10" s="635" customFormat="1" ht="15.75" hidden="1" customHeight="1">
      <c r="A144" s="715" t="s">
        <v>763</v>
      </c>
      <c r="B144" s="713"/>
      <c r="C144" s="657">
        <f>PrSchr6</f>
        <v>0</v>
      </c>
      <c r="D144" s="291" t="s">
        <v>740</v>
      </c>
      <c r="E144" s="747" t="str">
        <f t="shared" si="7"/>
        <v>Description of non conformance (mandatory)</v>
      </c>
      <c r="F144" s="877"/>
      <c r="G144" s="861"/>
      <c r="H144" s="31"/>
      <c r="I144" s="31"/>
      <c r="J144" s="32"/>
    </row>
    <row r="145" spans="1:10" s="635" customFormat="1" ht="15.75" hidden="1" customHeight="1">
      <c r="A145" s="715" t="s">
        <v>764</v>
      </c>
      <c r="B145" s="713"/>
      <c r="C145" s="657">
        <f>PrSchr7</f>
        <v>0</v>
      </c>
      <c r="D145" s="291" t="s">
        <v>740</v>
      </c>
      <c r="E145" s="747" t="str">
        <f t="shared" si="7"/>
        <v>Description of non conformance (mandatory)</v>
      </c>
      <c r="F145" s="877"/>
      <c r="G145" s="861"/>
      <c r="H145" s="31"/>
      <c r="I145" s="31"/>
      <c r="J145" s="32"/>
    </row>
    <row r="146" spans="1:10" s="635" customFormat="1" ht="15.75" hidden="1" customHeight="1">
      <c r="A146" s="715" t="s">
        <v>765</v>
      </c>
      <c r="B146" s="713"/>
      <c r="C146" s="657">
        <f>PrSchr8</f>
        <v>0</v>
      </c>
      <c r="D146" s="291" t="s">
        <v>740</v>
      </c>
      <c r="E146" s="747" t="str">
        <f t="shared" si="7"/>
        <v>Description of non conformance (mandatory)</v>
      </c>
      <c r="F146" s="877"/>
      <c r="G146" s="861"/>
      <c r="H146" s="31"/>
      <c r="I146" s="31"/>
      <c r="J146" s="32"/>
    </row>
    <row r="147" spans="1:10" s="635" customFormat="1" ht="15.75" hidden="1" customHeight="1">
      <c r="A147" s="715" t="s">
        <v>766</v>
      </c>
      <c r="B147" s="713"/>
      <c r="C147" s="657">
        <f>PrSchr9</f>
        <v>0</v>
      </c>
      <c r="D147" s="291" t="s">
        <v>740</v>
      </c>
      <c r="E147" s="747" t="str">
        <f t="shared" si="7"/>
        <v>Description of non conformance (mandatory)</v>
      </c>
      <c r="F147" s="877"/>
      <c r="G147" s="861"/>
      <c r="H147" s="31"/>
      <c r="I147" s="31"/>
      <c r="J147" s="32"/>
    </row>
    <row r="148" spans="1:10" s="635" customFormat="1" ht="16.5" hidden="1" customHeight="1" thickBot="1">
      <c r="A148" s="715" t="s">
        <v>767</v>
      </c>
      <c r="B148" s="713"/>
      <c r="C148" s="657">
        <f>PrSchr10</f>
        <v>0</v>
      </c>
      <c r="D148" s="291" t="s">
        <v>740</v>
      </c>
      <c r="E148" s="912" t="str">
        <f t="shared" si="7"/>
        <v>Description of non conformance (mandatory)</v>
      </c>
      <c r="F148" s="877"/>
      <c r="G148" s="861"/>
      <c r="H148" s="31"/>
      <c r="I148" s="31"/>
      <c r="J148" s="32"/>
    </row>
    <row r="149" spans="1:10" s="635" customFormat="1" ht="16.5" thickBot="1">
      <c r="A149" s="726" t="s">
        <v>1</v>
      </c>
      <c r="B149" s="727" t="s">
        <v>10</v>
      </c>
      <c r="C149" s="673" t="str">
        <f>VLOOKUP(pos(C149),'Language-Sprachen'!$A$200:$G$461,'Language-Sprachen'!$A$3,0)</f>
        <v>Are special characteristics managed in the production?</v>
      </c>
      <c r="D149" s="1165"/>
      <c r="E149" s="1166"/>
      <c r="F149" s="873"/>
      <c r="G149" s="752"/>
      <c r="H149"/>
      <c r="I149"/>
      <c r="J149" s="36"/>
    </row>
    <row r="150" spans="1:10" s="635" customFormat="1" ht="15.75">
      <c r="A150" s="728" t="s">
        <v>279</v>
      </c>
      <c r="B150" s="729"/>
      <c r="C150" s="657" t="str">
        <f>PrSchr1</f>
        <v>Incoming</v>
      </c>
      <c r="D150" s="292">
        <v>10</v>
      </c>
      <c r="E150" s="1126" t="str">
        <f>IF((D150="n.e."),$L$13,IF(D150=10,$L$14,$L$15))</f>
        <v>No weakness identified</v>
      </c>
      <c r="F150" s="877"/>
      <c r="G150" s="861" t="str">
        <f>IF('Input Form'!$C$53="x","OK","")</f>
        <v/>
      </c>
      <c r="H150" s="31" t="str">
        <f>IF('Input Form'!$D$53="x","OK","")</f>
        <v/>
      </c>
      <c r="I150" s="31" t="str">
        <f>IF('Input Form'!$E$53="x","OK","")</f>
        <v/>
      </c>
      <c r="J150" s="32" t="str">
        <f>IF('Input Form'!$F$53="x","OK","")</f>
        <v/>
      </c>
    </row>
    <row r="151" spans="1:10" s="635" customFormat="1" ht="60">
      <c r="A151" s="728" t="s">
        <v>280</v>
      </c>
      <c r="B151" s="729"/>
      <c r="C151" s="657" t="str">
        <f>PrSchr2</f>
        <v>Manufacturing</v>
      </c>
      <c r="D151" s="292">
        <v>6</v>
      </c>
      <c r="E151" s="1126" t="s">
        <v>1202</v>
      </c>
      <c r="F151" s="877"/>
      <c r="G151" s="861" t="str">
        <f>IF('Input Form'!$C$54="x","OK","")</f>
        <v/>
      </c>
      <c r="H151" s="31" t="str">
        <f>IF('Input Form'!$D$54="x","OK","")</f>
        <v/>
      </c>
      <c r="I151" s="31" t="str">
        <f>IF('Input Form'!$E$54="x","OK","")</f>
        <v/>
      </c>
      <c r="J151" s="32" t="str">
        <f>IF('Input Form'!$F$54="x","OK","")</f>
        <v/>
      </c>
    </row>
    <row r="152" spans="1:10" s="635" customFormat="1" ht="16.5" thickBot="1">
      <c r="A152" s="728" t="s">
        <v>281</v>
      </c>
      <c r="B152" s="729"/>
      <c r="C152" s="657" t="str">
        <f>PrSchr3</f>
        <v>Shipping</v>
      </c>
      <c r="D152" s="292">
        <v>10</v>
      </c>
      <c r="E152" s="1126" t="str">
        <f>IF((D152="n.e."),$L$13,IF(D152=10,$L$14,$L$15))</f>
        <v>No weakness identified</v>
      </c>
      <c r="F152" s="877"/>
      <c r="G152" s="861" t="str">
        <f>IF('Input Form'!$C$55="x","OK","")</f>
        <v/>
      </c>
      <c r="H152" s="31" t="str">
        <f>IF('Input Form'!$D$55="x","OK","")</f>
        <v/>
      </c>
      <c r="I152" s="31" t="str">
        <f>IF('Input Form'!$E$55="x","OK","")</f>
        <v/>
      </c>
      <c r="J152" s="32" t="str">
        <f>IF('Input Form'!$F$55="x","OK","")</f>
        <v/>
      </c>
    </row>
    <row r="153" spans="1:10" s="635" customFormat="1" ht="15.75" hidden="1" customHeight="1">
      <c r="A153" s="721" t="s">
        <v>761</v>
      </c>
      <c r="B153" s="722"/>
      <c r="C153" s="657">
        <f>PrSchr4</f>
        <v>0</v>
      </c>
      <c r="D153" s="328" t="s">
        <v>740</v>
      </c>
      <c r="E153" s="747" t="str">
        <f t="shared" ref="E153:E159" si="8">IF(ISBLANK(D153),$L$13,IF(D153=10,$L$14,$L$15))</f>
        <v>Description of non conformance (mandatory)</v>
      </c>
      <c r="F153" s="877"/>
      <c r="G153" s="861"/>
      <c r="H153" s="31"/>
      <c r="I153" s="31"/>
      <c r="J153" s="32"/>
    </row>
    <row r="154" spans="1:10" s="635" customFormat="1" ht="15.75" hidden="1" customHeight="1">
      <c r="A154" s="721" t="s">
        <v>762</v>
      </c>
      <c r="B154" s="722"/>
      <c r="C154" s="657">
        <f>PrSchr5</f>
        <v>0</v>
      </c>
      <c r="D154" s="328" t="s">
        <v>740</v>
      </c>
      <c r="E154" s="747" t="str">
        <f t="shared" si="8"/>
        <v>Description of non conformance (mandatory)</v>
      </c>
      <c r="F154" s="877"/>
      <c r="G154" s="861" t="str">
        <f>IF('Input Form'!$C$55="x","OK","")</f>
        <v/>
      </c>
      <c r="H154" s="31" t="str">
        <f>IF('Input Form'!$D$55="x","OK","")</f>
        <v/>
      </c>
      <c r="I154" s="31" t="str">
        <f>IF('Input Form'!$E$55="x","OK","")</f>
        <v/>
      </c>
      <c r="J154" s="32" t="str">
        <f>IF('Input Form'!$F$55="x","OK","")</f>
        <v/>
      </c>
    </row>
    <row r="155" spans="1:10" s="635" customFormat="1" ht="15.75" hidden="1" customHeight="1">
      <c r="A155" s="721" t="s">
        <v>763</v>
      </c>
      <c r="B155" s="722"/>
      <c r="C155" s="657">
        <f>PrSchr6</f>
        <v>0</v>
      </c>
      <c r="D155" s="328" t="s">
        <v>740</v>
      </c>
      <c r="E155" s="747" t="str">
        <f t="shared" si="8"/>
        <v>Description of non conformance (mandatory)</v>
      </c>
      <c r="F155" s="877"/>
      <c r="G155" s="861"/>
      <c r="H155" s="31"/>
      <c r="I155" s="31"/>
      <c r="J155" s="32"/>
    </row>
    <row r="156" spans="1:10" s="635" customFormat="1" ht="15.75" hidden="1" customHeight="1">
      <c r="A156" s="721" t="s">
        <v>764</v>
      </c>
      <c r="B156" s="722"/>
      <c r="C156" s="657">
        <f>PrSchr7</f>
        <v>0</v>
      </c>
      <c r="D156" s="328" t="s">
        <v>740</v>
      </c>
      <c r="E156" s="747" t="str">
        <f t="shared" si="8"/>
        <v>Description of non conformance (mandatory)</v>
      </c>
      <c r="F156" s="877"/>
      <c r="G156" s="861"/>
      <c r="H156" s="31"/>
      <c r="I156" s="31"/>
      <c r="J156" s="32"/>
    </row>
    <row r="157" spans="1:10" s="635" customFormat="1" ht="15.75" hidden="1" customHeight="1">
      <c r="A157" s="721" t="s">
        <v>765</v>
      </c>
      <c r="B157" s="722"/>
      <c r="C157" s="657">
        <f>PrSchr8</f>
        <v>0</v>
      </c>
      <c r="D157" s="328" t="s">
        <v>740</v>
      </c>
      <c r="E157" s="747" t="str">
        <f t="shared" si="8"/>
        <v>Description of non conformance (mandatory)</v>
      </c>
      <c r="F157" s="877"/>
      <c r="G157" s="861"/>
      <c r="H157" s="31"/>
      <c r="I157" s="31"/>
      <c r="J157" s="32"/>
    </row>
    <row r="158" spans="1:10" s="635" customFormat="1" ht="15.75" hidden="1" customHeight="1">
      <c r="A158" s="721" t="s">
        <v>766</v>
      </c>
      <c r="B158" s="722"/>
      <c r="C158" s="657">
        <f>PrSchr9</f>
        <v>0</v>
      </c>
      <c r="D158" s="328" t="s">
        <v>740</v>
      </c>
      <c r="E158" s="747" t="str">
        <f t="shared" si="8"/>
        <v>Description of non conformance (mandatory)</v>
      </c>
      <c r="F158" s="877"/>
      <c r="G158" s="861"/>
      <c r="H158" s="31"/>
      <c r="I158" s="31"/>
      <c r="J158" s="32"/>
    </row>
    <row r="159" spans="1:10" s="635" customFormat="1" ht="16.5" hidden="1" customHeight="1" thickBot="1">
      <c r="A159" s="728" t="s">
        <v>767</v>
      </c>
      <c r="B159" s="729"/>
      <c r="C159" s="657">
        <f>PrSchr10</f>
        <v>0</v>
      </c>
      <c r="D159" s="328" t="s">
        <v>740</v>
      </c>
      <c r="E159" s="912" t="str">
        <f t="shared" si="8"/>
        <v>Description of non conformance (mandatory)</v>
      </c>
      <c r="F159" s="877"/>
      <c r="G159" s="861"/>
      <c r="H159" s="31"/>
      <c r="I159" s="31"/>
      <c r="J159" s="32"/>
    </row>
    <row r="160" spans="1:10" s="635" customFormat="1" ht="16.5" thickBot="1">
      <c r="A160" s="726" t="s">
        <v>2</v>
      </c>
      <c r="B160" s="730" t="s">
        <v>10</v>
      </c>
      <c r="C160" s="673" t="str">
        <f>VLOOKUP(pos(C160),'Language-Sprachen'!$A$200:$G$461,'Language-Sprachen'!$A$3,0)</f>
        <v>Are non-released and/or defective parts managed?</v>
      </c>
      <c r="D160" s="1165"/>
      <c r="E160" s="1166"/>
      <c r="F160" s="873"/>
      <c r="G160" s="752"/>
      <c r="H160"/>
      <c r="I160"/>
      <c r="J160" s="36"/>
    </row>
    <row r="161" spans="1:10" s="635" customFormat="1" ht="15.75">
      <c r="A161" s="728" t="s">
        <v>279</v>
      </c>
      <c r="B161" s="729"/>
      <c r="C161" s="657" t="str">
        <f>PrSchr1</f>
        <v>Incoming</v>
      </c>
      <c r="D161" s="292">
        <v>10</v>
      </c>
      <c r="E161" s="1126" t="str">
        <f>IF((D161="n.e."),$L$13,IF(D161=10,$L$14,$L$15))</f>
        <v>No weakness identified</v>
      </c>
      <c r="F161" s="877"/>
      <c r="G161" s="861" t="str">
        <f>IF('Input Form'!$C$53="x","OK","")</f>
        <v/>
      </c>
      <c r="H161" s="31" t="str">
        <f>IF('Input Form'!$D$53="x","OK","")</f>
        <v/>
      </c>
      <c r="I161" s="31" t="str">
        <f>IF('Input Form'!$E$53="x","OK","")</f>
        <v/>
      </c>
      <c r="J161" s="32" t="str">
        <f>IF('Input Form'!$F$53="x","OK","")</f>
        <v/>
      </c>
    </row>
    <row r="162" spans="1:10" s="635" customFormat="1" ht="135">
      <c r="A162" s="728" t="s">
        <v>280</v>
      </c>
      <c r="B162" s="729"/>
      <c r="C162" s="657" t="str">
        <f>PrSchr2</f>
        <v>Manufacturing</v>
      </c>
      <c r="D162" s="292">
        <v>4</v>
      </c>
      <c r="E162" s="1126" t="s">
        <v>1169</v>
      </c>
      <c r="F162" s="877"/>
      <c r="G162" s="861" t="str">
        <f>IF('Input Form'!$C$54="x","OK","")</f>
        <v/>
      </c>
      <c r="H162" s="31" t="str">
        <f>IF('Input Form'!$D$54="x","OK","")</f>
        <v/>
      </c>
      <c r="I162" s="31" t="str">
        <f>IF('Input Form'!$E$54="x","OK","")</f>
        <v/>
      </c>
      <c r="J162" s="32" t="str">
        <f>IF('Input Form'!$F$54="x","OK","")</f>
        <v/>
      </c>
    </row>
    <row r="163" spans="1:10" s="635" customFormat="1" ht="16.5" thickBot="1">
      <c r="A163" s="728" t="s">
        <v>281</v>
      </c>
      <c r="B163" s="729"/>
      <c r="C163" s="657" t="str">
        <f>PrSchr3</f>
        <v>Shipping</v>
      </c>
      <c r="D163" s="292">
        <v>10</v>
      </c>
      <c r="E163" s="1126" t="str">
        <f>IF((D163="n.e."),$L$13,IF(D163=10,$L$14,$L$15))</f>
        <v>No weakness identified</v>
      </c>
      <c r="F163" s="877"/>
      <c r="G163" s="861" t="str">
        <f>IF('Input Form'!$C$55="x","OK","")</f>
        <v/>
      </c>
      <c r="H163" s="31" t="str">
        <f>IF('Input Form'!$D$55="x","OK","")</f>
        <v/>
      </c>
      <c r="I163" s="31" t="str">
        <f>IF('Input Form'!$E$55="x","OK","")</f>
        <v/>
      </c>
      <c r="J163" s="32" t="str">
        <f>IF('Input Form'!$F$55="x","OK","")</f>
        <v/>
      </c>
    </row>
    <row r="164" spans="1:10" s="635" customFormat="1" ht="15.75" hidden="1" customHeight="1">
      <c r="A164" s="721" t="s">
        <v>761</v>
      </c>
      <c r="B164" s="722"/>
      <c r="C164" s="657">
        <f>PrSchr4</f>
        <v>0</v>
      </c>
      <c r="D164" s="328" t="s">
        <v>740</v>
      </c>
      <c r="E164" s="747" t="str">
        <f t="shared" ref="E164:E170" si="9">IF(ISBLANK(D164),$L$13,IF(D164=10,$L$14,$L$15))</f>
        <v>Description of non conformance (mandatory)</v>
      </c>
      <c r="F164" s="877"/>
      <c r="G164" s="861"/>
      <c r="H164" s="31"/>
      <c r="I164" s="31"/>
      <c r="J164" s="32"/>
    </row>
    <row r="165" spans="1:10" s="635" customFormat="1" ht="15.75" hidden="1" customHeight="1">
      <c r="A165" s="721" t="s">
        <v>762</v>
      </c>
      <c r="B165" s="722"/>
      <c r="C165" s="657">
        <f>PrSchr5</f>
        <v>0</v>
      </c>
      <c r="D165" s="328" t="s">
        <v>740</v>
      </c>
      <c r="E165" s="747" t="str">
        <f t="shared" si="9"/>
        <v>Description of non conformance (mandatory)</v>
      </c>
      <c r="F165" s="877"/>
      <c r="G165" s="861" t="str">
        <f>IF('Input Form'!$C$55="x","OK","")</f>
        <v/>
      </c>
      <c r="H165" s="31" t="str">
        <f>IF('Input Form'!$D$55="x","OK","")</f>
        <v/>
      </c>
      <c r="I165" s="31" t="str">
        <f>IF('Input Form'!$E$55="x","OK","")</f>
        <v/>
      </c>
      <c r="J165" s="32" t="str">
        <f>IF('Input Form'!$F$55="x","OK","")</f>
        <v/>
      </c>
    </row>
    <row r="166" spans="1:10" s="635" customFormat="1" ht="15.75" hidden="1" customHeight="1">
      <c r="A166" s="721" t="s">
        <v>763</v>
      </c>
      <c r="B166" s="722"/>
      <c r="C166" s="657">
        <f>PrSchr6</f>
        <v>0</v>
      </c>
      <c r="D166" s="328" t="s">
        <v>740</v>
      </c>
      <c r="E166" s="747" t="str">
        <f t="shared" si="9"/>
        <v>Description of non conformance (mandatory)</v>
      </c>
      <c r="F166" s="877"/>
      <c r="G166" s="861"/>
      <c r="H166" s="31"/>
      <c r="I166" s="31"/>
      <c r="J166" s="32"/>
    </row>
    <row r="167" spans="1:10" s="635" customFormat="1" ht="15.75" hidden="1" customHeight="1">
      <c r="A167" s="721" t="s">
        <v>764</v>
      </c>
      <c r="B167" s="722"/>
      <c r="C167" s="657">
        <f>PrSchr7</f>
        <v>0</v>
      </c>
      <c r="D167" s="328" t="s">
        <v>740</v>
      </c>
      <c r="E167" s="747" t="str">
        <f t="shared" si="9"/>
        <v>Description of non conformance (mandatory)</v>
      </c>
      <c r="F167" s="877"/>
      <c r="G167" s="861"/>
      <c r="H167" s="31"/>
      <c r="I167" s="31"/>
      <c r="J167" s="32"/>
    </row>
    <row r="168" spans="1:10" s="635" customFormat="1" ht="15.75" hidden="1" customHeight="1">
      <c r="A168" s="721" t="s">
        <v>765</v>
      </c>
      <c r="B168" s="722"/>
      <c r="C168" s="657">
        <f>PrSchr8</f>
        <v>0</v>
      </c>
      <c r="D168" s="328" t="s">
        <v>740</v>
      </c>
      <c r="E168" s="747" t="str">
        <f t="shared" si="9"/>
        <v>Description of non conformance (mandatory)</v>
      </c>
      <c r="F168" s="877"/>
      <c r="G168" s="861"/>
      <c r="H168" s="31"/>
      <c r="I168" s="31"/>
      <c r="J168" s="32"/>
    </row>
    <row r="169" spans="1:10" s="635" customFormat="1" ht="15.75" hidden="1" customHeight="1">
      <c r="A169" s="721" t="s">
        <v>766</v>
      </c>
      <c r="B169" s="722"/>
      <c r="C169" s="657">
        <f>PrSchr9</f>
        <v>0</v>
      </c>
      <c r="D169" s="328" t="s">
        <v>740</v>
      </c>
      <c r="E169" s="747" t="str">
        <f t="shared" si="9"/>
        <v>Description of non conformance (mandatory)</v>
      </c>
      <c r="F169" s="877"/>
      <c r="G169" s="861"/>
      <c r="H169" s="31"/>
      <c r="I169" s="31"/>
      <c r="J169" s="32"/>
    </row>
    <row r="170" spans="1:10" s="635" customFormat="1" ht="16.5" hidden="1" customHeight="1" thickBot="1">
      <c r="A170" s="728" t="s">
        <v>767</v>
      </c>
      <c r="B170" s="729"/>
      <c r="C170" s="657">
        <f>PrSchr10</f>
        <v>0</v>
      </c>
      <c r="D170" s="328" t="s">
        <v>740</v>
      </c>
      <c r="E170" s="912" t="str">
        <f t="shared" si="9"/>
        <v>Description of non conformance (mandatory)</v>
      </c>
      <c r="F170" s="877"/>
      <c r="G170" s="861"/>
      <c r="H170" s="31"/>
      <c r="I170" s="31"/>
      <c r="J170" s="32"/>
    </row>
    <row r="171" spans="1:10" s="635" customFormat="1" ht="16.5" thickBot="1">
      <c r="A171" s="716" t="s">
        <v>65</v>
      </c>
      <c r="B171" s="717"/>
      <c r="C171" s="673" t="str">
        <f>VLOOKUP(pos(C171),'Language-Sprachen'!$A$200:$G$461,'Language-Sprachen'!$A$3,0)</f>
        <v>Is the flow of materials and parts secured against mixing / wrong items?</v>
      </c>
      <c r="D171" s="1165"/>
      <c r="E171" s="1166"/>
      <c r="F171" s="873"/>
      <c r="G171" s="752"/>
      <c r="H171"/>
      <c r="I171"/>
      <c r="J171" s="36"/>
    </row>
    <row r="172" spans="1:10" s="635" customFormat="1" ht="15.75">
      <c r="A172" s="715" t="s">
        <v>279</v>
      </c>
      <c r="B172" s="718"/>
      <c r="C172" s="657" t="str">
        <f>PrSchr1</f>
        <v>Incoming</v>
      </c>
      <c r="D172" s="291">
        <v>10</v>
      </c>
      <c r="E172" s="1126" t="str">
        <f>IF((D172="n.e."),$L$13,IF(D172=10,$L$14,$L$15))</f>
        <v>No weakness identified</v>
      </c>
      <c r="F172" s="877"/>
      <c r="G172" s="861" t="str">
        <f>IF('Input Form'!$C$53="x","OK","")</f>
        <v/>
      </c>
      <c r="H172" s="31" t="str">
        <f>IF('Input Form'!$D$53="x","OK","")</f>
        <v/>
      </c>
      <c r="I172" s="31" t="str">
        <f>IF('Input Form'!$E$53="x","OK","")</f>
        <v/>
      </c>
      <c r="J172" s="32" t="str">
        <f>IF('Input Form'!$F$53="x","OK","")</f>
        <v/>
      </c>
    </row>
    <row r="173" spans="1:10" s="635" customFormat="1" ht="45">
      <c r="A173" s="715" t="s">
        <v>280</v>
      </c>
      <c r="B173" s="718"/>
      <c r="C173" s="657" t="str">
        <f>PrSchr2</f>
        <v>Manufacturing</v>
      </c>
      <c r="D173" s="291">
        <v>4</v>
      </c>
      <c r="E173" s="1126" t="s">
        <v>1170</v>
      </c>
      <c r="F173" s="877"/>
      <c r="G173" s="861" t="str">
        <f>IF('Input Form'!$C$54="x","OK","")</f>
        <v/>
      </c>
      <c r="H173" s="31" t="str">
        <f>IF('Input Form'!$D$54="x","OK","")</f>
        <v/>
      </c>
      <c r="I173" s="31" t="str">
        <f>IF('Input Form'!$E$54="x","OK","")</f>
        <v/>
      </c>
      <c r="J173" s="32" t="str">
        <f>IF('Input Form'!$F$54="x","OK","")</f>
        <v/>
      </c>
    </row>
    <row r="174" spans="1:10" s="635" customFormat="1" ht="16.5" thickBot="1">
      <c r="A174" s="715" t="s">
        <v>281</v>
      </c>
      <c r="B174" s="718"/>
      <c r="C174" s="657" t="str">
        <f>PrSchr3</f>
        <v>Shipping</v>
      </c>
      <c r="D174" s="291">
        <v>10</v>
      </c>
      <c r="E174" s="1126" t="str">
        <f>IF((D174="n.e."),$L$13,IF(D174=10,$L$14,$L$15))</f>
        <v>No weakness identified</v>
      </c>
      <c r="F174" s="877"/>
      <c r="G174" s="861" t="str">
        <f>IF('Input Form'!$C$55="x","OK","")</f>
        <v/>
      </c>
      <c r="H174" s="31" t="str">
        <f>IF('Input Form'!$D$55="x","OK","")</f>
        <v/>
      </c>
      <c r="I174" s="31" t="str">
        <f>IF('Input Form'!$E$55="x","OK","")</f>
        <v/>
      </c>
      <c r="J174" s="32" t="str">
        <f>IF('Input Form'!$F$55="x","OK","")</f>
        <v/>
      </c>
    </row>
    <row r="175" spans="1:10" s="635" customFormat="1" ht="15.75" hidden="1" customHeight="1">
      <c r="A175" s="715" t="s">
        <v>761</v>
      </c>
      <c r="B175" s="718"/>
      <c r="C175" s="657">
        <f>PrSchr4</f>
        <v>0</v>
      </c>
      <c r="D175" s="291" t="s">
        <v>740</v>
      </c>
      <c r="E175" s="747" t="str">
        <f>IF(ISBLANK(D175),$L$13,IF(D175=10,$L$14,$L$15))</f>
        <v>Description of non conformance (mandatory)</v>
      </c>
      <c r="F175" s="877"/>
      <c r="G175" s="861"/>
      <c r="H175" s="31"/>
      <c r="I175" s="31"/>
      <c r="J175" s="32"/>
    </row>
    <row r="176" spans="1:10" s="635" customFormat="1" ht="15.75" hidden="1" customHeight="1">
      <c r="A176" s="715" t="s">
        <v>762</v>
      </c>
      <c r="B176" s="718"/>
      <c r="C176" s="657">
        <f>PrSchr5</f>
        <v>0</v>
      </c>
      <c r="D176" s="291" t="s">
        <v>740</v>
      </c>
      <c r="E176" s="747" t="str">
        <f>IF(ISBLANK(D176),$L$13,IF(D176=10,$L$14,$L$15))</f>
        <v>Description of non conformance (mandatory)</v>
      </c>
      <c r="F176" s="877"/>
      <c r="G176" s="861" t="str">
        <f>IF('Input Form'!$C$55="x","OK","")</f>
        <v/>
      </c>
      <c r="H176" s="31" t="str">
        <f>IF('Input Form'!$D$55="x","OK","")</f>
        <v/>
      </c>
      <c r="I176" s="31" t="str">
        <f>IF('Input Form'!$E$55="x","OK","")</f>
        <v/>
      </c>
      <c r="J176" s="32" t="str">
        <f>IF('Input Form'!$F$55="x","OK","")</f>
        <v/>
      </c>
    </row>
    <row r="177" spans="1:10" s="635" customFormat="1" ht="15.75" hidden="1" customHeight="1">
      <c r="A177" s="715" t="s">
        <v>763</v>
      </c>
      <c r="B177" s="713"/>
      <c r="C177" s="657">
        <f>PrSchr6</f>
        <v>0</v>
      </c>
      <c r="D177" s="291" t="s">
        <v>740</v>
      </c>
      <c r="E177" s="747" t="str">
        <f>IF(ISBLANK(D177),$L$13,IF(D177=10,$L$14,$L$15))</f>
        <v>Description of non conformance (mandatory)</v>
      </c>
      <c r="F177" s="877"/>
      <c r="G177" s="861"/>
      <c r="H177" s="31"/>
      <c r="I177" s="31"/>
      <c r="J177" s="32"/>
    </row>
    <row r="178" spans="1:10" s="635" customFormat="1" ht="15.75" hidden="1" customHeight="1">
      <c r="A178" s="715" t="s">
        <v>764</v>
      </c>
      <c r="B178" s="713"/>
      <c r="C178" s="657">
        <f>PrSchr7</f>
        <v>0</v>
      </c>
      <c r="D178" s="291" t="s">
        <v>740</v>
      </c>
      <c r="E178" s="747" t="str">
        <f>IF(ISBLANK(D178),$L$13,IF(D178=10,$L$14,$L$15))</f>
        <v>Description of non conformance (mandatory)</v>
      </c>
      <c r="F178" s="877"/>
      <c r="G178" s="861"/>
      <c r="H178" s="31"/>
      <c r="I178" s="31"/>
      <c r="J178" s="32"/>
    </row>
    <row r="179" spans="1:10" s="635" customFormat="1" ht="15.75" hidden="1" customHeight="1">
      <c r="A179" s="715" t="s">
        <v>765</v>
      </c>
      <c r="B179" s="713"/>
      <c r="C179" s="657">
        <f>PrSchr8</f>
        <v>0</v>
      </c>
      <c r="D179" s="291" t="s">
        <v>740</v>
      </c>
      <c r="E179" s="747" t="str">
        <f>IF(ISBLANK(D179),$L$13,IF(D179=10,$L$14,$L$15))</f>
        <v>Description of non conformance (mandatory)</v>
      </c>
      <c r="F179" s="877"/>
      <c r="G179" s="861"/>
      <c r="H179" s="31"/>
      <c r="I179" s="31"/>
      <c r="J179" s="32"/>
    </row>
    <row r="180" spans="1:10" s="635" customFormat="1" ht="39.75" customHeight="1" thickBot="1">
      <c r="A180" s="709" t="s">
        <v>3</v>
      </c>
      <c r="B180" s="710">
        <f>Evaluation!_es3</f>
        <v>0.83</v>
      </c>
      <c r="C180" s="711" t="str">
        <f>VLOOKUP(pos(C180),'Language-Sprachen'!$A$200:$G$461,'Language-Sprachen'!$A$3,0)</f>
        <v>What functions support the process? Personnel resources</v>
      </c>
      <c r="D180" s="1163"/>
      <c r="E180" s="1164"/>
      <c r="F180" s="874"/>
      <c r="G180" s="752"/>
      <c r="H180"/>
      <c r="I180"/>
      <c r="J180" s="36"/>
    </row>
    <row r="181" spans="1:10" s="635" customFormat="1" ht="16.5" hidden="1" customHeight="1" thickBot="1">
      <c r="A181" s="725" t="s">
        <v>66</v>
      </c>
      <c r="B181" s="720" t="s">
        <v>10</v>
      </c>
      <c r="C181" s="673" t="str">
        <f>VLOOKUP(pos(C181),'Language-Sprachen'!$A$200:$G$461,'Language-Sprachen'!$A$3,0)</f>
        <v>Are the employees able to fulfil their given tasks?</v>
      </c>
      <c r="D181" s="1165" t="s">
        <v>740</v>
      </c>
      <c r="E181" s="1166"/>
      <c r="F181" s="875"/>
      <c r="G181" s="752"/>
      <c r="H181"/>
      <c r="I181"/>
      <c r="J181" s="36"/>
    </row>
    <row r="182" spans="1:10" s="635" customFormat="1" ht="15.75" hidden="1" customHeight="1">
      <c r="A182" s="721" t="s">
        <v>279</v>
      </c>
      <c r="B182" s="722"/>
      <c r="C182" s="657" t="str">
        <f>PrSchr1</f>
        <v>Incoming</v>
      </c>
      <c r="D182" s="328" t="s">
        <v>740</v>
      </c>
      <c r="E182" s="1126" t="str">
        <f>IF((D182="n.e."),$L$13,IF(D182=10,$L$14,$L$15))</f>
        <v>Please rate!</v>
      </c>
      <c r="F182" s="877"/>
      <c r="G182" s="861" t="str">
        <f>IF('Input Form'!$C$53="x","OK","")</f>
        <v/>
      </c>
      <c r="H182" s="31" t="str">
        <f>IF('Input Form'!$D$53="x","OK","")</f>
        <v/>
      </c>
      <c r="I182" s="31" t="str">
        <f>IF('Input Form'!$E$53="x","OK","")</f>
        <v/>
      </c>
      <c r="J182" s="32" t="str">
        <f>IF('Input Form'!$F$53="x","OK","")</f>
        <v/>
      </c>
    </row>
    <row r="183" spans="1:10" s="635" customFormat="1" ht="45" hidden="1" customHeight="1">
      <c r="A183" s="721" t="s">
        <v>280</v>
      </c>
      <c r="B183" s="722"/>
      <c r="C183" s="657" t="str">
        <f>PrSchr2</f>
        <v>Manufacturing</v>
      </c>
      <c r="D183" s="329" t="s">
        <v>740</v>
      </c>
      <c r="E183" s="1126" t="s">
        <v>1171</v>
      </c>
      <c r="F183" s="877"/>
      <c r="G183" s="861" t="str">
        <f>IF('Input Form'!$C$54="x","OK","")</f>
        <v/>
      </c>
      <c r="H183" s="31" t="str">
        <f>IF('Input Form'!$D$54="x","OK","")</f>
        <v/>
      </c>
      <c r="I183" s="31" t="str">
        <f>IF('Input Form'!$E$54="x","OK","")</f>
        <v/>
      </c>
      <c r="J183" s="32" t="str">
        <f>IF('Input Form'!$F$54="x","OK","")</f>
        <v/>
      </c>
    </row>
    <row r="184" spans="1:10" s="635" customFormat="1" ht="16.5" hidden="1" customHeight="1" thickBot="1">
      <c r="A184" s="721" t="s">
        <v>281</v>
      </c>
      <c r="B184" s="722"/>
      <c r="C184" s="657" t="str">
        <f>PrSchr3</f>
        <v>Shipping</v>
      </c>
      <c r="D184" s="330" t="s">
        <v>740</v>
      </c>
      <c r="E184" s="1126" t="str">
        <f>IF((D184="n.e."),$L$13,IF(D184=10,$L$14,$L$15))</f>
        <v>Please rate!</v>
      </c>
      <c r="F184" s="877"/>
      <c r="G184" s="861" t="str">
        <f>IF('Input Form'!$C$55="x","OK","")</f>
        <v/>
      </c>
      <c r="H184" s="31" t="str">
        <f>IF('Input Form'!$D$55="x","OK","")</f>
        <v/>
      </c>
      <c r="I184" s="31" t="str">
        <f>IF('Input Form'!$E$55="x","OK","")</f>
        <v/>
      </c>
      <c r="J184" s="32" t="str">
        <f>IF('Input Form'!$F$55="x","OK","")</f>
        <v/>
      </c>
    </row>
    <row r="185" spans="1:10" s="635" customFormat="1" ht="15.75" hidden="1" customHeight="1">
      <c r="A185" s="721" t="s">
        <v>761</v>
      </c>
      <c r="B185" s="722"/>
      <c r="C185" s="657">
        <f>PrSchr4</f>
        <v>0</v>
      </c>
      <c r="D185" s="328" t="s">
        <v>740</v>
      </c>
      <c r="E185" s="747" t="str">
        <f t="shared" ref="E185:E191" si="10">IF(ISBLANK(D185),$L$13,IF(D185=10,$L$14,$L$15))</f>
        <v>Description of non conformance (mandatory)</v>
      </c>
      <c r="F185" s="877"/>
      <c r="G185" s="861"/>
      <c r="H185" s="31"/>
      <c r="I185" s="31"/>
      <c r="J185" s="32"/>
    </row>
    <row r="186" spans="1:10" s="635" customFormat="1" ht="15.75" hidden="1" customHeight="1">
      <c r="A186" s="721" t="s">
        <v>762</v>
      </c>
      <c r="B186" s="722"/>
      <c r="C186" s="657">
        <f>PrSchr5</f>
        <v>0</v>
      </c>
      <c r="D186" s="328" t="s">
        <v>740</v>
      </c>
      <c r="E186" s="747" t="str">
        <f t="shared" si="10"/>
        <v>Description of non conformance (mandatory)</v>
      </c>
      <c r="F186" s="877"/>
      <c r="G186" s="861" t="str">
        <f>IF('Input Form'!$C$55="x","OK","")</f>
        <v/>
      </c>
      <c r="H186" s="31" t="str">
        <f>IF('Input Form'!$D$55="x","OK","")</f>
        <v/>
      </c>
      <c r="I186" s="31" t="str">
        <f>IF('Input Form'!$E$55="x","OK","")</f>
        <v/>
      </c>
      <c r="J186" s="32" t="str">
        <f>IF('Input Form'!$F$55="x","OK","")</f>
        <v/>
      </c>
    </row>
    <row r="187" spans="1:10" s="635" customFormat="1" ht="15.75" hidden="1" customHeight="1">
      <c r="A187" s="721" t="s">
        <v>763</v>
      </c>
      <c r="B187" s="722"/>
      <c r="C187" s="657">
        <f>PrSchr6</f>
        <v>0</v>
      </c>
      <c r="D187" s="328" t="s">
        <v>740</v>
      </c>
      <c r="E187" s="747" t="str">
        <f t="shared" si="10"/>
        <v>Description of non conformance (mandatory)</v>
      </c>
      <c r="F187" s="877"/>
      <c r="G187" s="861"/>
      <c r="H187" s="31"/>
      <c r="I187" s="31"/>
      <c r="J187" s="32"/>
    </row>
    <row r="188" spans="1:10" s="635" customFormat="1" ht="15.75" hidden="1" customHeight="1">
      <c r="A188" s="721" t="s">
        <v>764</v>
      </c>
      <c r="B188" s="722"/>
      <c r="C188" s="657">
        <f>PrSchr7</f>
        <v>0</v>
      </c>
      <c r="D188" s="328" t="s">
        <v>740</v>
      </c>
      <c r="E188" s="747" t="str">
        <f t="shared" si="10"/>
        <v>Description of non conformance (mandatory)</v>
      </c>
      <c r="F188" s="877"/>
      <c r="G188" s="861"/>
      <c r="H188" s="31"/>
      <c r="I188" s="31"/>
      <c r="J188" s="32"/>
    </row>
    <row r="189" spans="1:10" s="635" customFormat="1" ht="15.75" hidden="1" customHeight="1">
      <c r="A189" s="721" t="s">
        <v>765</v>
      </c>
      <c r="B189" s="722"/>
      <c r="C189" s="657">
        <f>PrSchr8</f>
        <v>0</v>
      </c>
      <c r="D189" s="328" t="s">
        <v>740</v>
      </c>
      <c r="E189" s="747" t="str">
        <f t="shared" si="10"/>
        <v>Description of non conformance (mandatory)</v>
      </c>
      <c r="F189" s="877"/>
      <c r="G189" s="861"/>
      <c r="H189" s="31"/>
      <c r="I189" s="31"/>
      <c r="J189" s="32"/>
    </row>
    <row r="190" spans="1:10" s="635" customFormat="1" ht="15.75" hidden="1" customHeight="1">
      <c r="A190" s="721" t="s">
        <v>766</v>
      </c>
      <c r="B190" s="722"/>
      <c r="C190" s="657">
        <f>PrSchr9</f>
        <v>0</v>
      </c>
      <c r="D190" s="328" t="s">
        <v>740</v>
      </c>
      <c r="E190" s="747" t="str">
        <f t="shared" si="10"/>
        <v>Description of non conformance (mandatory)</v>
      </c>
      <c r="F190" s="877"/>
      <c r="G190" s="861"/>
      <c r="H190" s="31"/>
      <c r="I190" s="31"/>
      <c r="J190" s="32"/>
    </row>
    <row r="191" spans="1:10" s="635" customFormat="1" ht="16.5" hidden="1" customHeight="1" thickBot="1">
      <c r="A191" s="728" t="s">
        <v>767</v>
      </c>
      <c r="B191" s="729"/>
      <c r="C191" s="657">
        <f>PrSchr10</f>
        <v>0</v>
      </c>
      <c r="D191" s="328" t="s">
        <v>740</v>
      </c>
      <c r="E191" s="912" t="str">
        <f t="shared" si="10"/>
        <v>Description of non conformance (mandatory)</v>
      </c>
      <c r="F191" s="877"/>
      <c r="G191" s="861"/>
      <c r="H191" s="31"/>
      <c r="I191" s="31"/>
      <c r="J191" s="32"/>
    </row>
    <row r="192" spans="1:10" s="635" customFormat="1" ht="30.75" thickBot="1">
      <c r="A192" s="716" t="s">
        <v>4</v>
      </c>
      <c r="B192" s="717"/>
      <c r="C192" s="673" t="str">
        <f>VLOOKUP(pos(C192),'Language-Sprachen'!$A$200:$G$461,'Language-Sprachen'!$A$3,0)</f>
        <v>Do the employees know their responsibilities and authority in the monitoring of the quality of product and process quality?</v>
      </c>
      <c r="D192" s="1165"/>
      <c r="E192" s="1166"/>
      <c r="F192" s="873"/>
      <c r="G192" s="752"/>
      <c r="H192"/>
      <c r="I192"/>
      <c r="J192" s="36"/>
    </row>
    <row r="193" spans="1:10" s="635" customFormat="1" ht="15.75">
      <c r="A193" s="715" t="s">
        <v>279</v>
      </c>
      <c r="B193" s="724"/>
      <c r="C193" s="657" t="str">
        <f>PrSchr1</f>
        <v>Incoming</v>
      </c>
      <c r="D193" s="291">
        <v>10</v>
      </c>
      <c r="E193" s="1126" t="str">
        <f>IF((D193="n.e."),$L$13,IF(D193=10,$L$14,$L$15))</f>
        <v>No weakness identified</v>
      </c>
      <c r="F193" s="877"/>
      <c r="G193" s="861" t="str">
        <f>IF('Input Form'!$C$53="x","OK","")</f>
        <v/>
      </c>
      <c r="H193" s="31" t="str">
        <f>IF('Input Form'!$D$53="x","OK","")</f>
        <v/>
      </c>
      <c r="I193" s="31" t="str">
        <f>IF('Input Form'!$E$53="x","OK","")</f>
        <v/>
      </c>
      <c r="J193" s="32" t="str">
        <f>IF('Input Form'!$F$53="x","OK","")</f>
        <v/>
      </c>
    </row>
    <row r="194" spans="1:10" s="635" customFormat="1" ht="30">
      <c r="A194" s="715" t="s">
        <v>280</v>
      </c>
      <c r="B194" s="724"/>
      <c r="C194" s="657" t="str">
        <f>PrSchr2</f>
        <v>Manufacturing</v>
      </c>
      <c r="D194" s="293">
        <v>6</v>
      </c>
      <c r="E194" s="1126" t="s">
        <v>1158</v>
      </c>
      <c r="F194" s="877"/>
      <c r="G194" s="861" t="str">
        <f>IF('Input Form'!$C$54="x","OK","")</f>
        <v/>
      </c>
      <c r="H194" s="31" t="str">
        <f>IF('Input Form'!$D$54="x","OK","")</f>
        <v/>
      </c>
      <c r="I194" s="31" t="str">
        <f>IF('Input Form'!$E$54="x","OK","")</f>
        <v/>
      </c>
      <c r="J194" s="32" t="str">
        <f>IF('Input Form'!$F$54="x","OK","")</f>
        <v/>
      </c>
    </row>
    <row r="195" spans="1:10" s="635" customFormat="1" ht="16.5" thickBot="1">
      <c r="A195" s="715" t="s">
        <v>281</v>
      </c>
      <c r="B195" s="724"/>
      <c r="C195" s="657" t="str">
        <f>PrSchr3</f>
        <v>Shipping</v>
      </c>
      <c r="D195" s="294">
        <v>10</v>
      </c>
      <c r="E195" s="1126" t="str">
        <f>IF((D195="n.e."),$L$13,IF(D195=10,$L$14,$L$15))</f>
        <v>No weakness identified</v>
      </c>
      <c r="F195" s="877"/>
      <c r="G195" s="861" t="str">
        <f>IF('Input Form'!$C$55="x","OK","")</f>
        <v/>
      </c>
      <c r="H195" s="31" t="str">
        <f>IF('Input Form'!$D$55="x","OK","")</f>
        <v/>
      </c>
      <c r="I195" s="31" t="str">
        <f>IF('Input Form'!$E$55="x","OK","")</f>
        <v/>
      </c>
      <c r="J195" s="32" t="str">
        <f>IF('Input Form'!$F$55="x","OK","")</f>
        <v/>
      </c>
    </row>
    <row r="196" spans="1:10" s="635" customFormat="1" ht="15.75" hidden="1" customHeight="1">
      <c r="A196" s="715" t="s">
        <v>761</v>
      </c>
      <c r="B196" s="718"/>
      <c r="C196" s="657">
        <f>PrSchr4</f>
        <v>0</v>
      </c>
      <c r="D196" s="291" t="s">
        <v>740</v>
      </c>
      <c r="E196" s="747" t="str">
        <f t="shared" ref="E196:E202" si="11">IF(ISBLANK(D196),$L$13,IF(D196=10,$L$14,$L$15))</f>
        <v>Description of non conformance (mandatory)</v>
      </c>
      <c r="F196" s="877"/>
      <c r="G196" s="861"/>
      <c r="H196" s="31"/>
      <c r="I196" s="31"/>
      <c r="J196" s="32"/>
    </row>
    <row r="197" spans="1:10" s="635" customFormat="1" ht="15.75" hidden="1" customHeight="1">
      <c r="A197" s="715" t="s">
        <v>762</v>
      </c>
      <c r="B197" s="718"/>
      <c r="C197" s="657">
        <f>PrSchr5</f>
        <v>0</v>
      </c>
      <c r="D197" s="291" t="s">
        <v>740</v>
      </c>
      <c r="E197" s="747" t="str">
        <f t="shared" si="11"/>
        <v>Description of non conformance (mandatory)</v>
      </c>
      <c r="F197" s="877"/>
      <c r="G197" s="861" t="str">
        <f>IF('Input Form'!$C$55="x","OK","")</f>
        <v/>
      </c>
      <c r="H197" s="31" t="str">
        <f>IF('Input Form'!$D$55="x","OK","")</f>
        <v/>
      </c>
      <c r="I197" s="31" t="str">
        <f>IF('Input Form'!$E$55="x","OK","")</f>
        <v/>
      </c>
      <c r="J197" s="32" t="str">
        <f>IF('Input Form'!$F$55="x","OK","")</f>
        <v/>
      </c>
    </row>
    <row r="198" spans="1:10" s="635" customFormat="1" ht="15.75" hidden="1" customHeight="1">
      <c r="A198" s="715" t="s">
        <v>763</v>
      </c>
      <c r="B198" s="713"/>
      <c r="C198" s="657">
        <f>PrSchr6</f>
        <v>0</v>
      </c>
      <c r="D198" s="291" t="s">
        <v>740</v>
      </c>
      <c r="E198" s="747" t="str">
        <f t="shared" si="11"/>
        <v>Description of non conformance (mandatory)</v>
      </c>
      <c r="F198" s="877"/>
      <c r="G198" s="861"/>
      <c r="H198" s="31"/>
      <c r="I198" s="31"/>
      <c r="J198" s="32"/>
    </row>
    <row r="199" spans="1:10" s="635" customFormat="1" ht="15.75" hidden="1" customHeight="1">
      <c r="A199" s="715" t="s">
        <v>764</v>
      </c>
      <c r="B199" s="713"/>
      <c r="C199" s="657">
        <f>PrSchr7</f>
        <v>0</v>
      </c>
      <c r="D199" s="291" t="s">
        <v>740</v>
      </c>
      <c r="E199" s="747" t="str">
        <f t="shared" si="11"/>
        <v>Description of non conformance (mandatory)</v>
      </c>
      <c r="F199" s="877"/>
      <c r="G199" s="861"/>
      <c r="H199" s="31"/>
      <c r="I199" s="31"/>
      <c r="J199" s="32"/>
    </row>
    <row r="200" spans="1:10" s="635" customFormat="1" ht="15.75" hidden="1" customHeight="1">
      <c r="A200" s="715" t="s">
        <v>765</v>
      </c>
      <c r="B200" s="713"/>
      <c r="C200" s="657">
        <f>PrSchr8</f>
        <v>0</v>
      </c>
      <c r="D200" s="291" t="s">
        <v>740</v>
      </c>
      <c r="E200" s="747" t="str">
        <f t="shared" si="11"/>
        <v>Description of non conformance (mandatory)</v>
      </c>
      <c r="F200" s="877"/>
      <c r="G200" s="861"/>
      <c r="H200" s="31"/>
      <c r="I200" s="31"/>
      <c r="J200" s="32"/>
    </row>
    <row r="201" spans="1:10" s="635" customFormat="1" ht="15.75" hidden="1" customHeight="1">
      <c r="A201" s="715" t="s">
        <v>766</v>
      </c>
      <c r="B201" s="713"/>
      <c r="C201" s="657">
        <f>PrSchr9</f>
        <v>0</v>
      </c>
      <c r="D201" s="291" t="s">
        <v>740</v>
      </c>
      <c r="E201" s="747" t="str">
        <f t="shared" si="11"/>
        <v>Description of non conformance (mandatory)</v>
      </c>
      <c r="F201" s="877"/>
      <c r="G201" s="861"/>
      <c r="H201" s="31"/>
      <c r="I201" s="31"/>
      <c r="J201" s="32"/>
    </row>
    <row r="202" spans="1:10" s="635" customFormat="1" ht="16.5" hidden="1" customHeight="1" thickBot="1">
      <c r="A202" s="715" t="s">
        <v>767</v>
      </c>
      <c r="B202" s="713"/>
      <c r="C202" s="657">
        <f>PrSchr10</f>
        <v>0</v>
      </c>
      <c r="D202" s="291" t="s">
        <v>740</v>
      </c>
      <c r="E202" s="912" t="str">
        <f t="shared" si="11"/>
        <v>Description of non conformance (mandatory)</v>
      </c>
      <c r="F202" s="877"/>
      <c r="G202" s="861"/>
      <c r="H202" s="31"/>
      <c r="I202" s="31"/>
      <c r="J202" s="32"/>
    </row>
    <row r="203" spans="1:10" s="635" customFormat="1" ht="16.5" thickBot="1">
      <c r="A203" s="716" t="s">
        <v>67</v>
      </c>
      <c r="B203" s="717"/>
      <c r="C203" s="673" t="str">
        <f>VLOOKUP(pos(C203),'Language-Sprachen'!$A$200:$G$461,'Language-Sprachen'!$A$3,0)</f>
        <v>Are the necessary personnel resources available?</v>
      </c>
      <c r="D203" s="1165"/>
      <c r="E203" s="1166"/>
      <c r="F203" s="873"/>
      <c r="G203" s="752"/>
      <c r="H203"/>
      <c r="I203"/>
      <c r="J203" s="36"/>
    </row>
    <row r="204" spans="1:10" s="635" customFormat="1" ht="15.75">
      <c r="A204" s="715" t="s">
        <v>279</v>
      </c>
      <c r="B204" s="718"/>
      <c r="C204" s="657" t="str">
        <f>PrSchr1</f>
        <v>Incoming</v>
      </c>
      <c r="D204" s="291">
        <v>10</v>
      </c>
      <c r="E204" s="1126" t="str">
        <f>IF((D204="n.e."),$L$13,IF(D204=10,$L$14,$L$15))</f>
        <v>No weakness identified</v>
      </c>
      <c r="F204" s="877"/>
      <c r="G204" s="861" t="str">
        <f>IF('Input Form'!$C$53="x","OK","")</f>
        <v/>
      </c>
      <c r="H204" s="31" t="str">
        <f>IF('Input Form'!$D$53="x","OK","")</f>
        <v/>
      </c>
      <c r="I204" s="31" t="str">
        <f>IF('Input Form'!$E$53="x","OK","")</f>
        <v/>
      </c>
      <c r="J204" s="32" t="str">
        <f>IF('Input Form'!$F$53="x","OK","")</f>
        <v/>
      </c>
    </row>
    <row r="205" spans="1:10" s="635" customFormat="1" ht="60">
      <c r="A205" s="715" t="s">
        <v>280</v>
      </c>
      <c r="B205" s="718"/>
      <c r="C205" s="657" t="str">
        <f>PrSchr2</f>
        <v>Manufacturing</v>
      </c>
      <c r="D205" s="293">
        <v>4</v>
      </c>
      <c r="E205" s="1126" t="s">
        <v>1159</v>
      </c>
      <c r="F205" s="877"/>
      <c r="G205" s="861" t="str">
        <f>IF('Input Form'!$C$54="x","OK","")</f>
        <v/>
      </c>
      <c r="H205" s="31" t="str">
        <f>IF('Input Form'!$D$54="x","OK","")</f>
        <v/>
      </c>
      <c r="I205" s="31" t="str">
        <f>IF('Input Form'!$E$54="x","OK","")</f>
        <v/>
      </c>
      <c r="J205" s="32" t="str">
        <f>IF('Input Form'!$F$54="x","OK","")</f>
        <v/>
      </c>
    </row>
    <row r="206" spans="1:10" s="635" customFormat="1" ht="16.5" thickBot="1">
      <c r="A206" s="715" t="s">
        <v>281</v>
      </c>
      <c r="B206" s="718"/>
      <c r="C206" s="657" t="str">
        <f>PrSchr3</f>
        <v>Shipping</v>
      </c>
      <c r="D206" s="294">
        <v>10</v>
      </c>
      <c r="E206" s="1126" t="str">
        <f>IF((D206="n.e."),$L$13,IF(D206=10,$L$14,$L$15))</f>
        <v>No weakness identified</v>
      </c>
      <c r="F206" s="877"/>
      <c r="G206" s="861" t="str">
        <f>IF('Input Form'!$C$55="x","OK","")</f>
        <v/>
      </c>
      <c r="H206" s="31" t="str">
        <f>IF('Input Form'!$D$55="x","OK","")</f>
        <v/>
      </c>
      <c r="I206" s="31" t="str">
        <f>IF('Input Form'!$E$55="x","OK","")</f>
        <v/>
      </c>
      <c r="J206" s="32" t="str">
        <f>IF('Input Form'!$F$55="x","OK","")</f>
        <v/>
      </c>
    </row>
    <row r="207" spans="1:10" s="635" customFormat="1" ht="15.75" hidden="1" customHeight="1">
      <c r="A207" s="715" t="s">
        <v>761</v>
      </c>
      <c r="B207" s="718"/>
      <c r="C207" s="657">
        <f>PrSchr4</f>
        <v>0</v>
      </c>
      <c r="D207" s="291" t="s">
        <v>740</v>
      </c>
      <c r="E207" s="747" t="str">
        <f t="shared" ref="E207:E213" si="12">IF(ISBLANK(D207),$L$13,IF(D207=10,$L$14,$L$15))</f>
        <v>Description of non conformance (mandatory)</v>
      </c>
      <c r="F207" s="877"/>
      <c r="G207" s="861"/>
      <c r="H207" s="31"/>
      <c r="I207" s="31"/>
      <c r="J207" s="32"/>
    </row>
    <row r="208" spans="1:10" s="635" customFormat="1" ht="15.75" hidden="1" customHeight="1">
      <c r="A208" s="715" t="s">
        <v>762</v>
      </c>
      <c r="B208" s="718"/>
      <c r="C208" s="657">
        <f>PrSchr5</f>
        <v>0</v>
      </c>
      <c r="D208" s="291" t="s">
        <v>740</v>
      </c>
      <c r="E208" s="747" t="str">
        <f t="shared" si="12"/>
        <v>Description of non conformance (mandatory)</v>
      </c>
      <c r="F208" s="877"/>
      <c r="G208" s="861" t="str">
        <f>IF('Input Form'!$C$55="x","OK","")</f>
        <v/>
      </c>
      <c r="H208" s="31" t="str">
        <f>IF('Input Form'!$D$55="x","OK","")</f>
        <v/>
      </c>
      <c r="I208" s="31" t="str">
        <f>IF('Input Form'!$E$55="x","OK","")</f>
        <v/>
      </c>
      <c r="J208" s="32" t="str">
        <f>IF('Input Form'!$F$55="x","OK","")</f>
        <v/>
      </c>
    </row>
    <row r="209" spans="1:10" s="635" customFormat="1" ht="15.75" hidden="1" customHeight="1">
      <c r="A209" s="715" t="s">
        <v>763</v>
      </c>
      <c r="B209" s="713"/>
      <c r="C209" s="657">
        <f>PrSchr6</f>
        <v>0</v>
      </c>
      <c r="D209" s="291" t="s">
        <v>740</v>
      </c>
      <c r="E209" s="747" t="str">
        <f t="shared" si="12"/>
        <v>Description of non conformance (mandatory)</v>
      </c>
      <c r="F209" s="877"/>
      <c r="G209" s="861"/>
      <c r="H209" s="31"/>
      <c r="I209" s="31"/>
      <c r="J209" s="32"/>
    </row>
    <row r="210" spans="1:10" s="635" customFormat="1" ht="15.75" hidden="1" customHeight="1">
      <c r="A210" s="715" t="s">
        <v>764</v>
      </c>
      <c r="B210" s="713"/>
      <c r="C210" s="657">
        <f>PrSchr7</f>
        <v>0</v>
      </c>
      <c r="D210" s="291" t="s">
        <v>740</v>
      </c>
      <c r="E210" s="747" t="str">
        <f t="shared" si="12"/>
        <v>Description of non conformance (mandatory)</v>
      </c>
      <c r="F210" s="877"/>
      <c r="G210" s="861"/>
      <c r="H210" s="31"/>
      <c r="I210" s="31"/>
      <c r="J210" s="32"/>
    </row>
    <row r="211" spans="1:10" s="635" customFormat="1" ht="15.75" hidden="1" customHeight="1">
      <c r="A211" s="715" t="s">
        <v>765</v>
      </c>
      <c r="B211" s="713"/>
      <c r="C211" s="657">
        <f>PrSchr8</f>
        <v>0</v>
      </c>
      <c r="D211" s="291" t="s">
        <v>740</v>
      </c>
      <c r="E211" s="747" t="str">
        <f t="shared" si="12"/>
        <v>Description of non conformance (mandatory)</v>
      </c>
      <c r="F211" s="877"/>
      <c r="G211" s="861"/>
      <c r="H211" s="31"/>
      <c r="I211" s="31"/>
      <c r="J211" s="32"/>
    </row>
    <row r="212" spans="1:10" s="635" customFormat="1" ht="15.75" hidden="1" customHeight="1">
      <c r="A212" s="715" t="s">
        <v>766</v>
      </c>
      <c r="B212" s="713"/>
      <c r="C212" s="657">
        <f>PrSchr9</f>
        <v>0</v>
      </c>
      <c r="D212" s="291" t="s">
        <v>740</v>
      </c>
      <c r="E212" s="747" t="str">
        <f t="shared" si="12"/>
        <v>Description of non conformance (mandatory)</v>
      </c>
      <c r="F212" s="877"/>
      <c r="G212" s="861"/>
      <c r="H212" s="31"/>
      <c r="I212" s="31"/>
      <c r="J212" s="32"/>
    </row>
    <row r="213" spans="1:10" s="635" customFormat="1" ht="16.5" hidden="1" customHeight="1" thickBot="1">
      <c r="A213" s="715" t="s">
        <v>767</v>
      </c>
      <c r="B213" s="713"/>
      <c r="C213" s="657">
        <f>PrSchr10</f>
        <v>0</v>
      </c>
      <c r="D213" s="291" t="s">
        <v>740</v>
      </c>
      <c r="E213" s="912" t="str">
        <f t="shared" si="12"/>
        <v>Description of non conformance (mandatory)</v>
      </c>
      <c r="F213" s="877"/>
      <c r="G213" s="861"/>
      <c r="H213" s="31"/>
      <c r="I213" s="31"/>
      <c r="J213" s="32"/>
    </row>
    <row r="214" spans="1:10" s="635" customFormat="1" ht="39.75" customHeight="1" thickBot="1">
      <c r="A214" s="709" t="s">
        <v>170</v>
      </c>
      <c r="B214" s="710">
        <f>Evaluation!W62</f>
        <v>0.88</v>
      </c>
      <c r="C214" s="711" t="str">
        <f>VLOOKUP(pos(C214),'Language-Sprachen'!$A$200:$G$461,'Language-Sprachen'!$A$3,0)</f>
        <v>What means are used to implement the process? Material resources</v>
      </c>
      <c r="D214" s="1163"/>
      <c r="E214" s="1164"/>
      <c r="F214" s="874"/>
      <c r="G214" s="752"/>
      <c r="H214"/>
      <c r="I214"/>
      <c r="J214" s="36"/>
    </row>
    <row r="215" spans="1:10" s="635" customFormat="1" ht="30.75" thickBot="1">
      <c r="A215" s="725" t="s">
        <v>68</v>
      </c>
      <c r="B215" s="720" t="s">
        <v>10</v>
      </c>
      <c r="C215" s="673" t="str">
        <f>VLOOKUP(pos(C215),'Language-Sprachen'!$A$200:$G$461,'Language-Sprachen'!$A$3,0)</f>
        <v xml:space="preserve">Can the product-specific requirements from the customer be met with the manufacturing equipment? </v>
      </c>
      <c r="D215" s="1165"/>
      <c r="E215" s="1166"/>
      <c r="F215" s="875"/>
      <c r="G215" s="752"/>
      <c r="H215"/>
      <c r="I215"/>
      <c r="J215" s="36"/>
    </row>
    <row r="216" spans="1:10" s="635" customFormat="1" ht="15.75">
      <c r="A216" s="721" t="s">
        <v>279</v>
      </c>
      <c r="B216" s="722"/>
      <c r="C216" s="657" t="str">
        <f>PrSchr1</f>
        <v>Incoming</v>
      </c>
      <c r="D216" s="328">
        <v>10</v>
      </c>
      <c r="E216" s="1126" t="str">
        <f>IF((D216="n.e."),$L$13,IF(D216=10,$L$14,$L$15))</f>
        <v>No weakness identified</v>
      </c>
      <c r="F216" s="877"/>
      <c r="G216" s="861" t="str">
        <f>IF('Input Form'!$C$53="x","OK","")</f>
        <v/>
      </c>
      <c r="H216" s="31" t="str">
        <f>IF('Input Form'!$D$53="x","OK","")</f>
        <v/>
      </c>
      <c r="I216" s="31" t="str">
        <f>IF('Input Form'!$E$53="x","OK","")</f>
        <v/>
      </c>
      <c r="J216" s="32" t="str">
        <f>IF('Input Form'!$F$53="x","OK","")</f>
        <v/>
      </c>
    </row>
    <row r="217" spans="1:10" s="635" customFormat="1" ht="15.75">
      <c r="A217" s="721" t="s">
        <v>280</v>
      </c>
      <c r="B217" s="722"/>
      <c r="C217" s="657" t="str">
        <f>PrSchr2</f>
        <v>Manufacturing</v>
      </c>
      <c r="D217" s="329">
        <v>10</v>
      </c>
      <c r="E217" s="1126" t="str">
        <f>IF((D217="n.e."),$L$13,IF(D217=10,$L$14,$L$15))</f>
        <v>No weakness identified</v>
      </c>
      <c r="F217" s="877"/>
      <c r="G217" s="861" t="str">
        <f>IF('Input Form'!$C$54="x","OK","")</f>
        <v/>
      </c>
      <c r="H217" s="31" t="str">
        <f>IF('Input Form'!$D$54="x","OK","")</f>
        <v/>
      </c>
      <c r="I217" s="31" t="str">
        <f>IF('Input Form'!$E$54="x","OK","")</f>
        <v/>
      </c>
      <c r="J217" s="32" t="str">
        <f>IF('Input Form'!$F$54="x","OK","")</f>
        <v/>
      </c>
    </row>
    <row r="218" spans="1:10" s="635" customFormat="1" ht="16.5" thickBot="1">
      <c r="A218" s="721" t="s">
        <v>281</v>
      </c>
      <c r="B218" s="722"/>
      <c r="C218" s="657" t="str">
        <f>PrSchr3</f>
        <v>Shipping</v>
      </c>
      <c r="D218" s="330">
        <v>10</v>
      </c>
      <c r="E218" s="1126" t="str">
        <f>IF((D218="n.e."),$L$13,IF(D218=10,$L$14,$L$15))</f>
        <v>No weakness identified</v>
      </c>
      <c r="F218" s="877"/>
      <c r="G218" s="861" t="str">
        <f>IF('Input Form'!$C$55="x","OK","")</f>
        <v/>
      </c>
      <c r="H218" s="31" t="str">
        <f>IF('Input Form'!$D$55="x","OK","")</f>
        <v/>
      </c>
      <c r="I218" s="31" t="str">
        <f>IF('Input Form'!$E$55="x","OK","")</f>
        <v/>
      </c>
      <c r="J218" s="32" t="str">
        <f>IF('Input Form'!$F$55="x","OK","")</f>
        <v/>
      </c>
    </row>
    <row r="219" spans="1:10" s="635" customFormat="1" ht="15.75" hidden="1" customHeight="1">
      <c r="A219" s="721" t="s">
        <v>761</v>
      </c>
      <c r="B219" s="722"/>
      <c r="C219" s="657">
        <f>PrSchr4</f>
        <v>0</v>
      </c>
      <c r="D219" s="328" t="s">
        <v>740</v>
      </c>
      <c r="E219" s="747" t="str">
        <f t="shared" ref="E219:E225" si="13">IF(ISBLANK(D219),$L$13,IF(D219=10,$L$14,$L$15))</f>
        <v>Description of non conformance (mandatory)</v>
      </c>
      <c r="F219" s="877"/>
      <c r="G219" s="861"/>
      <c r="H219" s="31"/>
      <c r="I219" s="31"/>
      <c r="J219" s="32"/>
    </row>
    <row r="220" spans="1:10" s="635" customFormat="1" ht="15.75" hidden="1" customHeight="1">
      <c r="A220" s="721" t="s">
        <v>762</v>
      </c>
      <c r="B220" s="722"/>
      <c r="C220" s="657">
        <f>PrSchr5</f>
        <v>0</v>
      </c>
      <c r="D220" s="328" t="s">
        <v>740</v>
      </c>
      <c r="E220" s="747" t="str">
        <f t="shared" si="13"/>
        <v>Description of non conformance (mandatory)</v>
      </c>
      <c r="F220" s="877"/>
      <c r="G220" s="861" t="str">
        <f>IF('Input Form'!$C$55="x","OK","")</f>
        <v/>
      </c>
      <c r="H220" s="31" t="str">
        <f>IF('Input Form'!$D$55="x","OK","")</f>
        <v/>
      </c>
      <c r="I220" s="31" t="str">
        <f>IF('Input Form'!$E$55="x","OK","")</f>
        <v/>
      </c>
      <c r="J220" s="32" t="str">
        <f>IF('Input Form'!$F$55="x","OK","")</f>
        <v/>
      </c>
    </row>
    <row r="221" spans="1:10" s="635" customFormat="1" ht="15.75" hidden="1" customHeight="1">
      <c r="A221" s="721" t="s">
        <v>763</v>
      </c>
      <c r="B221" s="722"/>
      <c r="C221" s="657">
        <f>PrSchr6</f>
        <v>0</v>
      </c>
      <c r="D221" s="328" t="s">
        <v>740</v>
      </c>
      <c r="E221" s="747" t="str">
        <f t="shared" si="13"/>
        <v>Description of non conformance (mandatory)</v>
      </c>
      <c r="F221" s="877"/>
      <c r="G221" s="861"/>
      <c r="H221" s="31"/>
      <c r="I221" s="31"/>
      <c r="J221" s="32"/>
    </row>
    <row r="222" spans="1:10" s="635" customFormat="1" ht="15.75" hidden="1" customHeight="1">
      <c r="A222" s="721" t="s">
        <v>764</v>
      </c>
      <c r="B222" s="722"/>
      <c r="C222" s="657">
        <f>PrSchr7</f>
        <v>0</v>
      </c>
      <c r="D222" s="328" t="s">
        <v>740</v>
      </c>
      <c r="E222" s="747" t="str">
        <f t="shared" si="13"/>
        <v>Description of non conformance (mandatory)</v>
      </c>
      <c r="F222" s="877"/>
      <c r="G222" s="861"/>
      <c r="H222" s="31"/>
      <c r="I222" s="31"/>
      <c r="J222" s="32"/>
    </row>
    <row r="223" spans="1:10" s="635" customFormat="1" ht="15.75" hidden="1" customHeight="1">
      <c r="A223" s="721" t="s">
        <v>765</v>
      </c>
      <c r="B223" s="722"/>
      <c r="C223" s="657">
        <f>PrSchr8</f>
        <v>0</v>
      </c>
      <c r="D223" s="328" t="s">
        <v>740</v>
      </c>
      <c r="E223" s="747" t="str">
        <f t="shared" si="13"/>
        <v>Description of non conformance (mandatory)</v>
      </c>
      <c r="F223" s="877"/>
      <c r="G223" s="861"/>
      <c r="H223" s="31"/>
      <c r="I223" s="31"/>
      <c r="J223" s="32"/>
    </row>
    <row r="224" spans="1:10" s="635" customFormat="1" ht="15.75" hidden="1" customHeight="1">
      <c r="A224" s="721" t="s">
        <v>766</v>
      </c>
      <c r="B224" s="722"/>
      <c r="C224" s="657">
        <f>PrSchr9</f>
        <v>0</v>
      </c>
      <c r="D224" s="328" t="s">
        <v>740</v>
      </c>
      <c r="E224" s="747" t="str">
        <f t="shared" si="13"/>
        <v>Description of non conformance (mandatory)</v>
      </c>
      <c r="F224" s="877"/>
      <c r="G224" s="861"/>
      <c r="H224" s="31"/>
      <c r="I224" s="31"/>
      <c r="J224" s="32"/>
    </row>
    <row r="225" spans="1:10" s="635" customFormat="1" ht="16.5" hidden="1" customHeight="1" thickBot="1">
      <c r="A225" s="728" t="s">
        <v>767</v>
      </c>
      <c r="B225" s="729"/>
      <c r="C225" s="657">
        <f>PrSchr10</f>
        <v>0</v>
      </c>
      <c r="D225" s="328" t="s">
        <v>740</v>
      </c>
      <c r="E225" s="912" t="str">
        <f t="shared" si="13"/>
        <v>Description of non conformance (mandatory)</v>
      </c>
      <c r="F225" s="877"/>
      <c r="G225" s="861"/>
      <c r="H225" s="31"/>
      <c r="I225" s="31"/>
      <c r="J225" s="32"/>
    </row>
    <row r="226" spans="1:10" s="635" customFormat="1" ht="16.5" thickBot="1">
      <c r="A226" s="716" t="s">
        <v>171</v>
      </c>
      <c r="B226" s="717"/>
      <c r="C226" s="673" t="str">
        <f>VLOOKUP(pos(C226),'Language-Sprachen'!$A$200:$G$461,'Language-Sprachen'!$A$3,0)</f>
        <v>Is the maintenance of the manufacturing equipment and tools controlled?</v>
      </c>
      <c r="D226" s="1165"/>
      <c r="E226" s="1166"/>
      <c r="F226" s="873"/>
      <c r="G226" s="752"/>
      <c r="H226"/>
      <c r="I226"/>
      <c r="J226" s="36"/>
    </row>
    <row r="227" spans="1:10" s="635" customFormat="1" ht="15.75">
      <c r="A227" s="715" t="s">
        <v>279</v>
      </c>
      <c r="B227" s="724"/>
      <c r="C227" s="657" t="str">
        <f>PrSchr1</f>
        <v>Incoming</v>
      </c>
      <c r="D227" s="291">
        <v>10</v>
      </c>
      <c r="E227" s="1126" t="str">
        <f>IF((D227="n.e."),$L$13,IF(D227=10,$L$14,$L$15))</f>
        <v>No weakness identified</v>
      </c>
      <c r="F227" s="877"/>
      <c r="G227" s="861" t="str">
        <f>IF('Input Form'!$C$53="x","OK","")</f>
        <v/>
      </c>
      <c r="H227" s="31" t="str">
        <f>IF('Input Form'!$D$53="x","OK","")</f>
        <v/>
      </c>
      <c r="I227" s="31" t="str">
        <f>IF('Input Form'!$E$53="x","OK","")</f>
        <v/>
      </c>
      <c r="J227" s="32" t="str">
        <f>IF('Input Form'!$F$53="x","OK","")</f>
        <v/>
      </c>
    </row>
    <row r="228" spans="1:10" s="635" customFormat="1" ht="150">
      <c r="A228" s="715" t="s">
        <v>280</v>
      </c>
      <c r="B228" s="724"/>
      <c r="C228" s="657" t="str">
        <f>PrSchr2</f>
        <v>Manufacturing</v>
      </c>
      <c r="D228" s="293">
        <v>4</v>
      </c>
      <c r="E228" s="1126" t="s">
        <v>1172</v>
      </c>
      <c r="F228" s="877"/>
      <c r="G228" s="861" t="str">
        <f>IF('Input Form'!$C$54="x","OK","")</f>
        <v/>
      </c>
      <c r="H228" s="31" t="str">
        <f>IF('Input Form'!$D$54="x","OK","")</f>
        <v/>
      </c>
      <c r="I228" s="31" t="str">
        <f>IF('Input Form'!$E$54="x","OK","")</f>
        <v/>
      </c>
      <c r="J228" s="32" t="str">
        <f>IF('Input Form'!$F$54="x","OK","")</f>
        <v/>
      </c>
    </row>
    <row r="229" spans="1:10" s="635" customFormat="1" ht="16.5" thickBot="1">
      <c r="A229" s="715" t="s">
        <v>281</v>
      </c>
      <c r="B229" s="724"/>
      <c r="C229" s="657" t="str">
        <f>PrSchr3</f>
        <v>Shipping</v>
      </c>
      <c r="D229" s="294">
        <v>10</v>
      </c>
      <c r="E229" s="1126" t="str">
        <f>IF((D229="n.e."),$L$13,IF(D229=10,$L$14,$L$15))</f>
        <v>No weakness identified</v>
      </c>
      <c r="F229" s="877"/>
      <c r="G229" s="861" t="str">
        <f>IF('Input Form'!$C$55="x","OK","")</f>
        <v/>
      </c>
      <c r="H229" s="31" t="str">
        <f>IF('Input Form'!$D$55="x","OK","")</f>
        <v/>
      </c>
      <c r="I229" s="31" t="str">
        <f>IF('Input Form'!$E$55="x","OK","")</f>
        <v/>
      </c>
      <c r="J229" s="32" t="str">
        <f>IF('Input Form'!$F$55="x","OK","")</f>
        <v/>
      </c>
    </row>
    <row r="230" spans="1:10" s="635" customFormat="1" ht="15.75" hidden="1" customHeight="1">
      <c r="A230" s="715" t="s">
        <v>761</v>
      </c>
      <c r="B230" s="718"/>
      <c r="C230" s="657">
        <f>PrSchr4</f>
        <v>0</v>
      </c>
      <c r="D230" s="291" t="s">
        <v>740</v>
      </c>
      <c r="E230" s="747" t="str">
        <f t="shared" ref="E230:E236" si="14">IF(ISBLANK(D230),$L$13,IF(D230=10,$L$14,$L$15))</f>
        <v>Description of non conformance (mandatory)</v>
      </c>
      <c r="F230" s="877"/>
      <c r="G230" s="861"/>
      <c r="H230" s="31"/>
      <c r="I230" s="31"/>
      <c r="J230" s="32"/>
    </row>
    <row r="231" spans="1:10" s="635" customFormat="1" ht="15.75" hidden="1" customHeight="1">
      <c r="A231" s="715" t="s">
        <v>762</v>
      </c>
      <c r="B231" s="718"/>
      <c r="C231" s="657">
        <f>PrSchr5</f>
        <v>0</v>
      </c>
      <c r="D231" s="291" t="s">
        <v>740</v>
      </c>
      <c r="E231" s="747" t="str">
        <f t="shared" si="14"/>
        <v>Description of non conformance (mandatory)</v>
      </c>
      <c r="F231" s="877"/>
      <c r="G231" s="861" t="str">
        <f>IF('Input Form'!$C$55="x","OK","")</f>
        <v/>
      </c>
      <c r="H231" s="31" t="str">
        <f>IF('Input Form'!$D$55="x","OK","")</f>
        <v/>
      </c>
      <c r="I231" s="31" t="str">
        <f>IF('Input Form'!$E$55="x","OK","")</f>
        <v/>
      </c>
      <c r="J231" s="32" t="str">
        <f>IF('Input Form'!$F$55="x","OK","")</f>
        <v/>
      </c>
    </row>
    <row r="232" spans="1:10" s="635" customFormat="1" ht="15.75" hidden="1" customHeight="1">
      <c r="A232" s="715" t="s">
        <v>763</v>
      </c>
      <c r="B232" s="713"/>
      <c r="C232" s="657">
        <f>PrSchr6</f>
        <v>0</v>
      </c>
      <c r="D232" s="291" t="s">
        <v>740</v>
      </c>
      <c r="E232" s="747" t="str">
        <f t="shared" si="14"/>
        <v>Description of non conformance (mandatory)</v>
      </c>
      <c r="F232" s="877"/>
      <c r="G232" s="861"/>
      <c r="H232" s="31"/>
      <c r="I232" s="31"/>
      <c r="J232" s="32"/>
    </row>
    <row r="233" spans="1:10" s="635" customFormat="1" ht="15.75" hidden="1" customHeight="1">
      <c r="A233" s="715" t="s">
        <v>764</v>
      </c>
      <c r="B233" s="713"/>
      <c r="C233" s="657">
        <f>PrSchr7</f>
        <v>0</v>
      </c>
      <c r="D233" s="291" t="s">
        <v>740</v>
      </c>
      <c r="E233" s="747" t="str">
        <f t="shared" si="14"/>
        <v>Description of non conformance (mandatory)</v>
      </c>
      <c r="F233" s="877"/>
      <c r="G233" s="861"/>
      <c r="H233" s="31"/>
      <c r="I233" s="31"/>
      <c r="J233" s="32"/>
    </row>
    <row r="234" spans="1:10" s="635" customFormat="1" ht="15.75" hidden="1" customHeight="1">
      <c r="A234" s="715" t="s">
        <v>765</v>
      </c>
      <c r="B234" s="713"/>
      <c r="C234" s="657">
        <f>PrSchr8</f>
        <v>0</v>
      </c>
      <c r="D234" s="291" t="s">
        <v>740</v>
      </c>
      <c r="E234" s="747" t="str">
        <f t="shared" si="14"/>
        <v>Description of non conformance (mandatory)</v>
      </c>
      <c r="F234" s="877"/>
      <c r="G234" s="861"/>
      <c r="H234" s="31"/>
      <c r="I234" s="31"/>
      <c r="J234" s="32"/>
    </row>
    <row r="235" spans="1:10" s="635" customFormat="1" ht="15.75" hidden="1" customHeight="1">
      <c r="A235" s="715" t="s">
        <v>766</v>
      </c>
      <c r="B235" s="713"/>
      <c r="C235" s="657">
        <f>PrSchr9</f>
        <v>0</v>
      </c>
      <c r="D235" s="291" t="s">
        <v>740</v>
      </c>
      <c r="E235" s="747" t="str">
        <f t="shared" si="14"/>
        <v>Description of non conformance (mandatory)</v>
      </c>
      <c r="F235" s="877"/>
      <c r="G235" s="861"/>
      <c r="H235" s="31"/>
      <c r="I235" s="31"/>
      <c r="J235" s="32"/>
    </row>
    <row r="236" spans="1:10" s="635" customFormat="1" ht="16.5" hidden="1" customHeight="1" thickBot="1">
      <c r="A236" s="715" t="s">
        <v>767</v>
      </c>
      <c r="B236" s="713"/>
      <c r="C236" s="657">
        <f>PrSchr10</f>
        <v>0</v>
      </c>
      <c r="D236" s="291" t="s">
        <v>740</v>
      </c>
      <c r="E236" s="912" t="str">
        <f t="shared" si="14"/>
        <v>Description of non conformance (mandatory)</v>
      </c>
      <c r="F236" s="877"/>
      <c r="G236" s="861"/>
      <c r="H236" s="31"/>
      <c r="I236" s="31"/>
      <c r="J236" s="32"/>
    </row>
    <row r="237" spans="1:10" s="635" customFormat="1" ht="30.75" thickBot="1">
      <c r="A237" s="725" t="s">
        <v>69</v>
      </c>
      <c r="B237" s="720" t="s">
        <v>10</v>
      </c>
      <c r="C237" s="673" t="str">
        <f>VLOOKUP(pos(C237),'Language-Sprachen'!$A$200:$G$461,'Language-Sprachen'!$A$3,0)</f>
        <v>Can the quality requirements be effectively monitored with the measurement and test facilities in use?</v>
      </c>
      <c r="D237" s="1165"/>
      <c r="E237" s="1166"/>
      <c r="F237" s="873"/>
      <c r="G237" s="752"/>
      <c r="H237"/>
      <c r="I237"/>
      <c r="J237" s="36"/>
    </row>
    <row r="238" spans="1:10" s="635" customFormat="1" ht="15.75">
      <c r="A238" s="721" t="s">
        <v>279</v>
      </c>
      <c r="B238" s="722"/>
      <c r="C238" s="657" t="str">
        <f>PrSchr1</f>
        <v>Incoming</v>
      </c>
      <c r="D238" s="328">
        <v>10</v>
      </c>
      <c r="E238" s="1126" t="str">
        <f>IF((D238="n.e."),$L$13,IF(D238=10,$L$14,$L$15))</f>
        <v>No weakness identified</v>
      </c>
      <c r="F238" s="877"/>
      <c r="G238" s="861" t="str">
        <f>IF('Input Form'!$C$53="x","OK","")</f>
        <v/>
      </c>
      <c r="H238" s="31" t="str">
        <f>IF('Input Form'!$D$53="x","OK","")</f>
        <v/>
      </c>
      <c r="I238" s="31" t="str">
        <f>IF('Input Form'!$E$53="x","OK","")</f>
        <v/>
      </c>
      <c r="J238" s="32" t="str">
        <f>IF('Input Form'!$F$53="x","OK","")</f>
        <v/>
      </c>
    </row>
    <row r="239" spans="1:10" s="635" customFormat="1" ht="60">
      <c r="A239" s="721" t="s">
        <v>280</v>
      </c>
      <c r="B239" s="722"/>
      <c r="C239" s="1129" t="str">
        <f>PrSchr2</f>
        <v>Manufacturing</v>
      </c>
      <c r="D239" s="329">
        <v>6</v>
      </c>
      <c r="E239" s="1126" t="s">
        <v>1165</v>
      </c>
      <c r="F239" s="877"/>
      <c r="G239" s="861" t="str">
        <f>IF('Input Form'!$C$54="x","OK","")</f>
        <v/>
      </c>
      <c r="H239" s="31" t="str">
        <f>IF('Input Form'!$D$54="x","OK","")</f>
        <v/>
      </c>
      <c r="I239" s="31" t="str">
        <f>IF('Input Form'!$E$54="x","OK","")</f>
        <v/>
      </c>
      <c r="J239" s="32" t="str">
        <f>IF('Input Form'!$F$54="x","OK","")</f>
        <v/>
      </c>
    </row>
    <row r="240" spans="1:10" s="635" customFormat="1" ht="16.5" thickBot="1">
      <c r="A240" s="721" t="s">
        <v>281</v>
      </c>
      <c r="B240" s="722"/>
      <c r="C240" s="657" t="str">
        <f>PrSchr3</f>
        <v>Shipping</v>
      </c>
      <c r="D240" s="330">
        <v>10</v>
      </c>
      <c r="E240" s="1126" t="str">
        <f>IF((D240="n.e."),$L$13,IF(D240=10,$L$14,$L$15))</f>
        <v>No weakness identified</v>
      </c>
      <c r="F240" s="877"/>
      <c r="G240" s="861" t="str">
        <f>IF('Input Form'!$C$55="x","OK","")</f>
        <v/>
      </c>
      <c r="H240" s="31" t="str">
        <f>IF('Input Form'!$D$55="x","OK","")</f>
        <v/>
      </c>
      <c r="I240" s="31" t="str">
        <f>IF('Input Form'!$E$55="x","OK","")</f>
        <v/>
      </c>
      <c r="J240" s="32" t="str">
        <f>IF('Input Form'!$F$55="x","OK","")</f>
        <v/>
      </c>
    </row>
    <row r="241" spans="1:10" s="635" customFormat="1" ht="15.75" hidden="1" customHeight="1">
      <c r="A241" s="721" t="s">
        <v>761</v>
      </c>
      <c r="B241" s="722"/>
      <c r="C241" s="657">
        <f>PrSchr4</f>
        <v>0</v>
      </c>
      <c r="D241" s="328" t="s">
        <v>740</v>
      </c>
      <c r="E241" s="747" t="str">
        <f t="shared" ref="E241:E247" si="15">IF(ISBLANK(D241),$L$13,IF(D241=10,$L$14,$L$15))</f>
        <v>Description of non conformance (mandatory)</v>
      </c>
      <c r="F241" s="877"/>
      <c r="G241" s="861"/>
      <c r="H241" s="31"/>
      <c r="I241" s="31"/>
      <c r="J241" s="32"/>
    </row>
    <row r="242" spans="1:10" s="635" customFormat="1" ht="15.75" hidden="1" customHeight="1">
      <c r="A242" s="721" t="s">
        <v>762</v>
      </c>
      <c r="B242" s="722"/>
      <c r="C242" s="657">
        <f>PrSchr5</f>
        <v>0</v>
      </c>
      <c r="D242" s="328" t="s">
        <v>740</v>
      </c>
      <c r="E242" s="747" t="str">
        <f t="shared" si="15"/>
        <v>Description of non conformance (mandatory)</v>
      </c>
      <c r="F242" s="877"/>
      <c r="G242" s="861" t="str">
        <f>IF('Input Form'!$C$55="x","OK","")</f>
        <v/>
      </c>
      <c r="H242" s="31" t="str">
        <f>IF('Input Form'!$D$55="x","OK","")</f>
        <v/>
      </c>
      <c r="I242" s="31" t="str">
        <f>IF('Input Form'!$E$55="x","OK","")</f>
        <v/>
      </c>
      <c r="J242" s="32" t="str">
        <f>IF('Input Form'!$F$55="x","OK","")</f>
        <v/>
      </c>
    </row>
    <row r="243" spans="1:10" s="635" customFormat="1" ht="15.75" hidden="1" customHeight="1">
      <c r="A243" s="721" t="s">
        <v>763</v>
      </c>
      <c r="B243" s="722"/>
      <c r="C243" s="657">
        <f>PrSchr6</f>
        <v>0</v>
      </c>
      <c r="D243" s="328" t="s">
        <v>740</v>
      </c>
      <c r="E243" s="747" t="str">
        <f t="shared" si="15"/>
        <v>Description of non conformance (mandatory)</v>
      </c>
      <c r="F243" s="877"/>
      <c r="G243" s="861"/>
      <c r="H243" s="31"/>
      <c r="I243" s="31"/>
      <c r="J243" s="32"/>
    </row>
    <row r="244" spans="1:10" s="635" customFormat="1" ht="15.75" hidden="1" customHeight="1">
      <c r="A244" s="721" t="s">
        <v>764</v>
      </c>
      <c r="B244" s="722"/>
      <c r="C244" s="657">
        <f>PrSchr7</f>
        <v>0</v>
      </c>
      <c r="D244" s="328" t="s">
        <v>740</v>
      </c>
      <c r="E244" s="747" t="str">
        <f t="shared" si="15"/>
        <v>Description of non conformance (mandatory)</v>
      </c>
      <c r="F244" s="877"/>
      <c r="G244" s="861"/>
      <c r="H244" s="31"/>
      <c r="I244" s="31"/>
      <c r="J244" s="32"/>
    </row>
    <row r="245" spans="1:10" s="635" customFormat="1" ht="15.75" hidden="1" customHeight="1">
      <c r="A245" s="721" t="s">
        <v>765</v>
      </c>
      <c r="B245" s="722"/>
      <c r="C245" s="657">
        <f>PrSchr8</f>
        <v>0</v>
      </c>
      <c r="D245" s="328" t="s">
        <v>740</v>
      </c>
      <c r="E245" s="747" t="str">
        <f t="shared" si="15"/>
        <v>Description of non conformance (mandatory)</v>
      </c>
      <c r="F245" s="877"/>
      <c r="G245" s="861"/>
      <c r="H245" s="31"/>
      <c r="I245" s="31"/>
      <c r="J245" s="32"/>
    </row>
    <row r="246" spans="1:10" s="635" customFormat="1" ht="15.75" hidden="1" customHeight="1">
      <c r="A246" s="721" t="s">
        <v>766</v>
      </c>
      <c r="B246" s="722"/>
      <c r="C246" s="657">
        <f>PrSchr9</f>
        <v>0</v>
      </c>
      <c r="D246" s="328" t="s">
        <v>740</v>
      </c>
      <c r="E246" s="747" t="str">
        <f t="shared" si="15"/>
        <v>Description of non conformance (mandatory)</v>
      </c>
      <c r="F246" s="877"/>
      <c r="G246" s="861"/>
      <c r="H246" s="31"/>
      <c r="I246" s="31"/>
      <c r="J246" s="32"/>
    </row>
    <row r="247" spans="1:10" s="635" customFormat="1" ht="16.5" hidden="1" customHeight="1" thickBot="1">
      <c r="A247" s="728" t="s">
        <v>767</v>
      </c>
      <c r="B247" s="729"/>
      <c r="C247" s="657">
        <f>PrSchr10</f>
        <v>0</v>
      </c>
      <c r="D247" s="328" t="s">
        <v>740</v>
      </c>
      <c r="E247" s="912" t="str">
        <f t="shared" si="15"/>
        <v>Description of non conformance (mandatory)</v>
      </c>
      <c r="F247" s="877"/>
      <c r="G247" s="861"/>
      <c r="H247" s="31"/>
      <c r="I247" s="31"/>
      <c r="J247" s="32"/>
    </row>
    <row r="248" spans="1:10" s="635" customFormat="1" ht="16.5" thickBot="1">
      <c r="A248" s="716" t="s">
        <v>70</v>
      </c>
      <c r="B248" s="717"/>
      <c r="C248" s="673" t="str">
        <f>VLOOKUP(pos(C248),'Language-Sprachen'!$A$200:$G$461,'Language-Sprachen'!$A$3,0)</f>
        <v>Are the work and inspection stations appropriate for the needs?</v>
      </c>
      <c r="D248" s="1165"/>
      <c r="E248" s="1166"/>
      <c r="F248" s="873"/>
      <c r="G248" s="752"/>
      <c r="H248"/>
      <c r="I248"/>
      <c r="J248" s="36"/>
    </row>
    <row r="249" spans="1:10" s="635" customFormat="1" ht="15.75">
      <c r="A249" s="715" t="s">
        <v>279</v>
      </c>
      <c r="B249" s="718"/>
      <c r="C249" s="657" t="str">
        <f>PrSchr1</f>
        <v>Incoming</v>
      </c>
      <c r="D249" s="291">
        <v>10</v>
      </c>
      <c r="E249" s="1126" t="str">
        <f>IF((D249="n.e."),$L$13,IF(D249=10,$L$14,$L$15))</f>
        <v>No weakness identified</v>
      </c>
      <c r="F249" s="877"/>
      <c r="G249" s="861" t="str">
        <f>IF('Input Form'!$C$53="x","OK","")</f>
        <v/>
      </c>
      <c r="H249" s="31" t="str">
        <f>IF('Input Form'!$D$53="x","OK","")</f>
        <v/>
      </c>
      <c r="I249" s="31" t="str">
        <f>IF('Input Form'!$E$53="x","OK","")</f>
        <v/>
      </c>
      <c r="J249" s="32" t="str">
        <f>IF('Input Form'!$F$53="x","OK","")</f>
        <v/>
      </c>
    </row>
    <row r="250" spans="1:10" s="635" customFormat="1" ht="45">
      <c r="A250" s="715" t="s">
        <v>280</v>
      </c>
      <c r="B250" s="718"/>
      <c r="C250" s="657" t="str">
        <f>PrSchr2</f>
        <v>Manufacturing</v>
      </c>
      <c r="D250" s="293">
        <v>6</v>
      </c>
      <c r="E250" s="1126" t="s">
        <v>1160</v>
      </c>
      <c r="F250" s="877"/>
      <c r="G250" s="861" t="str">
        <f>IF('Input Form'!$C$54="x","OK","")</f>
        <v/>
      </c>
      <c r="H250" s="31" t="str">
        <f>IF('Input Form'!$D$54="x","OK","")</f>
        <v/>
      </c>
      <c r="I250" s="31" t="str">
        <f>IF('Input Form'!$E$54="x","OK","")</f>
        <v/>
      </c>
      <c r="J250" s="32" t="str">
        <f>IF('Input Form'!$F$54="x","OK","")</f>
        <v/>
      </c>
    </row>
    <row r="251" spans="1:10" s="635" customFormat="1" ht="16.5" thickBot="1">
      <c r="A251" s="715" t="s">
        <v>281</v>
      </c>
      <c r="B251" s="718"/>
      <c r="C251" s="657" t="str">
        <f>PrSchr3</f>
        <v>Shipping</v>
      </c>
      <c r="D251" s="294">
        <v>10</v>
      </c>
      <c r="E251" s="1126" t="str">
        <f>IF((D251="n.e."),$L$13,IF(D251=10,$L$14,$L$15))</f>
        <v>No weakness identified</v>
      </c>
      <c r="F251" s="877"/>
      <c r="G251" s="861" t="str">
        <f>IF('Input Form'!$C$55="x","OK","")</f>
        <v/>
      </c>
      <c r="H251" s="31" t="str">
        <f>IF('Input Form'!$D$55="x","OK","")</f>
        <v/>
      </c>
      <c r="I251" s="31" t="str">
        <f>IF('Input Form'!$E$55="x","OK","")</f>
        <v/>
      </c>
      <c r="J251" s="32" t="str">
        <f>IF('Input Form'!$F$55="x","OK","")</f>
        <v/>
      </c>
    </row>
    <row r="252" spans="1:10" s="635" customFormat="1" ht="15.75" hidden="1" customHeight="1">
      <c r="A252" s="715" t="s">
        <v>761</v>
      </c>
      <c r="B252" s="718"/>
      <c r="C252" s="657">
        <f>PrSchr4</f>
        <v>0</v>
      </c>
      <c r="D252" s="291" t="s">
        <v>740</v>
      </c>
      <c r="E252" s="747" t="str">
        <f t="shared" ref="E252:E258" si="16">IF(ISBLANK(D252),$L$13,IF(D252=10,$L$14,$L$15))</f>
        <v>Description of non conformance (mandatory)</v>
      </c>
      <c r="F252" s="877"/>
      <c r="G252" s="861"/>
      <c r="H252" s="31"/>
      <c r="I252" s="31"/>
      <c r="J252" s="32"/>
    </row>
    <row r="253" spans="1:10" s="635" customFormat="1" ht="15.75" hidden="1" customHeight="1">
      <c r="A253" s="715" t="s">
        <v>762</v>
      </c>
      <c r="B253" s="718"/>
      <c r="C253" s="657">
        <f>PrSchr5</f>
        <v>0</v>
      </c>
      <c r="D253" s="291" t="s">
        <v>740</v>
      </c>
      <c r="E253" s="747" t="str">
        <f t="shared" si="16"/>
        <v>Description of non conformance (mandatory)</v>
      </c>
      <c r="F253" s="877"/>
      <c r="G253" s="861" t="str">
        <f>IF('Input Form'!$C$55="x","OK","")</f>
        <v/>
      </c>
      <c r="H253" s="31" t="str">
        <f>IF('Input Form'!$D$55="x","OK","")</f>
        <v/>
      </c>
      <c r="I253" s="31" t="str">
        <f>IF('Input Form'!$E$55="x","OK","")</f>
        <v/>
      </c>
      <c r="J253" s="32" t="str">
        <f>IF('Input Form'!$F$55="x","OK","")</f>
        <v/>
      </c>
    </row>
    <row r="254" spans="1:10" s="635" customFormat="1" ht="15.75" hidden="1" customHeight="1">
      <c r="A254" s="715" t="s">
        <v>763</v>
      </c>
      <c r="B254" s="713"/>
      <c r="C254" s="657">
        <f>PrSchr6</f>
        <v>0</v>
      </c>
      <c r="D254" s="291" t="s">
        <v>740</v>
      </c>
      <c r="E254" s="747" t="str">
        <f t="shared" si="16"/>
        <v>Description of non conformance (mandatory)</v>
      </c>
      <c r="F254" s="877"/>
      <c r="G254" s="861"/>
      <c r="H254" s="31"/>
      <c r="I254" s="31"/>
      <c r="J254" s="32"/>
    </row>
    <row r="255" spans="1:10" s="635" customFormat="1" ht="15.75" hidden="1" customHeight="1">
      <c r="A255" s="715" t="s">
        <v>764</v>
      </c>
      <c r="B255" s="713"/>
      <c r="C255" s="657">
        <f>PrSchr7</f>
        <v>0</v>
      </c>
      <c r="D255" s="291" t="s">
        <v>740</v>
      </c>
      <c r="E255" s="747" t="str">
        <f t="shared" si="16"/>
        <v>Description of non conformance (mandatory)</v>
      </c>
      <c r="F255" s="877"/>
      <c r="G255" s="861"/>
      <c r="H255" s="31"/>
      <c r="I255" s="31"/>
      <c r="J255" s="32"/>
    </row>
    <row r="256" spans="1:10" s="635" customFormat="1" ht="15.75" hidden="1" customHeight="1">
      <c r="A256" s="715" t="s">
        <v>765</v>
      </c>
      <c r="B256" s="713"/>
      <c r="C256" s="657">
        <f>PrSchr8</f>
        <v>0</v>
      </c>
      <c r="D256" s="291" t="s">
        <v>740</v>
      </c>
      <c r="E256" s="747" t="str">
        <f t="shared" si="16"/>
        <v>Description of non conformance (mandatory)</v>
      </c>
      <c r="F256" s="877"/>
      <c r="G256" s="861"/>
      <c r="H256" s="31"/>
      <c r="I256" s="31"/>
      <c r="J256" s="32"/>
    </row>
    <row r="257" spans="1:10" s="635" customFormat="1" ht="15.75" hidden="1" customHeight="1">
      <c r="A257" s="715" t="s">
        <v>766</v>
      </c>
      <c r="B257" s="713"/>
      <c r="C257" s="657">
        <f>PrSchr9</f>
        <v>0</v>
      </c>
      <c r="D257" s="291" t="s">
        <v>740</v>
      </c>
      <c r="E257" s="747" t="str">
        <f t="shared" si="16"/>
        <v>Description of non conformance (mandatory)</v>
      </c>
      <c r="F257" s="877"/>
      <c r="G257" s="861"/>
      <c r="H257" s="31"/>
      <c r="I257" s="31"/>
      <c r="J257" s="32"/>
    </row>
    <row r="258" spans="1:10" s="635" customFormat="1" ht="16.5" hidden="1" customHeight="1" thickBot="1">
      <c r="A258" s="715" t="s">
        <v>767</v>
      </c>
      <c r="B258" s="713"/>
      <c r="C258" s="657">
        <f>PrSchr10</f>
        <v>0</v>
      </c>
      <c r="D258" s="291" t="s">
        <v>740</v>
      </c>
      <c r="E258" s="912" t="str">
        <f t="shared" si="16"/>
        <v>Description of non conformance (mandatory)</v>
      </c>
      <c r="F258" s="877"/>
      <c r="G258" s="861"/>
      <c r="H258" s="31"/>
      <c r="I258" s="31"/>
      <c r="J258" s="32"/>
    </row>
    <row r="259" spans="1:10" s="635" customFormat="1" ht="16.5" thickBot="1">
      <c r="A259" s="731" t="s">
        <v>345</v>
      </c>
      <c r="B259" s="717"/>
      <c r="C259" s="673" t="str">
        <f>VLOOKUP(pos(C259),'Language-Sprachen'!$A$200:$G$461,'Language-Sprachen'!$A$3,0)</f>
        <v>Are tools, equipment and test equipment stored properly?</v>
      </c>
      <c r="D259" s="1165"/>
      <c r="E259" s="1166"/>
      <c r="F259" s="873"/>
      <c r="G259" s="752"/>
      <c r="H259"/>
      <c r="I259"/>
      <c r="J259" s="36"/>
    </row>
    <row r="260" spans="1:10" s="635" customFormat="1" ht="15.75">
      <c r="A260" s="715" t="s">
        <v>279</v>
      </c>
      <c r="B260" s="718"/>
      <c r="C260" s="657" t="str">
        <f>PrSchr1</f>
        <v>Incoming</v>
      </c>
      <c r="D260" s="291">
        <v>10</v>
      </c>
      <c r="E260" s="1126" t="str">
        <f>IF((D260="n.e."),$L$13,IF(D260=10,$L$14,$L$15))</f>
        <v>No weakness identified</v>
      </c>
      <c r="F260" s="877"/>
      <c r="G260" s="861" t="str">
        <f>IF('Input Form'!$C$53="x","OK","")</f>
        <v/>
      </c>
      <c r="H260" s="31" t="str">
        <f>IF('Input Form'!$D$53="x","OK","")</f>
        <v/>
      </c>
      <c r="I260" s="31" t="str">
        <f>IF('Input Form'!$E$53="x","OK","")</f>
        <v/>
      </c>
      <c r="J260" s="32" t="str">
        <f>IF('Input Form'!$F$53="x","OK","")</f>
        <v/>
      </c>
    </row>
    <row r="261" spans="1:10" s="635" customFormat="1" ht="75">
      <c r="A261" s="715" t="s">
        <v>280</v>
      </c>
      <c r="B261" s="718"/>
      <c r="C261" s="657" t="str">
        <f>PrSchr2</f>
        <v>Manufacturing</v>
      </c>
      <c r="D261" s="293">
        <v>6</v>
      </c>
      <c r="E261" s="1126" t="s">
        <v>1173</v>
      </c>
      <c r="F261" s="877"/>
      <c r="G261" s="861" t="str">
        <f>IF('Input Form'!$C$54="x","OK","")</f>
        <v/>
      </c>
      <c r="H261" s="31" t="str">
        <f>IF('Input Form'!$D$54="x","OK","")</f>
        <v/>
      </c>
      <c r="I261" s="31" t="str">
        <f>IF('Input Form'!$E$54="x","OK","")</f>
        <v/>
      </c>
      <c r="J261" s="32" t="str">
        <f>IF('Input Form'!$F$54="x","OK","")</f>
        <v/>
      </c>
    </row>
    <row r="262" spans="1:10" s="635" customFormat="1" ht="16.5" thickBot="1">
      <c r="A262" s="715" t="s">
        <v>281</v>
      </c>
      <c r="B262" s="718"/>
      <c r="C262" s="657" t="str">
        <f>PrSchr3</f>
        <v>Shipping</v>
      </c>
      <c r="D262" s="294">
        <v>10</v>
      </c>
      <c r="E262" s="1126" t="str">
        <f>IF((D262="n.e."),$L$13,IF(D262=10,$L$14,$L$15))</f>
        <v>No weakness identified</v>
      </c>
      <c r="F262" s="877"/>
      <c r="G262" s="861" t="str">
        <f>IF('Input Form'!$C$55="x","OK","")</f>
        <v/>
      </c>
      <c r="H262" s="31" t="str">
        <f>IF('Input Form'!$D$55="x","OK","")</f>
        <v/>
      </c>
      <c r="I262" s="31" t="str">
        <f>IF('Input Form'!$E$55="x","OK","")</f>
        <v/>
      </c>
      <c r="J262" s="32" t="str">
        <f>IF('Input Form'!$F$55="x","OK","")</f>
        <v/>
      </c>
    </row>
    <row r="263" spans="1:10" s="635" customFormat="1" ht="15.75" hidden="1" customHeight="1">
      <c r="A263" s="715" t="s">
        <v>761</v>
      </c>
      <c r="B263" s="718"/>
      <c r="C263" s="657">
        <f>PrSchr4</f>
        <v>0</v>
      </c>
      <c r="D263" s="291" t="s">
        <v>740</v>
      </c>
      <c r="E263" s="747" t="str">
        <f t="shared" ref="E263:E269" si="17">IF(ISBLANK(D263),$L$13,IF(D263=10,$L$14,$L$15))</f>
        <v>Description of non conformance (mandatory)</v>
      </c>
      <c r="F263" s="877"/>
      <c r="G263" s="861"/>
      <c r="H263" s="31"/>
      <c r="I263" s="31"/>
      <c r="J263" s="32"/>
    </row>
    <row r="264" spans="1:10" s="635" customFormat="1" ht="15.75" hidden="1" customHeight="1">
      <c r="A264" s="715" t="s">
        <v>762</v>
      </c>
      <c r="B264" s="718"/>
      <c r="C264" s="657">
        <f>PrSchr5</f>
        <v>0</v>
      </c>
      <c r="D264" s="291" t="s">
        <v>740</v>
      </c>
      <c r="E264" s="747" t="str">
        <f t="shared" si="17"/>
        <v>Description of non conformance (mandatory)</v>
      </c>
      <c r="F264" s="877"/>
      <c r="G264" s="861" t="str">
        <f>IF('Input Form'!$C$55="x","OK","")</f>
        <v/>
      </c>
      <c r="H264" s="31" t="str">
        <f>IF('Input Form'!$D$55="x","OK","")</f>
        <v/>
      </c>
      <c r="I264" s="31" t="str">
        <f>IF('Input Form'!$E$55="x","OK","")</f>
        <v/>
      </c>
      <c r="J264" s="32" t="str">
        <f>IF('Input Form'!$F$55="x","OK","")</f>
        <v/>
      </c>
    </row>
    <row r="265" spans="1:10" s="635" customFormat="1" ht="15.75" hidden="1" customHeight="1">
      <c r="A265" s="715" t="s">
        <v>763</v>
      </c>
      <c r="B265" s="713"/>
      <c r="C265" s="657">
        <f>PrSchr6</f>
        <v>0</v>
      </c>
      <c r="D265" s="291" t="s">
        <v>740</v>
      </c>
      <c r="E265" s="747" t="str">
        <f t="shared" si="17"/>
        <v>Description of non conformance (mandatory)</v>
      </c>
      <c r="F265" s="877"/>
      <c r="G265" s="861"/>
      <c r="H265" s="31"/>
      <c r="I265" s="31"/>
      <c r="J265" s="32"/>
    </row>
    <row r="266" spans="1:10" s="635" customFormat="1" ht="15.75" hidden="1" customHeight="1">
      <c r="A266" s="715" t="s">
        <v>764</v>
      </c>
      <c r="B266" s="713"/>
      <c r="C266" s="657">
        <f>PrSchr7</f>
        <v>0</v>
      </c>
      <c r="D266" s="291" t="s">
        <v>740</v>
      </c>
      <c r="E266" s="747" t="str">
        <f t="shared" si="17"/>
        <v>Description of non conformance (mandatory)</v>
      </c>
      <c r="F266" s="877"/>
      <c r="G266" s="861"/>
      <c r="H266" s="31"/>
      <c r="I266" s="31"/>
      <c r="J266" s="32"/>
    </row>
    <row r="267" spans="1:10" s="635" customFormat="1" ht="15.75" hidden="1" customHeight="1">
      <c r="A267" s="715" t="s">
        <v>765</v>
      </c>
      <c r="B267" s="713"/>
      <c r="C267" s="657">
        <f>PrSchr8</f>
        <v>0</v>
      </c>
      <c r="D267" s="291" t="s">
        <v>740</v>
      </c>
      <c r="E267" s="747" t="str">
        <f t="shared" si="17"/>
        <v>Description of non conformance (mandatory)</v>
      </c>
      <c r="F267" s="877"/>
      <c r="G267" s="861"/>
      <c r="H267" s="31"/>
      <c r="I267" s="31"/>
      <c r="J267" s="32"/>
    </row>
    <row r="268" spans="1:10" s="635" customFormat="1" ht="15.75" hidden="1" customHeight="1">
      <c r="A268" s="715" t="s">
        <v>766</v>
      </c>
      <c r="B268" s="713"/>
      <c r="C268" s="657">
        <f>PrSchr9</f>
        <v>0</v>
      </c>
      <c r="D268" s="291" t="s">
        <v>740</v>
      </c>
      <c r="E268" s="747" t="str">
        <f t="shared" si="17"/>
        <v>Description of non conformance (mandatory)</v>
      </c>
      <c r="F268" s="877"/>
      <c r="G268" s="861"/>
      <c r="H268" s="31"/>
      <c r="I268" s="31"/>
      <c r="J268" s="32"/>
    </row>
    <row r="269" spans="1:10" s="635" customFormat="1" ht="16.5" hidden="1" customHeight="1" thickBot="1">
      <c r="A269" s="715" t="s">
        <v>767</v>
      </c>
      <c r="B269" s="713"/>
      <c r="C269" s="657">
        <f>PrSchr10</f>
        <v>0</v>
      </c>
      <c r="D269" s="291" t="s">
        <v>740</v>
      </c>
      <c r="E269" s="912" t="str">
        <f t="shared" si="17"/>
        <v>Description of non conformance (mandatory)</v>
      </c>
      <c r="F269" s="877"/>
      <c r="G269" s="861"/>
      <c r="H269" s="31"/>
      <c r="I269" s="31"/>
      <c r="J269" s="32"/>
    </row>
    <row r="270" spans="1:10" s="635" customFormat="1" ht="42.75" customHeight="1" thickBot="1">
      <c r="A270" s="709" t="s">
        <v>174</v>
      </c>
      <c r="B270" s="710">
        <f>Evaluation!AB62</f>
        <v>0.85</v>
      </c>
      <c r="C270" s="711" t="str">
        <f>VLOOKUP(pos(C270),'Language-Sprachen'!$A$200:$G$461,'Language-Sprachen'!$A$3,0)</f>
        <v>How effective is the process being carried out? Effectiveness, efficiency, waste avoidance</v>
      </c>
      <c r="D270" s="1163"/>
      <c r="E270" s="1164"/>
      <c r="F270" s="874"/>
      <c r="G270" s="752"/>
      <c r="H270"/>
      <c r="I270"/>
      <c r="J270" s="36"/>
    </row>
    <row r="271" spans="1:10" s="635" customFormat="1" ht="16.5" thickBot="1">
      <c r="A271" s="716" t="s">
        <v>71</v>
      </c>
      <c r="B271" s="717"/>
      <c r="C271" s="673" t="str">
        <f>VLOOKUP(pos(C271),'Language-Sprachen'!$A$200:$G$461,'Language-Sprachen'!$A$3,0)</f>
        <v xml:space="preserve">Are there targets set for the manufacturing process? </v>
      </c>
      <c r="D271" s="1165"/>
      <c r="E271" s="1166"/>
      <c r="F271" s="875"/>
      <c r="G271" s="752"/>
      <c r="H271"/>
      <c r="I271"/>
      <c r="J271" s="36"/>
    </row>
    <row r="272" spans="1:10" s="635" customFormat="1" ht="15.75">
      <c r="A272" s="715" t="s">
        <v>279</v>
      </c>
      <c r="B272" s="718"/>
      <c r="C272" s="657" t="str">
        <f>PrSchr1</f>
        <v>Incoming</v>
      </c>
      <c r="D272" s="291">
        <v>10</v>
      </c>
      <c r="E272" s="1126" t="str">
        <f>IF((D272="n.e."),$L$13,IF(D272=10,$L$14,$L$15))</f>
        <v>No weakness identified</v>
      </c>
      <c r="F272" s="877"/>
      <c r="G272" s="861" t="str">
        <f>IF('Input Form'!$C$53="x","OK","")</f>
        <v/>
      </c>
      <c r="H272" s="31" t="str">
        <f>IF('Input Form'!$D$53="x","OK","")</f>
        <v/>
      </c>
      <c r="I272" s="31" t="str">
        <f>IF('Input Form'!$E$53="x","OK","")</f>
        <v/>
      </c>
      <c r="J272" s="32" t="str">
        <f>IF('Input Form'!$F$53="x","OK","")</f>
        <v/>
      </c>
    </row>
    <row r="273" spans="1:10" s="635" customFormat="1" ht="45">
      <c r="A273" s="715" t="s">
        <v>280</v>
      </c>
      <c r="B273" s="718"/>
      <c r="C273" s="657" t="str">
        <f>PrSchr2</f>
        <v>Manufacturing</v>
      </c>
      <c r="D273" s="293">
        <v>6</v>
      </c>
      <c r="E273" s="1126" t="s">
        <v>1161</v>
      </c>
      <c r="F273" s="877"/>
      <c r="G273" s="861" t="str">
        <f>IF('Input Form'!$C$54="x","OK","")</f>
        <v/>
      </c>
      <c r="H273" s="31" t="str">
        <f>IF('Input Form'!$D$54="x","OK","")</f>
        <v/>
      </c>
      <c r="I273" s="31" t="str">
        <f>IF('Input Form'!$E$54="x","OK","")</f>
        <v/>
      </c>
      <c r="J273" s="32" t="str">
        <f>IF('Input Form'!$F$54="x","OK","")</f>
        <v/>
      </c>
    </row>
    <row r="274" spans="1:10" s="635" customFormat="1" ht="16.5" thickBot="1">
      <c r="A274" s="715" t="s">
        <v>281</v>
      </c>
      <c r="B274" s="718"/>
      <c r="C274" s="657" t="str">
        <f>PrSchr3</f>
        <v>Shipping</v>
      </c>
      <c r="D274" s="294">
        <v>10</v>
      </c>
      <c r="E274" s="1126" t="str">
        <f>IF((D274="n.e."),$L$13,IF(D274=10,$L$14,$L$15))</f>
        <v>No weakness identified</v>
      </c>
      <c r="F274" s="877"/>
      <c r="G274" s="861" t="str">
        <f>IF('Input Form'!$C$55="x","OK","")</f>
        <v/>
      </c>
      <c r="H274" s="31" t="str">
        <f>IF('Input Form'!$D$55="x","OK","")</f>
        <v/>
      </c>
      <c r="I274" s="31" t="str">
        <f>IF('Input Form'!$E$55="x","OK","")</f>
        <v/>
      </c>
      <c r="J274" s="32" t="str">
        <f>IF('Input Form'!$F$55="x","OK","")</f>
        <v/>
      </c>
    </row>
    <row r="275" spans="1:10" s="635" customFormat="1" ht="15.75" hidden="1" customHeight="1">
      <c r="A275" s="715" t="s">
        <v>761</v>
      </c>
      <c r="B275" s="718"/>
      <c r="C275" s="657">
        <f>PrSchr4</f>
        <v>0</v>
      </c>
      <c r="D275" s="291" t="s">
        <v>740</v>
      </c>
      <c r="E275" s="747" t="str">
        <f t="shared" ref="E275:E281" si="18">IF(ISBLANK(D275),$L$13,IF(D275=10,$L$14,$L$15))</f>
        <v>Description of non conformance (mandatory)</v>
      </c>
      <c r="F275" s="877"/>
      <c r="G275" s="861"/>
      <c r="H275" s="31"/>
      <c r="I275" s="31"/>
      <c r="J275" s="32"/>
    </row>
    <row r="276" spans="1:10" s="635" customFormat="1" ht="15.75" hidden="1" customHeight="1">
      <c r="A276" s="715" t="s">
        <v>762</v>
      </c>
      <c r="B276" s="718"/>
      <c r="C276" s="657">
        <f>PrSchr5</f>
        <v>0</v>
      </c>
      <c r="D276" s="291" t="s">
        <v>740</v>
      </c>
      <c r="E276" s="747" t="str">
        <f t="shared" si="18"/>
        <v>Description of non conformance (mandatory)</v>
      </c>
      <c r="F276" s="877"/>
      <c r="G276" s="861" t="str">
        <f>IF('Input Form'!$C$55="x","OK","")</f>
        <v/>
      </c>
      <c r="H276" s="31" t="str">
        <f>IF('Input Form'!$D$55="x","OK","")</f>
        <v/>
      </c>
      <c r="I276" s="31" t="str">
        <f>IF('Input Form'!$E$55="x","OK","")</f>
        <v/>
      </c>
      <c r="J276" s="32" t="str">
        <f>IF('Input Form'!$F$55="x","OK","")</f>
        <v/>
      </c>
    </row>
    <row r="277" spans="1:10" s="635" customFormat="1" ht="15.75" hidden="1" customHeight="1">
      <c r="A277" s="715" t="s">
        <v>763</v>
      </c>
      <c r="B277" s="713"/>
      <c r="C277" s="657">
        <f>PrSchr6</f>
        <v>0</v>
      </c>
      <c r="D277" s="291" t="s">
        <v>740</v>
      </c>
      <c r="E277" s="747" t="str">
        <f t="shared" si="18"/>
        <v>Description of non conformance (mandatory)</v>
      </c>
      <c r="F277" s="877"/>
      <c r="G277" s="861"/>
      <c r="H277" s="31"/>
      <c r="I277" s="31"/>
      <c r="J277" s="32"/>
    </row>
    <row r="278" spans="1:10" s="635" customFormat="1" ht="15.75" hidden="1" customHeight="1">
      <c r="A278" s="715" t="s">
        <v>764</v>
      </c>
      <c r="B278" s="713"/>
      <c r="C278" s="657">
        <f>PrSchr7</f>
        <v>0</v>
      </c>
      <c r="D278" s="291" t="s">
        <v>740</v>
      </c>
      <c r="E278" s="747" t="str">
        <f t="shared" si="18"/>
        <v>Description of non conformance (mandatory)</v>
      </c>
      <c r="F278" s="877"/>
      <c r="G278" s="861"/>
      <c r="H278" s="31"/>
      <c r="I278" s="31"/>
      <c r="J278" s="32"/>
    </row>
    <row r="279" spans="1:10" s="635" customFormat="1" ht="15.75" hidden="1" customHeight="1">
      <c r="A279" s="715" t="s">
        <v>765</v>
      </c>
      <c r="B279" s="713"/>
      <c r="C279" s="657">
        <f>PrSchr8</f>
        <v>0</v>
      </c>
      <c r="D279" s="291" t="s">
        <v>740</v>
      </c>
      <c r="E279" s="747" t="str">
        <f t="shared" si="18"/>
        <v>Description of non conformance (mandatory)</v>
      </c>
      <c r="F279" s="877"/>
      <c r="G279" s="861"/>
      <c r="H279" s="31"/>
      <c r="I279" s="31"/>
      <c r="J279" s="32"/>
    </row>
    <row r="280" spans="1:10" s="635" customFormat="1" ht="15.75" hidden="1" customHeight="1">
      <c r="A280" s="715" t="s">
        <v>766</v>
      </c>
      <c r="B280" s="713"/>
      <c r="C280" s="657">
        <f>PrSchr9</f>
        <v>0</v>
      </c>
      <c r="D280" s="291" t="s">
        <v>740</v>
      </c>
      <c r="E280" s="747" t="str">
        <f t="shared" si="18"/>
        <v>Description of non conformance (mandatory)</v>
      </c>
      <c r="F280" s="877"/>
      <c r="G280" s="861"/>
      <c r="H280" s="31"/>
      <c r="I280" s="31"/>
      <c r="J280" s="32"/>
    </row>
    <row r="281" spans="1:10" s="635" customFormat="1" ht="16.5" hidden="1" customHeight="1" thickBot="1">
      <c r="A281" s="715" t="s">
        <v>767</v>
      </c>
      <c r="B281" s="713"/>
      <c r="C281" s="657">
        <f>PrSchr10</f>
        <v>0</v>
      </c>
      <c r="D281" s="291" t="s">
        <v>740</v>
      </c>
      <c r="E281" s="912" t="str">
        <f t="shared" si="18"/>
        <v>Description of non conformance (mandatory)</v>
      </c>
      <c r="F281" s="877"/>
      <c r="G281" s="861"/>
      <c r="H281" s="31"/>
      <c r="I281" s="31"/>
      <c r="J281" s="32"/>
    </row>
    <row r="282" spans="1:10" s="635" customFormat="1" ht="16.5" thickBot="1">
      <c r="A282" s="716" t="s">
        <v>72</v>
      </c>
      <c r="B282" s="717"/>
      <c r="C282" s="673" t="str">
        <f>VLOOKUP(pos(C282),'Language-Sprachen'!$A$200:$G$461,'Language-Sprachen'!$A$3,0)</f>
        <v xml:space="preserve">Is quality and process data collected in a way that allows analysis? </v>
      </c>
      <c r="D282" s="1165"/>
      <c r="E282" s="1166"/>
      <c r="F282" s="873"/>
      <c r="G282" s="752"/>
      <c r="H282"/>
      <c r="I282"/>
      <c r="J282" s="36"/>
    </row>
    <row r="283" spans="1:10" s="635" customFormat="1" ht="15.75">
      <c r="A283" s="715" t="s">
        <v>279</v>
      </c>
      <c r="B283" s="718"/>
      <c r="C283" s="657" t="str">
        <f>PrSchr1</f>
        <v>Incoming</v>
      </c>
      <c r="D283" s="291">
        <v>10</v>
      </c>
      <c r="E283" s="1126" t="str">
        <f>IF((D283="n.e."),$L$13,IF(D283=10,$L$14,$L$15))</f>
        <v>No weakness identified</v>
      </c>
      <c r="F283" s="877"/>
      <c r="G283" s="861" t="str">
        <f>IF('Input Form'!$C$53="x","OK","")</f>
        <v/>
      </c>
      <c r="H283" s="31" t="str">
        <f>IF('Input Form'!$D$53="x","OK","")</f>
        <v/>
      </c>
      <c r="I283" s="31" t="str">
        <f>IF('Input Form'!$E$53="x","OK","")</f>
        <v/>
      </c>
      <c r="J283" s="32" t="str">
        <f>IF('Input Form'!$F$53="x","OK","")</f>
        <v/>
      </c>
    </row>
    <row r="284" spans="1:10" s="635" customFormat="1" ht="15.75">
      <c r="A284" s="715" t="s">
        <v>280</v>
      </c>
      <c r="B284" s="718"/>
      <c r="C284" s="657" t="str">
        <f>PrSchr2</f>
        <v>Manufacturing</v>
      </c>
      <c r="D284" s="293">
        <v>10</v>
      </c>
      <c r="E284" s="1126" t="str">
        <f>IF((D284="n.e."),$L$13,IF(D284=10,$L$14,$L$15))</f>
        <v>No weakness identified</v>
      </c>
      <c r="F284" s="877"/>
      <c r="G284" s="861" t="str">
        <f>IF('Input Form'!$C$54="x","OK","")</f>
        <v/>
      </c>
      <c r="H284" s="31" t="str">
        <f>IF('Input Form'!$D$54="x","OK","")</f>
        <v/>
      </c>
      <c r="I284" s="31" t="str">
        <f>IF('Input Form'!$E$54="x","OK","")</f>
        <v/>
      </c>
      <c r="J284" s="32" t="str">
        <f>IF('Input Form'!$F$54="x","OK","")</f>
        <v/>
      </c>
    </row>
    <row r="285" spans="1:10" s="635" customFormat="1" ht="16.5" thickBot="1">
      <c r="A285" s="715" t="s">
        <v>281</v>
      </c>
      <c r="B285" s="718"/>
      <c r="C285" s="657" t="str">
        <f>PrSchr3</f>
        <v>Shipping</v>
      </c>
      <c r="D285" s="294">
        <v>10</v>
      </c>
      <c r="E285" s="1126" t="str">
        <f>IF((D285="n.e."),$L$13,IF(D285=10,$L$14,$L$15))</f>
        <v>No weakness identified</v>
      </c>
      <c r="F285" s="877"/>
      <c r="G285" s="861" t="str">
        <f>IF('Input Form'!$C$55="x","OK","")</f>
        <v/>
      </c>
      <c r="H285" s="31" t="str">
        <f>IF('Input Form'!$D$55="x","OK","")</f>
        <v/>
      </c>
      <c r="I285" s="31" t="str">
        <f>IF('Input Form'!$E$55="x","OK","")</f>
        <v/>
      </c>
      <c r="J285" s="32" t="str">
        <f>IF('Input Form'!$F$55="x","OK","")</f>
        <v/>
      </c>
    </row>
    <row r="286" spans="1:10" s="635" customFormat="1" ht="15.75" hidden="1" customHeight="1">
      <c r="A286" s="715" t="s">
        <v>761</v>
      </c>
      <c r="B286" s="718"/>
      <c r="C286" s="657">
        <f>PrSchr4</f>
        <v>0</v>
      </c>
      <c r="D286" s="291" t="s">
        <v>740</v>
      </c>
      <c r="E286" s="747" t="str">
        <f t="shared" ref="E286:E292" si="19">IF(ISBLANK(D286),$L$13,IF(D286=10,$L$14,$L$15))</f>
        <v>Description of non conformance (mandatory)</v>
      </c>
      <c r="F286" s="877"/>
      <c r="G286" s="861"/>
      <c r="H286" s="31"/>
      <c r="I286" s="31"/>
      <c r="J286" s="32"/>
    </row>
    <row r="287" spans="1:10" s="635" customFormat="1" ht="15.75" hidden="1" customHeight="1">
      <c r="A287" s="715" t="s">
        <v>762</v>
      </c>
      <c r="B287" s="718"/>
      <c r="C287" s="657">
        <f>PrSchr5</f>
        <v>0</v>
      </c>
      <c r="D287" s="291" t="s">
        <v>740</v>
      </c>
      <c r="E287" s="747" t="str">
        <f t="shared" si="19"/>
        <v>Description of non conformance (mandatory)</v>
      </c>
      <c r="F287" s="877"/>
      <c r="G287" s="861" t="str">
        <f>IF('Input Form'!$C$55="x","OK","")</f>
        <v/>
      </c>
      <c r="H287" s="31" t="str">
        <f>IF('Input Form'!$D$55="x","OK","")</f>
        <v/>
      </c>
      <c r="I287" s="31" t="str">
        <f>IF('Input Form'!$E$55="x","OK","")</f>
        <v/>
      </c>
      <c r="J287" s="32" t="str">
        <f>IF('Input Form'!$F$55="x","OK","")</f>
        <v/>
      </c>
    </row>
    <row r="288" spans="1:10" s="635" customFormat="1" ht="15.75" hidden="1" customHeight="1">
      <c r="A288" s="715" t="s">
        <v>763</v>
      </c>
      <c r="B288" s="713"/>
      <c r="C288" s="657">
        <f>PrSchr6</f>
        <v>0</v>
      </c>
      <c r="D288" s="291" t="s">
        <v>740</v>
      </c>
      <c r="E288" s="747" t="str">
        <f t="shared" si="19"/>
        <v>Description of non conformance (mandatory)</v>
      </c>
      <c r="F288" s="877"/>
      <c r="G288" s="861"/>
      <c r="H288" s="31"/>
      <c r="I288" s="31"/>
      <c r="J288" s="32"/>
    </row>
    <row r="289" spans="1:10" s="635" customFormat="1" ht="15.75" hidden="1" customHeight="1">
      <c r="A289" s="715" t="s">
        <v>764</v>
      </c>
      <c r="B289" s="713"/>
      <c r="C289" s="657">
        <f>PrSchr7</f>
        <v>0</v>
      </c>
      <c r="D289" s="291" t="s">
        <v>740</v>
      </c>
      <c r="E289" s="747" t="str">
        <f t="shared" si="19"/>
        <v>Description of non conformance (mandatory)</v>
      </c>
      <c r="F289" s="877"/>
      <c r="G289" s="861"/>
      <c r="H289" s="31"/>
      <c r="I289" s="31"/>
      <c r="J289" s="32"/>
    </row>
    <row r="290" spans="1:10" s="635" customFormat="1" ht="15.75" hidden="1" customHeight="1">
      <c r="A290" s="715" t="s">
        <v>765</v>
      </c>
      <c r="B290" s="713"/>
      <c r="C290" s="657">
        <f>PrSchr8</f>
        <v>0</v>
      </c>
      <c r="D290" s="291" t="s">
        <v>740</v>
      </c>
      <c r="E290" s="747" t="str">
        <f t="shared" si="19"/>
        <v>Description of non conformance (mandatory)</v>
      </c>
      <c r="F290" s="877"/>
      <c r="G290" s="861"/>
      <c r="H290" s="31"/>
      <c r="I290" s="31"/>
      <c r="J290" s="32"/>
    </row>
    <row r="291" spans="1:10" s="635" customFormat="1" ht="15.75" hidden="1" customHeight="1">
      <c r="A291" s="715" t="s">
        <v>766</v>
      </c>
      <c r="B291" s="713"/>
      <c r="C291" s="657">
        <f>PrSchr9</f>
        <v>0</v>
      </c>
      <c r="D291" s="291" t="s">
        <v>740</v>
      </c>
      <c r="E291" s="747" t="str">
        <f t="shared" si="19"/>
        <v>Description of non conformance (mandatory)</v>
      </c>
      <c r="F291" s="877"/>
      <c r="G291" s="861"/>
      <c r="H291" s="31"/>
      <c r="I291" s="31"/>
      <c r="J291" s="32"/>
    </row>
    <row r="292" spans="1:10" s="635" customFormat="1" ht="16.5" hidden="1" customHeight="1" thickBot="1">
      <c r="A292" s="715" t="s">
        <v>767</v>
      </c>
      <c r="B292" s="713"/>
      <c r="C292" s="657">
        <f>PrSchr10</f>
        <v>0</v>
      </c>
      <c r="D292" s="291" t="s">
        <v>740</v>
      </c>
      <c r="E292" s="912" t="str">
        <f t="shared" si="19"/>
        <v>Description of non conformance (mandatory)</v>
      </c>
      <c r="F292" s="877"/>
      <c r="G292" s="861"/>
      <c r="H292" s="31"/>
      <c r="I292" s="31"/>
      <c r="J292" s="32"/>
    </row>
    <row r="293" spans="1:10" s="635" customFormat="1" ht="30.75" thickBot="1">
      <c r="A293" s="725" t="s">
        <v>175</v>
      </c>
      <c r="B293" s="720" t="s">
        <v>10</v>
      </c>
      <c r="C293" s="673" t="str">
        <f>VLOOKUP(pos(C293),'Language-Sprachen'!$A$200:$G$461,'Language-Sprachen'!$A$3,0)</f>
        <v>In the case of deviations from product and process requirements, are the causes analysed and the corrective actions checked for effectiveness?</v>
      </c>
      <c r="D293" s="1165"/>
      <c r="E293" s="1166"/>
      <c r="F293" s="873"/>
      <c r="G293" s="752"/>
      <c r="H293"/>
      <c r="I293"/>
      <c r="J293" s="36"/>
    </row>
    <row r="294" spans="1:10" s="635" customFormat="1" ht="15.75">
      <c r="A294" s="721" t="s">
        <v>279</v>
      </c>
      <c r="B294" s="819"/>
      <c r="C294" s="657" t="str">
        <f>PrSchr1</f>
        <v>Incoming</v>
      </c>
      <c r="D294" s="291">
        <v>10</v>
      </c>
      <c r="E294" s="1126" t="str">
        <f>IF((D294="n.e."),$L$13,IF(D294=10,$L$14,$L$15))</f>
        <v>No weakness identified</v>
      </c>
      <c r="F294" s="877"/>
      <c r="G294" s="861" t="str">
        <f>IF('Input Form'!$C$53="x","OK","")</f>
        <v/>
      </c>
      <c r="H294" s="31" t="str">
        <f>IF('Input Form'!$D$53="x","OK","")</f>
        <v/>
      </c>
      <c r="I294" s="31" t="str">
        <f>IF('Input Form'!$E$53="x","OK","")</f>
        <v/>
      </c>
      <c r="J294" s="32" t="str">
        <f>IF('Input Form'!$F$53="x","OK","")</f>
        <v/>
      </c>
    </row>
    <row r="295" spans="1:10" s="635" customFormat="1" ht="30">
      <c r="A295" s="721" t="s">
        <v>280</v>
      </c>
      <c r="B295" s="819"/>
      <c r="C295" s="657" t="str">
        <f>PrSchr2</f>
        <v>Manufacturing</v>
      </c>
      <c r="D295" s="293">
        <v>6</v>
      </c>
      <c r="E295" s="1126" t="s">
        <v>1198</v>
      </c>
      <c r="F295" s="877"/>
      <c r="G295" s="861" t="str">
        <f>IF('Input Form'!$C$54="x","OK","")</f>
        <v/>
      </c>
      <c r="H295" s="31" t="str">
        <f>IF('Input Form'!$D$54="x","OK","")</f>
        <v/>
      </c>
      <c r="I295" s="31" t="str">
        <f>IF('Input Form'!$E$54="x","OK","")</f>
        <v/>
      </c>
      <c r="J295" s="32" t="str">
        <f>IF('Input Form'!$F$54="x","OK","")</f>
        <v/>
      </c>
    </row>
    <row r="296" spans="1:10" s="635" customFormat="1" ht="16.5" thickBot="1">
      <c r="A296" s="721" t="s">
        <v>281</v>
      </c>
      <c r="B296" s="819"/>
      <c r="C296" s="657" t="str">
        <f>PrSchr3</f>
        <v>Shipping</v>
      </c>
      <c r="D296" s="294">
        <v>10</v>
      </c>
      <c r="E296" s="1126" t="str">
        <f>IF((D296="n.e."),$L$13,IF(D296=10,$L$14,$L$15))</f>
        <v>No weakness identified</v>
      </c>
      <c r="F296" s="877"/>
      <c r="G296" s="861" t="str">
        <f>IF('Input Form'!$C$55="x","OK","")</f>
        <v/>
      </c>
      <c r="H296" s="31" t="str">
        <f>IF('Input Form'!$D$55="x","OK","")</f>
        <v/>
      </c>
      <c r="I296" s="31" t="str">
        <f>IF('Input Form'!$E$55="x","OK","")</f>
        <v/>
      </c>
      <c r="J296" s="32" t="str">
        <f>IF('Input Form'!$F$55="x","OK","")</f>
        <v/>
      </c>
    </row>
    <row r="297" spans="1:10" s="635" customFormat="1" ht="15.75" hidden="1" customHeight="1">
      <c r="A297" s="721" t="s">
        <v>761</v>
      </c>
      <c r="B297" s="722"/>
      <c r="C297" s="657">
        <f>PrSchr4</f>
        <v>0</v>
      </c>
      <c r="D297" s="328" t="s">
        <v>740</v>
      </c>
      <c r="E297" s="747" t="str">
        <f t="shared" ref="E297:E303" si="20">IF(ISBLANK(D297),$L$13,IF(D297=10,$L$14,$L$15))</f>
        <v>Description of non conformance (mandatory)</v>
      </c>
      <c r="F297" s="877"/>
      <c r="G297" s="861"/>
      <c r="H297" s="31"/>
      <c r="I297" s="31"/>
      <c r="J297" s="32"/>
    </row>
    <row r="298" spans="1:10" s="635" customFormat="1" ht="15.75" hidden="1" customHeight="1">
      <c r="A298" s="721" t="s">
        <v>762</v>
      </c>
      <c r="B298" s="722"/>
      <c r="C298" s="657">
        <f>PrSchr5</f>
        <v>0</v>
      </c>
      <c r="D298" s="328" t="s">
        <v>740</v>
      </c>
      <c r="E298" s="747" t="str">
        <f t="shared" si="20"/>
        <v>Description of non conformance (mandatory)</v>
      </c>
      <c r="F298" s="877"/>
      <c r="G298" s="861" t="str">
        <f>IF('Input Form'!$C$55="x","OK","")</f>
        <v/>
      </c>
      <c r="H298" s="31" t="str">
        <f>IF('Input Form'!$D$55="x","OK","")</f>
        <v/>
      </c>
      <c r="I298" s="31" t="str">
        <f>IF('Input Form'!$E$55="x","OK","")</f>
        <v/>
      </c>
      <c r="J298" s="32" t="str">
        <f>IF('Input Form'!$F$55="x","OK","")</f>
        <v/>
      </c>
    </row>
    <row r="299" spans="1:10" s="635" customFormat="1" ht="15.75" hidden="1" customHeight="1">
      <c r="A299" s="721" t="s">
        <v>763</v>
      </c>
      <c r="B299" s="722"/>
      <c r="C299" s="657">
        <f>PrSchr6</f>
        <v>0</v>
      </c>
      <c r="D299" s="328" t="s">
        <v>740</v>
      </c>
      <c r="E299" s="747" t="str">
        <f t="shared" si="20"/>
        <v>Description of non conformance (mandatory)</v>
      </c>
      <c r="F299" s="877"/>
      <c r="G299" s="861"/>
      <c r="H299" s="31"/>
      <c r="I299" s="31"/>
      <c r="J299" s="32"/>
    </row>
    <row r="300" spans="1:10" s="635" customFormat="1" ht="15.75" hidden="1" customHeight="1">
      <c r="A300" s="721" t="s">
        <v>764</v>
      </c>
      <c r="B300" s="722"/>
      <c r="C300" s="657">
        <f>PrSchr7</f>
        <v>0</v>
      </c>
      <c r="D300" s="328" t="s">
        <v>740</v>
      </c>
      <c r="E300" s="747" t="str">
        <f t="shared" si="20"/>
        <v>Description of non conformance (mandatory)</v>
      </c>
      <c r="F300" s="877"/>
      <c r="G300" s="861"/>
      <c r="H300" s="31"/>
      <c r="I300" s="31"/>
      <c r="J300" s="32"/>
    </row>
    <row r="301" spans="1:10" s="635" customFormat="1" ht="15.75" hidden="1" customHeight="1">
      <c r="A301" s="721" t="s">
        <v>765</v>
      </c>
      <c r="B301" s="722"/>
      <c r="C301" s="657">
        <f>PrSchr8</f>
        <v>0</v>
      </c>
      <c r="D301" s="328" t="s">
        <v>740</v>
      </c>
      <c r="E301" s="747" t="str">
        <f t="shared" si="20"/>
        <v>Description of non conformance (mandatory)</v>
      </c>
      <c r="F301" s="877"/>
      <c r="G301" s="861"/>
      <c r="H301" s="31"/>
      <c r="I301" s="31"/>
      <c r="J301" s="32"/>
    </row>
    <row r="302" spans="1:10" s="635" customFormat="1" ht="15.75" hidden="1" customHeight="1">
      <c r="A302" s="721" t="s">
        <v>766</v>
      </c>
      <c r="B302" s="722"/>
      <c r="C302" s="657">
        <f>PrSchr9</f>
        <v>0</v>
      </c>
      <c r="D302" s="328" t="s">
        <v>740</v>
      </c>
      <c r="E302" s="747" t="str">
        <f t="shared" si="20"/>
        <v>Description of non conformance (mandatory)</v>
      </c>
      <c r="F302" s="877"/>
      <c r="G302" s="861"/>
      <c r="H302" s="31"/>
      <c r="I302" s="31"/>
      <c r="J302" s="32"/>
    </row>
    <row r="303" spans="1:10" s="635" customFormat="1" ht="16.5" hidden="1" customHeight="1" thickBot="1">
      <c r="A303" s="728" t="s">
        <v>767</v>
      </c>
      <c r="B303" s="729"/>
      <c r="C303" s="657">
        <f>PrSchr10</f>
        <v>0</v>
      </c>
      <c r="D303" s="328" t="s">
        <v>740</v>
      </c>
      <c r="E303" s="912" t="str">
        <f t="shared" si="20"/>
        <v>Description of non conformance (mandatory)</v>
      </c>
      <c r="F303" s="877"/>
      <c r="G303" s="861"/>
      <c r="H303" s="31"/>
      <c r="I303" s="31"/>
      <c r="J303" s="32"/>
    </row>
    <row r="304" spans="1:10" s="635" customFormat="1" ht="16.5" thickBot="1">
      <c r="A304" s="716" t="s">
        <v>176</v>
      </c>
      <c r="B304" s="717"/>
      <c r="C304" s="673" t="str">
        <f>VLOOKUP(pos(C304),'Language-Sprachen'!$A$200:$G$461,'Language-Sprachen'!$A$3,0)</f>
        <v>Are processes and products audited regularly?</v>
      </c>
      <c r="D304" s="1165"/>
      <c r="E304" s="1166"/>
      <c r="F304" s="873"/>
      <c r="G304" s="752"/>
      <c r="H304"/>
      <c r="I304"/>
      <c r="J304" s="36"/>
    </row>
    <row r="305" spans="1:10" s="635" customFormat="1" ht="45">
      <c r="A305" s="715" t="s">
        <v>279</v>
      </c>
      <c r="B305" s="724"/>
      <c r="C305" s="657" t="str">
        <f>PrSchr1</f>
        <v>Incoming</v>
      </c>
      <c r="D305" s="291">
        <v>8</v>
      </c>
      <c r="E305" s="1126" t="s">
        <v>1199</v>
      </c>
      <c r="F305" s="877"/>
      <c r="G305" s="861" t="str">
        <f>IF('Input Form'!$C$53="x","OK","")</f>
        <v/>
      </c>
      <c r="H305" s="31" t="str">
        <f>IF('Input Form'!$D$53="x","OK","")</f>
        <v/>
      </c>
      <c r="I305" s="31" t="str">
        <f>IF('Input Form'!$E$53="x","OK","")</f>
        <v/>
      </c>
      <c r="J305" s="32" t="str">
        <f>IF('Input Form'!$F$53="x","OK","")</f>
        <v/>
      </c>
    </row>
    <row r="306" spans="1:10" s="635" customFormat="1" ht="75">
      <c r="A306" s="715" t="s">
        <v>280</v>
      </c>
      <c r="B306" s="724"/>
      <c r="C306" s="657" t="str">
        <f>PrSchr2</f>
        <v>Manufacturing</v>
      </c>
      <c r="D306" s="293">
        <v>4</v>
      </c>
      <c r="E306" s="1126" t="s">
        <v>1166</v>
      </c>
      <c r="F306" s="877"/>
      <c r="G306" s="861" t="str">
        <f>IF('Input Form'!$C$54="x","OK","")</f>
        <v/>
      </c>
      <c r="H306" s="31" t="str">
        <f>IF('Input Form'!$D$54="x","OK","")</f>
        <v/>
      </c>
      <c r="I306" s="31" t="str">
        <f>IF('Input Form'!$E$54="x","OK","")</f>
        <v/>
      </c>
      <c r="J306" s="32" t="str">
        <f>IF('Input Form'!$F$54="x","OK","")</f>
        <v/>
      </c>
    </row>
    <row r="307" spans="1:10" s="635" customFormat="1" ht="45.75" thickBot="1">
      <c r="A307" s="715" t="s">
        <v>281</v>
      </c>
      <c r="B307" s="724"/>
      <c r="C307" s="657" t="str">
        <f>PrSchr3</f>
        <v>Shipping</v>
      </c>
      <c r="D307" s="294">
        <v>8</v>
      </c>
      <c r="E307" s="1126" t="s">
        <v>1200</v>
      </c>
      <c r="F307" s="877"/>
      <c r="G307" s="861" t="str">
        <f>IF('Input Form'!$C$55="x","OK","")</f>
        <v/>
      </c>
      <c r="H307" s="31" t="str">
        <f>IF('Input Form'!$D$55="x","OK","")</f>
        <v/>
      </c>
      <c r="I307" s="31" t="str">
        <f>IF('Input Form'!$E$55="x","OK","")</f>
        <v/>
      </c>
      <c r="J307" s="32" t="str">
        <f>IF('Input Form'!$F$55="x","OK","")</f>
        <v/>
      </c>
    </row>
    <row r="308" spans="1:10" s="635" customFormat="1" ht="15.75" hidden="1" customHeight="1">
      <c r="A308" s="715" t="s">
        <v>761</v>
      </c>
      <c r="B308" s="718"/>
      <c r="C308" s="657">
        <f>PrSchr4</f>
        <v>0</v>
      </c>
      <c r="D308" s="291" t="s">
        <v>740</v>
      </c>
      <c r="E308" s="747" t="str">
        <f t="shared" ref="E308:E314" si="21">IF(ISBLANK(D308),$L$13,IF(D308=10,$L$14,$L$15))</f>
        <v>Description of non conformance (mandatory)</v>
      </c>
      <c r="F308" s="877"/>
      <c r="G308" s="861"/>
      <c r="H308" s="31"/>
      <c r="I308" s="31"/>
      <c r="J308" s="32"/>
    </row>
    <row r="309" spans="1:10" s="635" customFormat="1" ht="15.75" hidden="1" customHeight="1">
      <c r="A309" s="715" t="s">
        <v>762</v>
      </c>
      <c r="B309" s="718"/>
      <c r="C309" s="657">
        <f>PrSchr5</f>
        <v>0</v>
      </c>
      <c r="D309" s="291" t="s">
        <v>740</v>
      </c>
      <c r="E309" s="747" t="str">
        <f t="shared" si="21"/>
        <v>Description of non conformance (mandatory)</v>
      </c>
      <c r="F309" s="877"/>
      <c r="G309" s="861" t="str">
        <f>IF('Input Form'!$C$55="x","OK","")</f>
        <v/>
      </c>
      <c r="H309" s="31" t="str">
        <f>IF('Input Form'!$D$55="x","OK","")</f>
        <v/>
      </c>
      <c r="I309" s="31" t="str">
        <f>IF('Input Form'!$E$55="x","OK","")</f>
        <v/>
      </c>
      <c r="J309" s="32" t="str">
        <f>IF('Input Form'!$F$55="x","OK","")</f>
        <v/>
      </c>
    </row>
    <row r="310" spans="1:10" s="635" customFormat="1" ht="15.75" hidden="1" customHeight="1">
      <c r="A310" s="715" t="s">
        <v>763</v>
      </c>
      <c r="B310" s="713"/>
      <c r="C310" s="657">
        <f>PrSchr6</f>
        <v>0</v>
      </c>
      <c r="D310" s="291" t="s">
        <v>740</v>
      </c>
      <c r="E310" s="747" t="str">
        <f t="shared" si="21"/>
        <v>Description of non conformance (mandatory)</v>
      </c>
      <c r="F310" s="877"/>
      <c r="G310" s="861"/>
      <c r="H310" s="31"/>
      <c r="I310" s="31"/>
      <c r="J310" s="32"/>
    </row>
    <row r="311" spans="1:10" s="635" customFormat="1" ht="15.75" hidden="1" customHeight="1">
      <c r="A311" s="715" t="s">
        <v>764</v>
      </c>
      <c r="B311" s="713"/>
      <c r="C311" s="657">
        <f>PrSchr7</f>
        <v>0</v>
      </c>
      <c r="D311" s="291" t="s">
        <v>740</v>
      </c>
      <c r="E311" s="747" t="str">
        <f t="shared" si="21"/>
        <v>Description of non conformance (mandatory)</v>
      </c>
      <c r="F311" s="877"/>
      <c r="G311" s="861"/>
      <c r="H311" s="31"/>
      <c r="I311" s="31"/>
      <c r="J311" s="32"/>
    </row>
    <row r="312" spans="1:10" s="635" customFormat="1" ht="15.75" hidden="1" customHeight="1">
      <c r="A312" s="715" t="s">
        <v>765</v>
      </c>
      <c r="B312" s="713"/>
      <c r="C312" s="657">
        <f>PrSchr8</f>
        <v>0</v>
      </c>
      <c r="D312" s="291" t="s">
        <v>740</v>
      </c>
      <c r="E312" s="747" t="str">
        <f t="shared" si="21"/>
        <v>Description of non conformance (mandatory)</v>
      </c>
      <c r="F312" s="877"/>
      <c r="G312" s="861"/>
      <c r="H312" s="31"/>
      <c r="I312" s="31"/>
      <c r="J312" s="32"/>
    </row>
    <row r="313" spans="1:10" s="635" customFormat="1" ht="15.75" hidden="1" customHeight="1">
      <c r="A313" s="715" t="s">
        <v>766</v>
      </c>
      <c r="B313" s="713"/>
      <c r="C313" s="657">
        <f>PrSchr9</f>
        <v>0</v>
      </c>
      <c r="D313" s="291" t="s">
        <v>740</v>
      </c>
      <c r="E313" s="747" t="str">
        <f t="shared" si="21"/>
        <v>Description of non conformance (mandatory)</v>
      </c>
      <c r="F313" s="877"/>
      <c r="G313" s="861"/>
      <c r="H313" s="31"/>
      <c r="I313" s="31"/>
      <c r="J313" s="32"/>
    </row>
    <row r="314" spans="1:10" s="635" customFormat="1" ht="16.5" hidden="1" customHeight="1" thickBot="1">
      <c r="A314" s="715" t="s">
        <v>767</v>
      </c>
      <c r="B314" s="713"/>
      <c r="C314" s="657">
        <f>PrSchr10</f>
        <v>0</v>
      </c>
      <c r="D314" s="291" t="s">
        <v>740</v>
      </c>
      <c r="E314" s="912" t="str">
        <f t="shared" si="21"/>
        <v>Description of non conformance (mandatory)</v>
      </c>
      <c r="F314" s="877"/>
      <c r="G314" s="861"/>
      <c r="H314" s="31"/>
      <c r="I314" s="31"/>
      <c r="J314" s="32"/>
    </row>
    <row r="315" spans="1:10" s="635" customFormat="1" ht="41.25" customHeight="1" thickBot="1">
      <c r="A315" s="709" t="s">
        <v>178</v>
      </c>
      <c r="B315" s="710">
        <f>Evaluation!_es4</f>
        <v>0.98</v>
      </c>
      <c r="C315" s="711" t="str">
        <f>VLOOKUP(pos(C315),'Language-Sprachen'!$A$200:$G$461,'Language-Sprachen'!$A$3,0)</f>
        <v>What should the process produce? (process result / output)</v>
      </c>
      <c r="D315" s="1163"/>
      <c r="E315" s="1164"/>
      <c r="F315" s="873"/>
      <c r="G315" s="752"/>
      <c r="H315"/>
      <c r="I315"/>
      <c r="J315" s="36"/>
    </row>
    <row r="316" spans="1:10" s="635" customFormat="1" ht="30.75" thickBot="1">
      <c r="A316" s="716" t="s">
        <v>179</v>
      </c>
      <c r="B316" s="717"/>
      <c r="C316" s="673" t="str">
        <f>VLOOKUP(pos(C316),'Language-Sprachen'!$A$200:$G$461,'Language-Sprachen'!$A$3,0)</f>
        <v>Do the quantities / production batch sizes meet the needs and are they systematically directed to the next process step?</v>
      </c>
      <c r="D316" s="1165"/>
      <c r="E316" s="1166"/>
      <c r="F316" s="873"/>
      <c r="G316" s="752"/>
      <c r="H316"/>
      <c r="I316"/>
      <c r="J316" s="36"/>
    </row>
    <row r="317" spans="1:10" s="635" customFormat="1" ht="15.75">
      <c r="A317" s="715" t="s">
        <v>279</v>
      </c>
      <c r="B317" s="724"/>
      <c r="C317" s="657" t="str">
        <f>PrSchr1</f>
        <v>Incoming</v>
      </c>
      <c r="D317" s="291">
        <v>10</v>
      </c>
      <c r="E317" s="1126" t="str">
        <f>IF((D317="n.e."),$L$13,IF(D317=10,$L$14,$L$15))</f>
        <v>No weakness identified</v>
      </c>
      <c r="F317" s="877"/>
      <c r="G317" s="861" t="str">
        <f>IF('Input Form'!$C$53="x","OK","")</f>
        <v/>
      </c>
      <c r="H317" s="31" t="str">
        <f>IF('Input Form'!$D$53="x","OK","")</f>
        <v/>
      </c>
      <c r="I317" s="31" t="str">
        <f>IF('Input Form'!$E$53="x","OK","")</f>
        <v/>
      </c>
      <c r="J317" s="32" t="str">
        <f>IF('Input Form'!$F$53="x","OK","")</f>
        <v/>
      </c>
    </row>
    <row r="318" spans="1:10" s="635" customFormat="1" ht="15.75">
      <c r="A318" s="715" t="s">
        <v>280</v>
      </c>
      <c r="B318" s="724"/>
      <c r="C318" s="657" t="str">
        <f>PrSchr2</f>
        <v>Manufacturing</v>
      </c>
      <c r="D318" s="293">
        <v>10</v>
      </c>
      <c r="E318" s="1126" t="str">
        <f>IF((D318="n.e."),$L$13,IF(D318=10,$L$14,$L$15))</f>
        <v>No weakness identified</v>
      </c>
      <c r="F318" s="877"/>
      <c r="G318" s="861" t="str">
        <f>IF('Input Form'!$C$54="x","OK","")</f>
        <v/>
      </c>
      <c r="H318" s="31" t="str">
        <f>IF('Input Form'!$D$54="x","OK","")</f>
        <v/>
      </c>
      <c r="I318" s="31" t="str">
        <f>IF('Input Form'!$E$54="x","OK","")</f>
        <v/>
      </c>
      <c r="J318" s="32" t="str">
        <f>IF('Input Form'!$F$54="x","OK","")</f>
        <v/>
      </c>
    </row>
    <row r="319" spans="1:10" s="635" customFormat="1" ht="16.5" thickBot="1">
      <c r="A319" s="715" t="s">
        <v>281</v>
      </c>
      <c r="B319" s="724"/>
      <c r="C319" s="657" t="str">
        <f>PrSchr3</f>
        <v>Shipping</v>
      </c>
      <c r="D319" s="294">
        <v>10</v>
      </c>
      <c r="E319" s="1126" t="str">
        <f>IF((D319="n.e."),$L$13,IF(D319=10,$L$14,$L$15))</f>
        <v>No weakness identified</v>
      </c>
      <c r="F319" s="877"/>
      <c r="G319" s="861" t="str">
        <f>IF('Input Form'!$C$55="x","OK","")</f>
        <v/>
      </c>
      <c r="H319" s="31" t="str">
        <f>IF('Input Form'!$D$55="x","OK","")</f>
        <v/>
      </c>
      <c r="I319" s="31" t="str">
        <f>IF('Input Form'!$E$55="x","OK","")</f>
        <v/>
      </c>
      <c r="J319" s="32" t="str">
        <f>IF('Input Form'!$F$55="x","OK","")</f>
        <v/>
      </c>
    </row>
    <row r="320" spans="1:10" s="635" customFormat="1" ht="15.75" hidden="1" customHeight="1">
      <c r="A320" s="715" t="s">
        <v>761</v>
      </c>
      <c r="B320" s="718"/>
      <c r="C320" s="657">
        <f>PrSchr4</f>
        <v>0</v>
      </c>
      <c r="D320" s="291" t="s">
        <v>740</v>
      </c>
      <c r="E320" s="747" t="str">
        <f t="shared" ref="E320:E326" si="22">IF(ISBLANK(D320),$L$13,IF(D320=10,$L$14,$L$15))</f>
        <v>Description of non conformance (mandatory)</v>
      </c>
      <c r="F320" s="877"/>
      <c r="G320" s="861"/>
      <c r="H320" s="31"/>
      <c r="I320" s="31"/>
      <c r="J320" s="32"/>
    </row>
    <row r="321" spans="1:10" s="635" customFormat="1" ht="15.75" hidden="1" customHeight="1">
      <c r="A321" s="715" t="s">
        <v>762</v>
      </c>
      <c r="B321" s="718"/>
      <c r="C321" s="657">
        <f>PrSchr5</f>
        <v>0</v>
      </c>
      <c r="D321" s="291" t="s">
        <v>740</v>
      </c>
      <c r="E321" s="747" t="str">
        <f t="shared" si="22"/>
        <v>Description of non conformance (mandatory)</v>
      </c>
      <c r="F321" s="877"/>
      <c r="G321" s="861" t="str">
        <f>IF('Input Form'!$C$55="x","OK","")</f>
        <v/>
      </c>
      <c r="H321" s="31" t="str">
        <f>IF('Input Form'!$D$55="x","OK","")</f>
        <v/>
      </c>
      <c r="I321" s="31" t="str">
        <f>IF('Input Form'!$E$55="x","OK","")</f>
        <v/>
      </c>
      <c r="J321" s="32" t="str">
        <f>IF('Input Form'!$F$55="x","OK","")</f>
        <v/>
      </c>
    </row>
    <row r="322" spans="1:10" s="635" customFormat="1" ht="15.75" hidden="1" customHeight="1">
      <c r="A322" s="715" t="s">
        <v>763</v>
      </c>
      <c r="B322" s="713"/>
      <c r="C322" s="657">
        <f>PrSchr6</f>
        <v>0</v>
      </c>
      <c r="D322" s="291" t="s">
        <v>740</v>
      </c>
      <c r="E322" s="747" t="str">
        <f t="shared" si="22"/>
        <v>Description of non conformance (mandatory)</v>
      </c>
      <c r="F322" s="877"/>
      <c r="G322" s="861"/>
      <c r="H322" s="31"/>
      <c r="I322" s="31"/>
      <c r="J322" s="32"/>
    </row>
    <row r="323" spans="1:10" s="635" customFormat="1" ht="15.75" hidden="1" customHeight="1">
      <c r="A323" s="715" t="s">
        <v>764</v>
      </c>
      <c r="B323" s="713"/>
      <c r="C323" s="657">
        <f>PrSchr7</f>
        <v>0</v>
      </c>
      <c r="D323" s="291" t="s">
        <v>740</v>
      </c>
      <c r="E323" s="747" t="str">
        <f t="shared" si="22"/>
        <v>Description of non conformance (mandatory)</v>
      </c>
      <c r="F323" s="877"/>
      <c r="G323" s="861"/>
      <c r="H323" s="31"/>
      <c r="I323" s="31"/>
      <c r="J323" s="32"/>
    </row>
    <row r="324" spans="1:10" s="635" customFormat="1" ht="15.75" hidden="1" customHeight="1">
      <c r="A324" s="715" t="s">
        <v>765</v>
      </c>
      <c r="B324" s="713"/>
      <c r="C324" s="657">
        <f>PrSchr8</f>
        <v>0</v>
      </c>
      <c r="D324" s="291" t="s">
        <v>740</v>
      </c>
      <c r="E324" s="747" t="str">
        <f t="shared" si="22"/>
        <v>Description of non conformance (mandatory)</v>
      </c>
      <c r="F324" s="877"/>
      <c r="G324" s="861"/>
      <c r="H324" s="31"/>
      <c r="I324" s="31"/>
      <c r="J324" s="32"/>
    </row>
    <row r="325" spans="1:10" s="635" customFormat="1" ht="15.75" hidden="1" customHeight="1">
      <c r="A325" s="715" t="s">
        <v>766</v>
      </c>
      <c r="B325" s="713"/>
      <c r="C325" s="657">
        <f>PrSchr9</f>
        <v>0</v>
      </c>
      <c r="D325" s="291" t="s">
        <v>740</v>
      </c>
      <c r="E325" s="747" t="str">
        <f t="shared" si="22"/>
        <v>Description of non conformance (mandatory)</v>
      </c>
      <c r="F325" s="877"/>
      <c r="G325" s="861"/>
      <c r="H325" s="31"/>
      <c r="I325" s="31"/>
      <c r="J325" s="32"/>
    </row>
    <row r="326" spans="1:10" s="635" customFormat="1" ht="16.5" hidden="1" customHeight="1" thickBot="1">
      <c r="A326" s="715" t="s">
        <v>767</v>
      </c>
      <c r="B326" s="713"/>
      <c r="C326" s="657">
        <f>PrSchr10</f>
        <v>0</v>
      </c>
      <c r="D326" s="291" t="s">
        <v>740</v>
      </c>
      <c r="E326" s="912" t="str">
        <f t="shared" si="22"/>
        <v>Description of non conformance (mandatory)</v>
      </c>
      <c r="F326" s="877"/>
      <c r="G326" s="861"/>
      <c r="H326" s="31"/>
      <c r="I326" s="31"/>
      <c r="J326" s="32"/>
    </row>
    <row r="327" spans="1:10" s="635" customFormat="1" ht="45.75" thickBot="1">
      <c r="A327" s="716" t="s">
        <v>73</v>
      </c>
      <c r="B327" s="717"/>
      <c r="C327" s="673" t="str">
        <f>VLOOKUP(pos(C327),'Language-Sprachen'!$A$200:$G$461,'Language-Sprachen'!$A$3,0)</f>
        <v>Are products / components stored in an appropriate manner and are transport facilities / packing arrangements suitable for the special characteristics of the products / components?</v>
      </c>
      <c r="D327" s="1165"/>
      <c r="E327" s="1166"/>
      <c r="F327" s="873"/>
      <c r="G327" s="752"/>
      <c r="H327"/>
      <c r="I327"/>
      <c r="J327" s="36"/>
    </row>
    <row r="328" spans="1:10" s="635" customFormat="1" ht="15.75">
      <c r="A328" s="715" t="s">
        <v>279</v>
      </c>
      <c r="B328" s="718"/>
      <c r="C328" s="657" t="str">
        <f>PrSchr1</f>
        <v>Incoming</v>
      </c>
      <c r="D328" s="291">
        <v>10</v>
      </c>
      <c r="E328" s="1126" t="str">
        <f>IF((D328="n.e."),$L$13,IF(D328=10,$L$14,$L$15))</f>
        <v>No weakness identified</v>
      </c>
      <c r="F328" s="877"/>
      <c r="G328" s="861" t="str">
        <f>IF('Input Form'!$C$53="x","OK","")</f>
        <v/>
      </c>
      <c r="H328" s="31" t="str">
        <f>IF('Input Form'!$D$53="x","OK","")</f>
        <v/>
      </c>
      <c r="I328" s="31" t="str">
        <f>IF('Input Form'!$E$53="x","OK","")</f>
        <v/>
      </c>
      <c r="J328" s="32" t="str">
        <f>IF('Input Form'!$F$53="x","OK","")</f>
        <v/>
      </c>
    </row>
    <row r="329" spans="1:10" s="635" customFormat="1" ht="15.75">
      <c r="A329" s="715" t="s">
        <v>280</v>
      </c>
      <c r="B329" s="718"/>
      <c r="C329" s="657" t="str">
        <f>PrSchr2</f>
        <v>Manufacturing</v>
      </c>
      <c r="D329" s="293">
        <v>10</v>
      </c>
      <c r="E329" s="1126" t="str">
        <f>IF((D329="n.e."),$L$13,IF(D329=10,$L$14,$L$15))</f>
        <v>No weakness identified</v>
      </c>
      <c r="F329" s="877"/>
      <c r="G329" s="861" t="str">
        <f>IF('Input Form'!$C$54="x","OK","")</f>
        <v/>
      </c>
      <c r="H329" s="31" t="str">
        <f>IF('Input Form'!$D$54="x","OK","")</f>
        <v/>
      </c>
      <c r="I329" s="31" t="str">
        <f>IF('Input Form'!$E$54="x","OK","")</f>
        <v/>
      </c>
      <c r="J329" s="32" t="str">
        <f>IF('Input Form'!$F$54="x","OK","")</f>
        <v/>
      </c>
    </row>
    <row r="330" spans="1:10" s="635" customFormat="1" ht="16.5" thickBot="1">
      <c r="A330" s="715" t="s">
        <v>281</v>
      </c>
      <c r="B330" s="718"/>
      <c r="C330" s="657" t="str">
        <f>PrSchr3</f>
        <v>Shipping</v>
      </c>
      <c r="D330" s="294">
        <v>10</v>
      </c>
      <c r="E330" s="1126" t="str">
        <f>IF((D330="n.e."),$L$13,IF(D330=10,$L$14,$L$15))</f>
        <v>No weakness identified</v>
      </c>
      <c r="F330" s="877"/>
      <c r="G330" s="861" t="str">
        <f>IF('Input Form'!$C$55="x","OK","")</f>
        <v/>
      </c>
      <c r="H330" s="31" t="str">
        <f>IF('Input Form'!$D$55="x","OK","")</f>
        <v/>
      </c>
      <c r="I330" s="31" t="str">
        <f>IF('Input Form'!$E$55="x","OK","")</f>
        <v/>
      </c>
      <c r="J330" s="32" t="str">
        <f>IF('Input Form'!$F$55="x","OK","")</f>
        <v/>
      </c>
    </row>
    <row r="331" spans="1:10" s="635" customFormat="1" ht="15.75" hidden="1" customHeight="1">
      <c r="A331" s="715" t="s">
        <v>761</v>
      </c>
      <c r="B331" s="718"/>
      <c r="C331" s="657">
        <f>PrSchr4</f>
        <v>0</v>
      </c>
      <c r="D331" s="291" t="s">
        <v>740</v>
      </c>
      <c r="E331" s="747" t="str">
        <f t="shared" ref="E331:E337" si="23">IF(ISBLANK(D331),$L$13,IF(D331=10,$L$14,$L$15))</f>
        <v>Description of non conformance (mandatory)</v>
      </c>
      <c r="F331" s="877"/>
      <c r="G331" s="861"/>
      <c r="H331" s="31"/>
      <c r="I331" s="31"/>
      <c r="J331" s="32"/>
    </row>
    <row r="332" spans="1:10" s="635" customFormat="1" ht="15.75" hidden="1" customHeight="1">
      <c r="A332" s="715" t="s">
        <v>762</v>
      </c>
      <c r="B332" s="718"/>
      <c r="C332" s="657">
        <f>PrSchr5</f>
        <v>0</v>
      </c>
      <c r="D332" s="291" t="s">
        <v>740</v>
      </c>
      <c r="E332" s="747" t="str">
        <f t="shared" si="23"/>
        <v>Description of non conformance (mandatory)</v>
      </c>
      <c r="F332" s="877"/>
      <c r="G332" s="861" t="str">
        <f>IF('Input Form'!$C$55="x","OK","")</f>
        <v/>
      </c>
      <c r="H332" s="31" t="str">
        <f>IF('Input Form'!$D$55="x","OK","")</f>
        <v/>
      </c>
      <c r="I332" s="31" t="str">
        <f>IF('Input Form'!$E$55="x","OK","")</f>
        <v/>
      </c>
      <c r="J332" s="32" t="str">
        <f>IF('Input Form'!$F$55="x","OK","")</f>
        <v/>
      </c>
    </row>
    <row r="333" spans="1:10" s="635" customFormat="1" ht="15.75" hidden="1" customHeight="1">
      <c r="A333" s="715" t="s">
        <v>763</v>
      </c>
      <c r="B333" s="713"/>
      <c r="C333" s="657">
        <f>PrSchr6</f>
        <v>0</v>
      </c>
      <c r="D333" s="291" t="s">
        <v>740</v>
      </c>
      <c r="E333" s="747" t="str">
        <f t="shared" si="23"/>
        <v>Description of non conformance (mandatory)</v>
      </c>
      <c r="F333" s="877"/>
      <c r="G333" s="861"/>
      <c r="H333" s="31"/>
      <c r="I333" s="31"/>
      <c r="J333" s="32"/>
    </row>
    <row r="334" spans="1:10" s="635" customFormat="1" ht="15.75" hidden="1" customHeight="1">
      <c r="A334" s="715" t="s">
        <v>764</v>
      </c>
      <c r="B334" s="713"/>
      <c r="C334" s="657">
        <f>PrSchr7</f>
        <v>0</v>
      </c>
      <c r="D334" s="291" t="s">
        <v>740</v>
      </c>
      <c r="E334" s="747" t="str">
        <f t="shared" si="23"/>
        <v>Description of non conformance (mandatory)</v>
      </c>
      <c r="F334" s="877"/>
      <c r="G334" s="861"/>
      <c r="H334" s="31"/>
      <c r="I334" s="31"/>
      <c r="J334" s="32"/>
    </row>
    <row r="335" spans="1:10" s="635" customFormat="1" ht="15.75" hidden="1" customHeight="1">
      <c r="A335" s="715" t="s">
        <v>765</v>
      </c>
      <c r="B335" s="713"/>
      <c r="C335" s="657">
        <f>PrSchr8</f>
        <v>0</v>
      </c>
      <c r="D335" s="291" t="s">
        <v>740</v>
      </c>
      <c r="E335" s="747" t="str">
        <f t="shared" si="23"/>
        <v>Description of non conformance (mandatory)</v>
      </c>
      <c r="F335" s="877"/>
      <c r="G335" s="861"/>
      <c r="H335" s="31"/>
      <c r="I335" s="31"/>
      <c r="J335" s="32"/>
    </row>
    <row r="336" spans="1:10" s="635" customFormat="1" ht="15.75" hidden="1" customHeight="1">
      <c r="A336" s="715" t="s">
        <v>766</v>
      </c>
      <c r="B336" s="713"/>
      <c r="C336" s="657">
        <f>PrSchr9</f>
        <v>0</v>
      </c>
      <c r="D336" s="291" t="s">
        <v>740</v>
      </c>
      <c r="E336" s="747" t="str">
        <f t="shared" si="23"/>
        <v>Description of non conformance (mandatory)</v>
      </c>
      <c r="F336" s="877"/>
      <c r="G336" s="861"/>
      <c r="H336" s="31"/>
      <c r="I336" s="31"/>
      <c r="J336" s="32"/>
    </row>
    <row r="337" spans="1:10" s="635" customFormat="1" ht="16.5" hidden="1" customHeight="1" thickBot="1">
      <c r="A337" s="715" t="s">
        <v>767</v>
      </c>
      <c r="B337" s="713"/>
      <c r="C337" s="657">
        <f>PrSchr10</f>
        <v>0</v>
      </c>
      <c r="D337" s="291" t="s">
        <v>740</v>
      </c>
      <c r="E337" s="912" t="str">
        <f t="shared" si="23"/>
        <v>Description of non conformance (mandatory)</v>
      </c>
      <c r="F337" s="877"/>
      <c r="G337" s="861"/>
      <c r="H337" s="31"/>
      <c r="I337" s="31"/>
      <c r="J337" s="32"/>
    </row>
    <row r="338" spans="1:10" s="635" customFormat="1" ht="16.5" thickBot="1">
      <c r="A338" s="716" t="s">
        <v>74</v>
      </c>
      <c r="B338" s="717"/>
      <c r="C338" s="673" t="str">
        <f>VLOOKUP(pos(C338),'Language-Sprachen'!$A$200:$G$461,'Language-Sprachen'!$A$3,0)</f>
        <v>Are the necessary records / releases retained?</v>
      </c>
      <c r="D338" s="1165"/>
      <c r="E338" s="1166"/>
      <c r="F338" s="873"/>
      <c r="G338" s="752"/>
      <c r="H338"/>
      <c r="I338"/>
      <c r="J338" s="36"/>
    </row>
    <row r="339" spans="1:10" s="635" customFormat="1" ht="15.75">
      <c r="A339" s="715" t="s">
        <v>279</v>
      </c>
      <c r="B339" s="718"/>
      <c r="C339" s="657" t="str">
        <f>PrSchr1</f>
        <v>Incoming</v>
      </c>
      <c r="D339" s="291">
        <v>10</v>
      </c>
      <c r="E339" s="1126" t="str">
        <f>IF((D339="n.e."),$L$13,IF(D339=10,$L$14,$L$15))</f>
        <v>No weakness identified</v>
      </c>
      <c r="F339" s="877"/>
      <c r="G339" s="861" t="str">
        <f>IF('Input Form'!$C$53="x","OK","")</f>
        <v/>
      </c>
      <c r="H339" s="31" t="str">
        <f>IF('Input Form'!$D$53="x","OK","")</f>
        <v/>
      </c>
      <c r="I339" s="31" t="str">
        <f>IF('Input Form'!$E$53="x","OK","")</f>
        <v/>
      </c>
      <c r="J339" s="32" t="str">
        <f>IF('Input Form'!$F$53="x","OK","")</f>
        <v/>
      </c>
    </row>
    <row r="340" spans="1:10" s="635" customFormat="1" ht="75">
      <c r="A340" s="715" t="s">
        <v>280</v>
      </c>
      <c r="B340" s="718"/>
      <c r="C340" s="657" t="str">
        <f>PrSchr2</f>
        <v>Manufacturing</v>
      </c>
      <c r="D340" s="293">
        <v>8</v>
      </c>
      <c r="E340" s="1126" t="s">
        <v>1201</v>
      </c>
      <c r="F340" s="877"/>
      <c r="G340" s="861" t="str">
        <f>IF('Input Form'!$C$54="x","OK","")</f>
        <v/>
      </c>
      <c r="H340" s="31" t="str">
        <f>IF('Input Form'!$D$54="x","OK","")</f>
        <v/>
      </c>
      <c r="I340" s="31" t="str">
        <f>IF('Input Form'!$E$54="x","OK","")</f>
        <v/>
      </c>
      <c r="J340" s="32" t="str">
        <f>IF('Input Form'!$F$54="x","OK","")</f>
        <v/>
      </c>
    </row>
    <row r="341" spans="1:10" s="635" customFormat="1" ht="16.5" thickBot="1">
      <c r="A341" s="715" t="s">
        <v>281</v>
      </c>
      <c r="B341" s="718"/>
      <c r="C341" s="657" t="str">
        <f>PrSchr3</f>
        <v>Shipping</v>
      </c>
      <c r="D341" s="294">
        <v>10</v>
      </c>
      <c r="E341" s="1126" t="str">
        <f>IF((D341="n.e."),$L$13,IF(D341=10,$L$14,$L$15))</f>
        <v>No weakness identified</v>
      </c>
      <c r="F341" s="877"/>
      <c r="G341" s="861" t="str">
        <f>IF('Input Form'!$C$55="x","OK","")</f>
        <v/>
      </c>
      <c r="H341" s="31" t="str">
        <f>IF('Input Form'!$D$55="x","OK","")</f>
        <v/>
      </c>
      <c r="I341" s="31" t="str">
        <f>IF('Input Form'!$E$55="x","OK","")</f>
        <v/>
      </c>
      <c r="J341" s="32" t="str">
        <f>IF('Input Form'!$F$55="x","OK","")</f>
        <v/>
      </c>
    </row>
    <row r="342" spans="1:10" s="635" customFormat="1" ht="15.75" hidden="1" customHeight="1">
      <c r="A342" s="715" t="s">
        <v>761</v>
      </c>
      <c r="B342" s="718"/>
      <c r="C342" s="657">
        <f>PrSchr4</f>
        <v>0</v>
      </c>
      <c r="D342" s="291" t="s">
        <v>740</v>
      </c>
      <c r="E342" s="747" t="str">
        <f t="shared" ref="E342:E348" si="24">IF(ISBLANK(D342),$L$13,IF(D342=10,$L$14,$L$15))</f>
        <v>Description of non conformance (mandatory)</v>
      </c>
      <c r="F342" s="877"/>
      <c r="G342" s="861"/>
      <c r="H342" s="31"/>
      <c r="I342" s="31"/>
      <c r="J342" s="32"/>
    </row>
    <row r="343" spans="1:10" s="635" customFormat="1" ht="15.75" hidden="1" customHeight="1">
      <c r="A343" s="715" t="s">
        <v>762</v>
      </c>
      <c r="B343" s="718"/>
      <c r="C343" s="657">
        <f>PrSchr5</f>
        <v>0</v>
      </c>
      <c r="D343" s="291" t="s">
        <v>740</v>
      </c>
      <c r="E343" s="747" t="str">
        <f t="shared" si="24"/>
        <v>Description of non conformance (mandatory)</v>
      </c>
      <c r="F343" s="877"/>
      <c r="G343" s="861" t="str">
        <f>IF('Input Form'!$C$55="x","OK","")</f>
        <v/>
      </c>
      <c r="H343" s="31" t="str">
        <f>IF('Input Form'!$D$55="x","OK","")</f>
        <v/>
      </c>
      <c r="I343" s="31" t="str">
        <f>IF('Input Form'!$E$55="x","OK","")</f>
        <v/>
      </c>
      <c r="J343" s="32" t="str">
        <f>IF('Input Form'!$F$55="x","OK","")</f>
        <v/>
      </c>
    </row>
    <row r="344" spans="1:10" s="635" customFormat="1" ht="15.75" hidden="1" customHeight="1">
      <c r="A344" s="715" t="s">
        <v>763</v>
      </c>
      <c r="B344" s="713"/>
      <c r="C344" s="657">
        <f>PrSchr6</f>
        <v>0</v>
      </c>
      <c r="D344" s="291" t="s">
        <v>740</v>
      </c>
      <c r="E344" s="747" t="str">
        <f t="shared" si="24"/>
        <v>Description of non conformance (mandatory)</v>
      </c>
      <c r="F344" s="877"/>
      <c r="G344" s="861"/>
      <c r="H344" s="31"/>
      <c r="I344" s="31"/>
      <c r="J344" s="32"/>
    </row>
    <row r="345" spans="1:10" s="635" customFormat="1" ht="15.75" hidden="1" customHeight="1">
      <c r="A345" s="715" t="s">
        <v>764</v>
      </c>
      <c r="B345" s="713"/>
      <c r="C345" s="657">
        <f>PrSchr7</f>
        <v>0</v>
      </c>
      <c r="D345" s="291" t="s">
        <v>740</v>
      </c>
      <c r="E345" s="747" t="str">
        <f t="shared" si="24"/>
        <v>Description of non conformance (mandatory)</v>
      </c>
      <c r="F345" s="877"/>
      <c r="G345" s="861"/>
      <c r="H345" s="31"/>
      <c r="I345" s="31"/>
      <c r="J345" s="32"/>
    </row>
    <row r="346" spans="1:10" s="635" customFormat="1" ht="15.75" hidden="1" customHeight="1">
      <c r="A346" s="715" t="s">
        <v>765</v>
      </c>
      <c r="B346" s="713"/>
      <c r="C346" s="657">
        <f>PrSchr8</f>
        <v>0</v>
      </c>
      <c r="D346" s="291" t="s">
        <v>740</v>
      </c>
      <c r="E346" s="747" t="str">
        <f t="shared" si="24"/>
        <v>Description of non conformance (mandatory)</v>
      </c>
      <c r="F346" s="877"/>
      <c r="G346" s="861"/>
      <c r="H346" s="31"/>
      <c r="I346" s="31"/>
      <c r="J346" s="32"/>
    </row>
    <row r="347" spans="1:10" s="635" customFormat="1" ht="15.75" hidden="1" customHeight="1">
      <c r="A347" s="715" t="s">
        <v>766</v>
      </c>
      <c r="B347" s="713"/>
      <c r="C347" s="657">
        <f>PrSchr9</f>
        <v>0</v>
      </c>
      <c r="D347" s="291" t="s">
        <v>740</v>
      </c>
      <c r="E347" s="747" t="str">
        <f t="shared" si="24"/>
        <v>Description of non conformance (mandatory)</v>
      </c>
      <c r="F347" s="877"/>
      <c r="G347" s="861"/>
      <c r="H347" s="31"/>
      <c r="I347" s="31"/>
      <c r="J347" s="32"/>
    </row>
    <row r="348" spans="1:10" s="635" customFormat="1" ht="16.5" hidden="1" customHeight="1" thickBot="1">
      <c r="A348" s="715" t="s">
        <v>767</v>
      </c>
      <c r="B348" s="713"/>
      <c r="C348" s="657">
        <f>PrSchr10</f>
        <v>0</v>
      </c>
      <c r="D348" s="291" t="s">
        <v>740</v>
      </c>
      <c r="E348" s="912" t="str">
        <f t="shared" si="24"/>
        <v>Description of non conformance (mandatory)</v>
      </c>
      <c r="F348" s="877"/>
      <c r="G348" s="861"/>
      <c r="H348" s="31"/>
      <c r="I348" s="31"/>
      <c r="J348" s="32"/>
    </row>
    <row r="349" spans="1:10" s="635" customFormat="1" ht="16.5" thickBot="1">
      <c r="A349" s="725" t="s">
        <v>75</v>
      </c>
      <c r="B349" s="720" t="s">
        <v>10</v>
      </c>
      <c r="C349" s="673" t="str">
        <f>VLOOKUP(pos(C349),'Language-Sprachen'!$A$200:$G$461,'Language-Sprachen'!$A$3,0)</f>
        <v>Are customer requirements met at the delivery of the final product?</v>
      </c>
      <c r="D349" s="1165"/>
      <c r="E349" s="1166"/>
      <c r="F349" s="873"/>
      <c r="G349" s="752"/>
      <c r="H349"/>
      <c r="I349"/>
      <c r="J349" s="36"/>
    </row>
    <row r="350" spans="1:10" s="635" customFormat="1" ht="15.75">
      <c r="A350" s="721" t="s">
        <v>279</v>
      </c>
      <c r="B350" s="722"/>
      <c r="C350" s="657" t="str">
        <f>PrSchr1</f>
        <v>Incoming</v>
      </c>
      <c r="D350" s="328">
        <v>10</v>
      </c>
      <c r="E350" s="1126" t="str">
        <f>IF((D350="n.e."),$L$13,IF(D350=10,$L$14,$L$15))</f>
        <v>No weakness identified</v>
      </c>
      <c r="F350" s="877"/>
      <c r="G350" s="861" t="str">
        <f>IF('Input Form'!$C$53="x","OK","")</f>
        <v/>
      </c>
      <c r="H350" s="31" t="str">
        <f>IF('Input Form'!$D$53="x","OK","")</f>
        <v/>
      </c>
      <c r="I350" s="31" t="str">
        <f>IF('Input Form'!$E$53="x","OK","")</f>
        <v/>
      </c>
      <c r="J350" s="32" t="str">
        <f>IF('Input Form'!$F$53="x","OK","")</f>
        <v/>
      </c>
    </row>
    <row r="351" spans="1:10" s="635" customFormat="1" ht="15.75">
      <c r="A351" s="721" t="s">
        <v>280</v>
      </c>
      <c r="B351" s="722"/>
      <c r="C351" s="657" t="str">
        <f>PrSchr2</f>
        <v>Manufacturing</v>
      </c>
      <c r="D351" s="329">
        <v>10</v>
      </c>
      <c r="E351" s="1126" t="str">
        <f>IF((D351="n.e."),$L$13,IF(D351=10,$L$14,$L$15))</f>
        <v>No weakness identified</v>
      </c>
      <c r="F351" s="877"/>
      <c r="G351" s="861" t="str">
        <f>IF('Input Form'!$C$54="x","OK","")</f>
        <v/>
      </c>
      <c r="H351" s="31" t="str">
        <f>IF('Input Form'!$D$54="x","OK","")</f>
        <v/>
      </c>
      <c r="I351" s="31" t="str">
        <f>IF('Input Form'!$E$54="x","OK","")</f>
        <v/>
      </c>
      <c r="J351" s="32" t="str">
        <f>IF('Input Form'!$F$54="x","OK","")</f>
        <v/>
      </c>
    </row>
    <row r="352" spans="1:10" s="635" customFormat="1" ht="16.5" thickBot="1">
      <c r="A352" s="721" t="s">
        <v>281</v>
      </c>
      <c r="B352" s="722"/>
      <c r="C352" s="657" t="str">
        <f>PrSchr3</f>
        <v>Shipping</v>
      </c>
      <c r="D352" s="330">
        <v>10</v>
      </c>
      <c r="E352" s="1126" t="str">
        <f>IF((D352="n.e."),$L$13,IF(D352=10,$L$14,$L$15))</f>
        <v>No weakness identified</v>
      </c>
      <c r="F352" s="877"/>
      <c r="G352" s="861" t="str">
        <f>IF('Input Form'!$C$55="x","OK","")</f>
        <v/>
      </c>
      <c r="H352" s="31" t="str">
        <f>IF('Input Form'!$D$55="x","OK","")</f>
        <v/>
      </c>
      <c r="I352" s="31" t="str">
        <f>IF('Input Form'!$E$55="x","OK","")</f>
        <v/>
      </c>
      <c r="J352" s="32" t="str">
        <f>IF('Input Form'!$F$55="x","OK","")</f>
        <v/>
      </c>
    </row>
    <row r="353" spans="1:10" s="635" customFormat="1" ht="15.75" hidden="1" customHeight="1">
      <c r="A353" s="721" t="s">
        <v>761</v>
      </c>
      <c r="B353" s="722"/>
      <c r="C353" s="657">
        <f>PrSchr4</f>
        <v>0</v>
      </c>
      <c r="D353" s="328" t="s">
        <v>740</v>
      </c>
      <c r="E353" s="747" t="str">
        <f t="shared" ref="E353:E359" si="25">IF(ISBLANK(D353),$L$13,IF(D353=10,$L$14,$L$15))</f>
        <v>Description of non conformance (mandatory)</v>
      </c>
      <c r="F353" s="877"/>
      <c r="G353" s="861"/>
      <c r="H353" s="31"/>
      <c r="I353" s="31"/>
      <c r="J353" s="32"/>
    </row>
    <row r="354" spans="1:10" s="635" customFormat="1" ht="15.75" hidden="1" customHeight="1">
      <c r="A354" s="721" t="s">
        <v>762</v>
      </c>
      <c r="B354" s="722"/>
      <c r="C354" s="657">
        <f>PrSchr5</f>
        <v>0</v>
      </c>
      <c r="D354" s="328" t="s">
        <v>740</v>
      </c>
      <c r="E354" s="747" t="str">
        <f t="shared" si="25"/>
        <v>Description of non conformance (mandatory)</v>
      </c>
      <c r="F354" s="877"/>
      <c r="G354" s="861" t="str">
        <f>IF('Input Form'!$C$55="x","OK","")</f>
        <v/>
      </c>
      <c r="H354" s="31" t="str">
        <f>IF('Input Form'!$D$55="x","OK","")</f>
        <v/>
      </c>
      <c r="I354" s="31" t="str">
        <f>IF('Input Form'!$E$55="x","OK","")</f>
        <v/>
      </c>
      <c r="J354" s="32" t="str">
        <f>IF('Input Form'!$F$55="x","OK","")</f>
        <v/>
      </c>
    </row>
    <row r="355" spans="1:10" s="635" customFormat="1" ht="15.75" hidden="1" customHeight="1">
      <c r="A355" s="721" t="s">
        <v>763</v>
      </c>
      <c r="B355" s="722"/>
      <c r="C355" s="657">
        <f>PrSchr6</f>
        <v>0</v>
      </c>
      <c r="D355" s="328" t="s">
        <v>740</v>
      </c>
      <c r="E355" s="747" t="str">
        <f t="shared" si="25"/>
        <v>Description of non conformance (mandatory)</v>
      </c>
      <c r="F355" s="877"/>
      <c r="G355" s="861"/>
      <c r="H355" s="31"/>
      <c r="I355" s="31"/>
      <c r="J355" s="32"/>
    </row>
    <row r="356" spans="1:10" s="635" customFormat="1" ht="15.75" hidden="1" customHeight="1">
      <c r="A356" s="721" t="s">
        <v>764</v>
      </c>
      <c r="B356" s="722"/>
      <c r="C356" s="657">
        <f>PrSchr7</f>
        <v>0</v>
      </c>
      <c r="D356" s="328" t="s">
        <v>740</v>
      </c>
      <c r="E356" s="747" t="str">
        <f t="shared" si="25"/>
        <v>Description of non conformance (mandatory)</v>
      </c>
      <c r="F356" s="877"/>
      <c r="G356" s="861"/>
      <c r="H356" s="31"/>
      <c r="I356" s="31"/>
      <c r="J356" s="32"/>
    </row>
    <row r="357" spans="1:10" s="635" customFormat="1" ht="15.75" hidden="1" customHeight="1">
      <c r="A357" s="721" t="s">
        <v>765</v>
      </c>
      <c r="B357" s="722"/>
      <c r="C357" s="657">
        <f>PrSchr8</f>
        <v>0</v>
      </c>
      <c r="D357" s="328" t="s">
        <v>740</v>
      </c>
      <c r="E357" s="747" t="str">
        <f t="shared" si="25"/>
        <v>Description of non conformance (mandatory)</v>
      </c>
      <c r="F357" s="877"/>
      <c r="G357" s="861"/>
      <c r="H357" s="31"/>
      <c r="I357" s="31"/>
      <c r="J357" s="32"/>
    </row>
    <row r="358" spans="1:10" s="635" customFormat="1" ht="15.75" hidden="1" customHeight="1">
      <c r="A358" s="721" t="s">
        <v>766</v>
      </c>
      <c r="B358" s="722"/>
      <c r="C358" s="657">
        <f>PrSchr9</f>
        <v>0</v>
      </c>
      <c r="D358" s="328" t="s">
        <v>740</v>
      </c>
      <c r="E358" s="747" t="str">
        <f t="shared" si="25"/>
        <v>Description of non conformance (mandatory)</v>
      </c>
      <c r="F358" s="877"/>
      <c r="G358" s="861"/>
      <c r="H358" s="31"/>
      <c r="I358" s="31"/>
      <c r="J358" s="32"/>
    </row>
    <row r="359" spans="1:10" s="635" customFormat="1" ht="16.5" hidden="1" customHeight="1" thickBot="1">
      <c r="A359" s="728" t="s">
        <v>767</v>
      </c>
      <c r="B359" s="729"/>
      <c r="C359" s="657">
        <f>PrSchr10</f>
        <v>0</v>
      </c>
      <c r="D359" s="328" t="s">
        <v>740</v>
      </c>
      <c r="E359" s="912" t="str">
        <f t="shared" si="25"/>
        <v>Description of non conformance (mandatory)</v>
      </c>
      <c r="F359" s="877"/>
      <c r="G359" s="861"/>
      <c r="H359" s="31"/>
      <c r="I359" s="31"/>
      <c r="J359" s="32"/>
    </row>
    <row r="360" spans="1:10" s="667" customFormat="1" ht="51.75" thickBot="1">
      <c r="A360" s="699" t="s">
        <v>143</v>
      </c>
      <c r="B360" s="700">
        <f>Evaluation!ek</f>
        <v>0.72</v>
      </c>
      <c r="C360" s="701" t="str">
        <f>VLOOKUP(pos(C360),'Language-Sprachen'!$A$200:$G$461,'Language-Sprachen'!$A$3,0)</f>
        <v>Customer care / customer satisfaction / service</v>
      </c>
      <c r="D360" s="653" t="str">
        <f>D12</f>
        <v>General</v>
      </c>
      <c r="E360" s="702" t="str">
        <f>L2&amp;" "&amp;Evaluation!BN66&amp;"
"&amp;L3&amp;" "&amp;Evaluation!BM66&amp;" /  5"</f>
        <v>Questions to be answered: 4
Questions answered: 5 /  5</v>
      </c>
      <c r="F360" s="873"/>
      <c r="G360" s="862"/>
      <c r="H360" s="863"/>
      <c r="I360" s="863"/>
      <c r="J360" s="864"/>
    </row>
    <row r="361" spans="1:10" s="635" customFormat="1" ht="150">
      <c r="A361" s="703" t="s">
        <v>180</v>
      </c>
      <c r="B361" s="663"/>
      <c r="C361" s="704" t="str">
        <f>VLOOKUP(pos(C361),'Language-Sprachen'!$A$200:$G$461,'Language-Sprachen'!$A$3,0)</f>
        <v>Are all requirements related to QM-System, product and process fulfilled?</v>
      </c>
      <c r="D361" s="291">
        <v>4</v>
      </c>
      <c r="E361" s="1126" t="s">
        <v>1164</v>
      </c>
      <c r="F361" s="877"/>
      <c r="G361" s="865"/>
      <c r="H361" s="479"/>
      <c r="I361" s="479"/>
      <c r="J361" s="866"/>
    </row>
    <row r="362" spans="1:10" s="635" customFormat="1" ht="15.75">
      <c r="A362" s="658" t="s">
        <v>181</v>
      </c>
      <c r="B362" s="705"/>
      <c r="C362" s="659" t="str">
        <f>VLOOKUP(pos(C362),'Language-Sprachen'!$A$200:$G$461,'Language-Sprachen'!$A$3,0)</f>
        <v xml:space="preserve">Is customer service guaranteed? </v>
      </c>
      <c r="D362" s="291">
        <v>8</v>
      </c>
      <c r="E362" s="1126" t="str">
        <f>IF((D362="n.e."),$L$13,IF(D362=10,$L$14,$L$15))</f>
        <v>Description of non conformance (mandatory)</v>
      </c>
      <c r="F362" s="877"/>
      <c r="G362" s="865"/>
      <c r="H362" s="479"/>
      <c r="I362" s="479"/>
      <c r="J362" s="866"/>
    </row>
    <row r="363" spans="1:10" s="635" customFormat="1" ht="15.75">
      <c r="A363" s="732" t="s">
        <v>183</v>
      </c>
      <c r="B363" s="733" t="s">
        <v>10</v>
      </c>
      <c r="C363" s="706" t="str">
        <f>VLOOKUP(pos(C363),'Language-Sprachen'!$A$200:$G$461,'Language-Sprachen'!$A$3,0)</f>
        <v xml:space="preserve">Is the supply of parts guaranteed? </v>
      </c>
      <c r="D363" s="291">
        <v>10</v>
      </c>
      <c r="E363" s="1126" t="str">
        <f>IF((D363="n.e."),$L$13,IF(D363=10,$L$14,$L$15))</f>
        <v>No weakness identified</v>
      </c>
      <c r="F363" s="877"/>
      <c r="G363" s="865"/>
      <c r="H363" s="479"/>
      <c r="I363" s="479"/>
      <c r="J363" s="866"/>
    </row>
    <row r="364" spans="1:10" s="635" customFormat="1" ht="60">
      <c r="A364" s="734" t="s">
        <v>184</v>
      </c>
      <c r="B364" s="735" t="s">
        <v>10</v>
      </c>
      <c r="C364" s="659" t="str">
        <f>VLOOKUP(pos(C364),'Language-Sprachen'!$A$200:$G$461,'Language-Sprachen'!$A$3,0)</f>
        <v>If there are deviations from quality requirements or complaints, are failure analyses carried out and corrective actions implemented effectively?</v>
      </c>
      <c r="D364" s="291">
        <v>8</v>
      </c>
      <c r="E364" s="1126" t="s">
        <v>1163</v>
      </c>
      <c r="F364" s="877"/>
      <c r="G364" s="865"/>
      <c r="H364" s="479"/>
      <c r="I364" s="479"/>
      <c r="J364" s="866"/>
    </row>
    <row r="365" spans="1:10" s="635" customFormat="1" ht="45.75" thickBot="1">
      <c r="A365" s="703" t="s">
        <v>185</v>
      </c>
      <c r="B365" s="663"/>
      <c r="C365" s="706" t="str">
        <f>VLOOKUP(pos(C365),'Language-Sprachen'!$A$200:$G$461,'Language-Sprachen'!$A$3,0)</f>
        <v>Are personnel qualified for their respective tasks and are responsibilities defined?</v>
      </c>
      <c r="D365" s="291">
        <v>6</v>
      </c>
      <c r="E365" s="1126" t="s">
        <v>1162</v>
      </c>
      <c r="F365" s="878"/>
      <c r="G365" s="870"/>
      <c r="H365" s="871"/>
      <c r="I365" s="871"/>
      <c r="J365" s="872"/>
    </row>
    <row r="366" spans="1:10" ht="13.5" thickTop="1">
      <c r="A366" s="736"/>
      <c r="B366" s="737"/>
      <c r="C366" s="736"/>
      <c r="D366" s="736"/>
      <c r="E366" s="736"/>
      <c r="F366" s="736"/>
      <c r="G366" s="736"/>
      <c r="H366" s="736"/>
      <c r="I366" s="736"/>
      <c r="J366" s="736"/>
    </row>
    <row r="367" spans="1:10" s="3" customFormat="1">
      <c r="A367" s="738"/>
      <c r="B367" s="739"/>
      <c r="C367" s="740"/>
      <c r="D367" s="741"/>
      <c r="E367" s="740"/>
      <c r="F367"/>
      <c r="G367"/>
      <c r="H367"/>
      <c r="I367"/>
      <c r="J367"/>
    </row>
    <row r="368" spans="1:10" s="3" customFormat="1">
      <c r="A368" s="738"/>
      <c r="B368" s="739"/>
      <c r="C368" s="740"/>
      <c r="D368" s="741"/>
      <c r="E368" s="740"/>
      <c r="F368"/>
      <c r="G368"/>
      <c r="H368"/>
      <c r="I368"/>
      <c r="J368"/>
    </row>
    <row r="369" spans="1:10" s="3" customFormat="1">
      <c r="A369" s="738"/>
      <c r="B369" s="739"/>
      <c r="C369" s="740"/>
      <c r="D369" s="741"/>
      <c r="E369" s="740"/>
      <c r="F369"/>
      <c r="G369"/>
      <c r="H369"/>
      <c r="I369"/>
      <c r="J369"/>
    </row>
    <row r="370" spans="1:10" s="3" customFormat="1">
      <c r="A370" s="738"/>
      <c r="B370" s="739"/>
      <c r="C370" s="740"/>
      <c r="D370" s="741"/>
      <c r="E370" s="740"/>
      <c r="F370"/>
      <c r="G370"/>
      <c r="H370"/>
      <c r="I370"/>
      <c r="J370"/>
    </row>
    <row r="371" spans="1:10" s="3" customFormat="1" ht="12.75" hidden="1" customHeight="1">
      <c r="A371" s="738"/>
      <c r="B371" s="739"/>
      <c r="C371" s="740"/>
      <c r="D371" s="741"/>
      <c r="E371" s="740"/>
      <c r="F371"/>
      <c r="G371"/>
      <c r="H371"/>
      <c r="I371"/>
      <c r="J371"/>
    </row>
    <row r="372" spans="1:10" s="3" customFormat="1" ht="12.75" hidden="1" customHeight="1">
      <c r="A372" s="738"/>
      <c r="B372" s="739"/>
      <c r="C372" s="740"/>
      <c r="D372" s="741"/>
      <c r="E372" s="740"/>
      <c r="F372"/>
      <c r="G372"/>
      <c r="H372"/>
      <c r="I372"/>
      <c r="J372"/>
    </row>
    <row r="373" spans="1:10" s="3" customFormat="1" ht="12.75" hidden="1" customHeight="1">
      <c r="A373" s="738"/>
      <c r="B373" s="739"/>
      <c r="C373" s="740"/>
      <c r="D373" s="741"/>
      <c r="E373" s="740"/>
      <c r="F373"/>
      <c r="G373"/>
      <c r="H373"/>
      <c r="I373"/>
      <c r="J373"/>
    </row>
    <row r="374" spans="1:10" s="3" customFormat="1" ht="15" hidden="1" customHeight="1">
      <c r="A374" s="738"/>
      <c r="B374" s="739"/>
      <c r="C374" s="740"/>
      <c r="D374" s="741"/>
      <c r="E374" s="742"/>
      <c r="F374"/>
      <c r="G374"/>
      <c r="H374"/>
      <c r="I374"/>
      <c r="J374"/>
    </row>
    <row r="375" spans="1:10" s="3" customFormat="1" ht="15" hidden="1" customHeight="1">
      <c r="A375" s="738"/>
      <c r="B375" s="739"/>
      <c r="C375" s="742"/>
      <c r="D375" s="741">
        <v>0</v>
      </c>
      <c r="E375" s="740"/>
      <c r="F375"/>
      <c r="G375"/>
      <c r="H375"/>
      <c r="I375"/>
      <c r="J375"/>
    </row>
    <row r="376" spans="1:10" s="3" customFormat="1" ht="12.75" hidden="1" customHeight="1">
      <c r="A376" s="738"/>
      <c r="B376" s="739"/>
      <c r="C376" s="740"/>
      <c r="D376" s="741">
        <v>4</v>
      </c>
      <c r="E376" s="743"/>
      <c r="F376"/>
      <c r="G376"/>
      <c r="H376"/>
      <c r="I376"/>
      <c r="J376"/>
    </row>
    <row r="377" spans="1:10" s="3" customFormat="1" ht="12.75" hidden="1" customHeight="1">
      <c r="A377" s="738"/>
      <c r="B377" s="739"/>
      <c r="C377" s="740"/>
      <c r="D377" s="741">
        <v>6</v>
      </c>
      <c r="E377" s="743"/>
      <c r="F377"/>
      <c r="G377"/>
      <c r="H377"/>
      <c r="I377"/>
      <c r="J377"/>
    </row>
    <row r="378" spans="1:10" s="3" customFormat="1" ht="12.75" hidden="1" customHeight="1">
      <c r="A378" s="738"/>
      <c r="B378" s="739"/>
      <c r="C378" s="740"/>
      <c r="D378" s="741">
        <v>8</v>
      </c>
      <c r="E378" s="740"/>
      <c r="F378"/>
      <c r="G378"/>
      <c r="H378"/>
      <c r="I378"/>
      <c r="J378"/>
    </row>
    <row r="379" spans="1:10" s="3" customFormat="1" ht="12.75" hidden="1" customHeight="1">
      <c r="A379" s="738"/>
      <c r="B379" s="739"/>
      <c r="C379" s="740"/>
      <c r="D379" s="741">
        <v>10</v>
      </c>
      <c r="E379" s="740"/>
      <c r="F379"/>
      <c r="G379"/>
      <c r="H379"/>
      <c r="I379"/>
      <c r="J379"/>
    </row>
    <row r="380" spans="1:10" s="3" customFormat="1" ht="12.75" hidden="1" customHeight="1">
      <c r="A380" s="738"/>
      <c r="B380" s="739"/>
      <c r="C380" s="740"/>
      <c r="D380" s="744" t="str">
        <f>VLOOKUP(pos(D380),'Language-Sprachen'!$A$200:$G$461,'Language-Sprachen'!$A$3,0)</f>
        <v>n.e.</v>
      </c>
      <c r="E380" s="740"/>
      <c r="F380"/>
      <c r="G380"/>
      <c r="H380"/>
      <c r="I380"/>
      <c r="J380"/>
    </row>
    <row r="381" spans="1:10" s="3" customFormat="1">
      <c r="A381" s="738"/>
      <c r="B381" s="739"/>
      <c r="C381" s="740"/>
      <c r="D381" s="741"/>
      <c r="E381" s="740"/>
      <c r="F381"/>
      <c r="G381"/>
      <c r="H381"/>
      <c r="I381"/>
      <c r="J381"/>
    </row>
    <row r="382" spans="1:10" s="3" customFormat="1">
      <c r="A382" s="738"/>
      <c r="B382" s="739"/>
      <c r="C382" s="740"/>
      <c r="D382" s="741"/>
      <c r="E382" s="740"/>
      <c r="F382"/>
      <c r="G382"/>
      <c r="H382"/>
      <c r="I382"/>
      <c r="J382"/>
    </row>
    <row r="383" spans="1:10" s="3" customFormat="1">
      <c r="A383" s="738"/>
      <c r="B383" s="739"/>
      <c r="C383" s="740"/>
      <c r="D383" s="741"/>
      <c r="E383" s="740"/>
      <c r="F383"/>
      <c r="G383"/>
      <c r="H383"/>
      <c r="I383"/>
      <c r="J383"/>
    </row>
    <row r="384" spans="1:10" s="3" customFormat="1">
      <c r="A384" s="738"/>
      <c r="B384" s="739"/>
      <c r="C384" s="740"/>
      <c r="D384" s="741"/>
      <c r="E384" s="740"/>
      <c r="F384"/>
      <c r="G384"/>
      <c r="H384"/>
      <c r="I384"/>
      <c r="J384"/>
    </row>
    <row r="385" spans="1:10" s="3" customFormat="1">
      <c r="A385" s="738"/>
      <c r="B385" s="739"/>
      <c r="C385" s="740"/>
      <c r="D385" s="741"/>
      <c r="E385" s="740"/>
      <c r="F385"/>
      <c r="G385"/>
      <c r="H385"/>
      <c r="I385"/>
      <c r="J385"/>
    </row>
    <row r="386" spans="1:10" s="3" customFormat="1">
      <c r="A386" s="738"/>
      <c r="B386" s="739"/>
      <c r="C386" s="740"/>
      <c r="D386" s="741"/>
      <c r="E386" s="740"/>
      <c r="F386"/>
      <c r="G386"/>
      <c r="H386"/>
      <c r="I386"/>
      <c r="J386"/>
    </row>
    <row r="387" spans="1:10" s="3" customFormat="1">
      <c r="A387" s="738"/>
      <c r="B387" s="739"/>
      <c r="C387" s="740"/>
      <c r="D387" s="741"/>
      <c r="E387" s="740"/>
      <c r="F387"/>
      <c r="G387"/>
      <c r="H387"/>
      <c r="I387"/>
      <c r="J387"/>
    </row>
    <row r="388" spans="1:10" s="3" customFormat="1">
      <c r="A388" s="738"/>
      <c r="B388" s="739"/>
      <c r="C388" s="740"/>
      <c r="D388" s="741"/>
      <c r="E388" s="740"/>
      <c r="F388"/>
      <c r="G388"/>
      <c r="H388"/>
      <c r="I388"/>
      <c r="J388"/>
    </row>
    <row r="389" spans="1:10" s="3" customFormat="1">
      <c r="A389" s="738"/>
      <c r="B389" s="739"/>
      <c r="C389" s="740"/>
      <c r="D389" s="741"/>
      <c r="E389" s="740"/>
      <c r="F389"/>
      <c r="G389"/>
      <c r="H389"/>
      <c r="I389"/>
      <c r="J389"/>
    </row>
    <row r="390" spans="1:10" s="3" customFormat="1">
      <c r="A390" s="738"/>
      <c r="B390" s="739"/>
      <c r="C390" s="740"/>
      <c r="D390" s="741"/>
      <c r="E390" s="740"/>
      <c r="F390"/>
      <c r="G390"/>
      <c r="H390"/>
      <c r="I390"/>
      <c r="J390"/>
    </row>
    <row r="391" spans="1:10" s="3" customFormat="1">
      <c r="A391" s="738"/>
      <c r="B391" s="739"/>
      <c r="C391" s="740"/>
      <c r="D391" s="741"/>
      <c r="E391" s="740"/>
      <c r="F391"/>
      <c r="G391"/>
      <c r="H391"/>
      <c r="I391"/>
      <c r="J391"/>
    </row>
    <row r="392" spans="1:10" s="3" customFormat="1">
      <c r="A392" s="738"/>
      <c r="B392" s="739"/>
      <c r="C392" s="740"/>
      <c r="D392" s="741"/>
      <c r="E392" s="740"/>
      <c r="F392"/>
      <c r="G392"/>
      <c r="H392"/>
      <c r="I392"/>
      <c r="J392"/>
    </row>
    <row r="393" spans="1:10" s="3" customFormat="1">
      <c r="A393" s="738"/>
      <c r="B393" s="739"/>
      <c r="C393" s="740"/>
      <c r="D393" s="741"/>
      <c r="E393" s="740"/>
      <c r="F393"/>
      <c r="G393"/>
      <c r="H393"/>
      <c r="I393"/>
      <c r="J393"/>
    </row>
    <row r="394" spans="1:10" s="3" customFormat="1">
      <c r="A394" s="738"/>
      <c r="B394" s="739"/>
      <c r="C394" s="740"/>
      <c r="D394" s="741"/>
      <c r="E394" s="740"/>
      <c r="F394"/>
      <c r="G394"/>
      <c r="H394"/>
      <c r="I394"/>
      <c r="J394"/>
    </row>
    <row r="543" spans="4:4" ht="12.75" hidden="1" customHeight="1">
      <c r="D543" s="637" t="s">
        <v>117</v>
      </c>
    </row>
    <row r="544" spans="4:4" ht="12.75" hidden="1" customHeight="1">
      <c r="D544" s="637" t="s">
        <v>117</v>
      </c>
    </row>
    <row r="545" spans="4:4" ht="12.75" hidden="1" customHeight="1">
      <c r="D545" s="637" t="s">
        <v>117</v>
      </c>
    </row>
    <row r="546" spans="4:4" ht="12.75" hidden="1" customHeight="1">
      <c r="D546" s="637" t="s">
        <v>117</v>
      </c>
    </row>
    <row r="547" spans="4:4" ht="12.75" hidden="1" customHeight="1">
      <c r="D547" s="637" t="s">
        <v>117</v>
      </c>
    </row>
  </sheetData>
  <sheetProtection formatColumns="0" formatRows="0" selectLockedCells="1"/>
  <mergeCells count="55">
    <mergeCell ref="D338:E338"/>
    <mergeCell ref="D349:E349"/>
    <mergeCell ref="D22:E22"/>
    <mergeCell ref="D25:E25"/>
    <mergeCell ref="D28:E28"/>
    <mergeCell ref="D31:E31"/>
    <mergeCell ref="D39:E39"/>
    <mergeCell ref="D42:E42"/>
    <mergeCell ref="D45:E45"/>
    <mergeCell ref="D48:E48"/>
    <mergeCell ref="D51:E51"/>
    <mergeCell ref="D54:E54"/>
    <mergeCell ref="D58:E58"/>
    <mergeCell ref="D304:E304"/>
    <mergeCell ref="D316:E316"/>
    <mergeCell ref="D327:E327"/>
    <mergeCell ref="D315:E315"/>
    <mergeCell ref="D34:E34"/>
    <mergeCell ref="D237:E237"/>
    <mergeCell ref="D248:E248"/>
    <mergeCell ref="D271:E271"/>
    <mergeCell ref="D282:E282"/>
    <mergeCell ref="D293:E293"/>
    <mergeCell ref="D181:E181"/>
    <mergeCell ref="D192:E192"/>
    <mergeCell ref="D203:E203"/>
    <mergeCell ref="D215:E215"/>
    <mergeCell ref="D226:E226"/>
    <mergeCell ref="D70:E70"/>
    <mergeCell ref="D126:E126"/>
    <mergeCell ref="D214:E214"/>
    <mergeCell ref="D270:E270"/>
    <mergeCell ref="D259:E259"/>
    <mergeCell ref="G2:G9"/>
    <mergeCell ref="H2:H9"/>
    <mergeCell ref="I2:I9"/>
    <mergeCell ref="D56:E56"/>
    <mergeCell ref="J2:J9"/>
    <mergeCell ref="D180:E180"/>
    <mergeCell ref="D127:E127"/>
    <mergeCell ref="D138:E138"/>
    <mergeCell ref="D149:E149"/>
    <mergeCell ref="D160:E160"/>
    <mergeCell ref="D171:E171"/>
    <mergeCell ref="D71:E71"/>
    <mergeCell ref="D82:E82"/>
    <mergeCell ref="D93:E93"/>
    <mergeCell ref="D104:E104"/>
    <mergeCell ref="D115:E115"/>
    <mergeCell ref="F8:F9"/>
    <mergeCell ref="A20:A21"/>
    <mergeCell ref="C20:C21"/>
    <mergeCell ref="A37:A38"/>
    <mergeCell ref="C37:C38"/>
    <mergeCell ref="B2:B7"/>
  </mergeCells>
  <phoneticPr fontId="15" type="noConversion"/>
  <conditionalFormatting sqref="E360 E61 E12 E37:E38 E20:E21 E69">
    <cfRule type="expression" dxfId="253" priority="246">
      <formula>$B12=$D$380</formula>
    </cfRule>
  </conditionalFormatting>
  <conditionalFormatting sqref="E97:E98 E93 E82:E85 E103:E107 E115:E118 E126:E130 E149:E152 E160:E163 E171:E174 E192:E195 E203:E206 E214:E218 E237:E240 E248:E251 E259:E262 E270:E274 E282:E285 E293:E296 E304:E307 E315:E319 E327:E330 E338:E341 E360:E365 E177:E184 E349:E352 E226:E229 E13:E74 E138:E141">
    <cfRule type="expression" dxfId="252" priority="235">
      <formula>ISBLANK($D13)</formula>
    </cfRule>
  </conditionalFormatting>
  <conditionalFormatting sqref="D26:D27 D40:D41 D49:D50 D105:D107 D128:D130 D150:D152 D161:D163 D172:D174 D182:D184 D193:D195 D204:D206 D216:D218 D227:D229 D238:D240 D249:D251 D260:D262 D272:D274 D283:D285 D294:D296 D305:D307 D317:D319 D328:D330 D339:D341 D350:D352 D59:D60 D57 D103 D361:D365 D62:D68 D52:D53 D55 D43:D44 D46:D47 D29:D30 D32:D33 D35:D36 D72:D74 D83:D92 D94:D98 D116:D118 D13:D19 D23:D24 D139:D141">
    <cfRule type="cellIs" dxfId="251" priority="247" operator="between">
      <formula>0</formula>
      <formula>4</formula>
    </cfRule>
    <cfRule type="cellIs" dxfId="250" priority="248" operator="between">
      <formula>6</formula>
      <formula>8</formula>
    </cfRule>
    <cfRule type="cellIs" dxfId="249" priority="249" operator="equal">
      <formula>10</formula>
    </cfRule>
  </conditionalFormatting>
  <conditionalFormatting sqref="E99:E102">
    <cfRule type="expression" dxfId="248" priority="208">
      <formula>ISBLANK($D99)</formula>
    </cfRule>
  </conditionalFormatting>
  <conditionalFormatting sqref="D99:D102">
    <cfRule type="cellIs" dxfId="247" priority="209" operator="between">
      <formula>0</formula>
      <formula>4</formula>
    </cfRule>
    <cfRule type="cellIs" dxfId="246" priority="210" operator="between">
      <formula>6</formula>
      <formula>8</formula>
    </cfRule>
    <cfRule type="cellIs" dxfId="245" priority="211" operator="equal">
      <formula>10</formula>
    </cfRule>
  </conditionalFormatting>
  <conditionalFormatting sqref="E86:E87 E92">
    <cfRule type="expression" dxfId="244" priority="204">
      <formula>ISBLANK($D86)</formula>
    </cfRule>
  </conditionalFormatting>
  <conditionalFormatting sqref="E88:E91">
    <cfRule type="expression" dxfId="243" priority="200">
      <formula>ISBLANK($D88)</formula>
    </cfRule>
  </conditionalFormatting>
  <conditionalFormatting sqref="E108:E109 E114">
    <cfRule type="expression" dxfId="242" priority="196">
      <formula>ISBLANK($D108)</formula>
    </cfRule>
  </conditionalFormatting>
  <conditionalFormatting sqref="D108:D109 D114">
    <cfRule type="cellIs" dxfId="241" priority="197" operator="between">
      <formula>0</formula>
      <formula>4</formula>
    </cfRule>
    <cfRule type="cellIs" dxfId="240" priority="198" operator="between">
      <formula>6</formula>
      <formula>8</formula>
    </cfRule>
    <cfRule type="cellIs" dxfId="239" priority="199" operator="equal">
      <formula>10</formula>
    </cfRule>
  </conditionalFormatting>
  <conditionalFormatting sqref="E110:E113">
    <cfRule type="expression" dxfId="238" priority="192">
      <formula>ISBLANK($D110)</formula>
    </cfRule>
  </conditionalFormatting>
  <conditionalFormatting sqref="D110:D113">
    <cfRule type="cellIs" dxfId="237" priority="193" operator="between">
      <formula>0</formula>
      <formula>4</formula>
    </cfRule>
    <cfRule type="cellIs" dxfId="236" priority="194" operator="between">
      <formula>6</formula>
      <formula>8</formula>
    </cfRule>
    <cfRule type="cellIs" dxfId="235" priority="195" operator="equal">
      <formula>10</formula>
    </cfRule>
  </conditionalFormatting>
  <conditionalFormatting sqref="E119:E120 E125">
    <cfRule type="expression" dxfId="234" priority="188">
      <formula>ISBLANK($D119)</formula>
    </cfRule>
  </conditionalFormatting>
  <conditionalFormatting sqref="E121:E124">
    <cfRule type="expression" dxfId="233" priority="184">
      <formula>ISBLANK($D121)</formula>
    </cfRule>
  </conditionalFormatting>
  <conditionalFormatting sqref="D119:D124">
    <cfRule type="cellIs" dxfId="232" priority="181" operator="between">
      <formula>0</formula>
      <formula>4</formula>
    </cfRule>
    <cfRule type="cellIs" dxfId="231" priority="182" operator="between">
      <formula>6</formula>
      <formula>8</formula>
    </cfRule>
    <cfRule type="cellIs" dxfId="230" priority="183" operator="equal">
      <formula>10</formula>
    </cfRule>
  </conditionalFormatting>
  <conditionalFormatting sqref="D125">
    <cfRule type="cellIs" dxfId="229" priority="178" operator="between">
      <formula>0</formula>
      <formula>4</formula>
    </cfRule>
    <cfRule type="cellIs" dxfId="228" priority="179" operator="between">
      <formula>6</formula>
      <formula>8</formula>
    </cfRule>
    <cfRule type="cellIs" dxfId="227" priority="180" operator="equal">
      <formula>10</formula>
    </cfRule>
  </conditionalFormatting>
  <conditionalFormatting sqref="E75:E76 E81">
    <cfRule type="expression" dxfId="226" priority="174">
      <formula>ISBLANK($D75)</formula>
    </cfRule>
  </conditionalFormatting>
  <conditionalFormatting sqref="D75:D76 D81">
    <cfRule type="cellIs" dxfId="225" priority="175" operator="between">
      <formula>0</formula>
      <formula>4</formula>
    </cfRule>
    <cfRule type="cellIs" dxfId="224" priority="176" operator="between">
      <formula>6</formula>
      <formula>8</formula>
    </cfRule>
    <cfRule type="cellIs" dxfId="223" priority="177" operator="equal">
      <formula>10</formula>
    </cfRule>
  </conditionalFormatting>
  <conditionalFormatting sqref="E77:E80">
    <cfRule type="expression" dxfId="222" priority="170">
      <formula>ISBLANK($D77)</formula>
    </cfRule>
  </conditionalFormatting>
  <conditionalFormatting sqref="D77:D80">
    <cfRule type="cellIs" dxfId="221" priority="171" operator="between">
      <formula>0</formula>
      <formula>4</formula>
    </cfRule>
    <cfRule type="cellIs" dxfId="220" priority="172" operator="between">
      <formula>6</formula>
      <formula>8</formula>
    </cfRule>
    <cfRule type="cellIs" dxfId="219" priority="173" operator="equal">
      <formula>10</formula>
    </cfRule>
  </conditionalFormatting>
  <conditionalFormatting sqref="E131:E132 E137">
    <cfRule type="expression" dxfId="218" priority="166">
      <formula>ISBLANK($D131)</formula>
    </cfRule>
  </conditionalFormatting>
  <conditionalFormatting sqref="D131:D132 D137">
    <cfRule type="cellIs" dxfId="217" priority="167" operator="between">
      <formula>0</formula>
      <formula>4</formula>
    </cfRule>
    <cfRule type="cellIs" dxfId="216" priority="168" operator="between">
      <formula>6</formula>
      <formula>8</formula>
    </cfRule>
    <cfRule type="cellIs" dxfId="215" priority="169" operator="equal">
      <formula>10</formula>
    </cfRule>
  </conditionalFormatting>
  <conditionalFormatting sqref="E133:E136">
    <cfRule type="expression" dxfId="214" priority="162">
      <formula>ISBLANK($D133)</formula>
    </cfRule>
  </conditionalFormatting>
  <conditionalFormatting sqref="D133:D136">
    <cfRule type="cellIs" dxfId="213" priority="163" operator="between">
      <formula>0</formula>
      <formula>4</formula>
    </cfRule>
    <cfRule type="cellIs" dxfId="212" priority="164" operator="between">
      <formula>6</formula>
      <formula>8</formula>
    </cfRule>
    <cfRule type="cellIs" dxfId="211" priority="165" operator="equal">
      <formula>10</formula>
    </cfRule>
  </conditionalFormatting>
  <conditionalFormatting sqref="E142:E143 E148">
    <cfRule type="expression" dxfId="210" priority="158">
      <formula>ISBLANK($D142)</formula>
    </cfRule>
  </conditionalFormatting>
  <conditionalFormatting sqref="D142:D143 D148">
    <cfRule type="cellIs" dxfId="209" priority="159" operator="between">
      <formula>0</formula>
      <formula>4</formula>
    </cfRule>
    <cfRule type="cellIs" dxfId="208" priority="160" operator="between">
      <formula>6</formula>
      <formula>8</formula>
    </cfRule>
    <cfRule type="cellIs" dxfId="207" priority="161" operator="equal">
      <formula>10</formula>
    </cfRule>
  </conditionalFormatting>
  <conditionalFormatting sqref="E144:E147">
    <cfRule type="expression" dxfId="206" priority="154">
      <formula>ISBLANK($D144)</formula>
    </cfRule>
  </conditionalFormatting>
  <conditionalFormatting sqref="D144:D147">
    <cfRule type="cellIs" dxfId="205" priority="155" operator="between">
      <formula>0</formula>
      <formula>4</formula>
    </cfRule>
    <cfRule type="cellIs" dxfId="204" priority="156" operator="between">
      <formula>6</formula>
      <formula>8</formula>
    </cfRule>
    <cfRule type="cellIs" dxfId="203" priority="157" operator="equal">
      <formula>10</formula>
    </cfRule>
  </conditionalFormatting>
  <conditionalFormatting sqref="E175:E176">
    <cfRule type="expression" dxfId="202" priority="150">
      <formula>ISBLANK($D175)</formula>
    </cfRule>
  </conditionalFormatting>
  <conditionalFormatting sqref="D175:D176">
    <cfRule type="cellIs" dxfId="201" priority="151" operator="between">
      <formula>0</formula>
      <formula>4</formula>
    </cfRule>
    <cfRule type="cellIs" dxfId="200" priority="152" operator="between">
      <formula>6</formula>
      <formula>8</formula>
    </cfRule>
    <cfRule type="cellIs" dxfId="199" priority="153" operator="equal">
      <formula>10</formula>
    </cfRule>
  </conditionalFormatting>
  <conditionalFormatting sqref="D177:D179">
    <cfRule type="cellIs" dxfId="198" priority="147" operator="between">
      <formula>0</formula>
      <formula>4</formula>
    </cfRule>
    <cfRule type="cellIs" dxfId="197" priority="148" operator="between">
      <formula>6</formula>
      <formula>8</formula>
    </cfRule>
    <cfRule type="cellIs" dxfId="196" priority="149" operator="equal">
      <formula>10</formula>
    </cfRule>
  </conditionalFormatting>
  <conditionalFormatting sqref="E153:E154 E159">
    <cfRule type="expression" dxfId="195" priority="145">
      <formula>ISBLANK($D153)</formula>
    </cfRule>
  </conditionalFormatting>
  <conditionalFormatting sqref="E155:E158">
    <cfRule type="expression" dxfId="194" priority="144">
      <formula>ISBLANK($D155)</formula>
    </cfRule>
  </conditionalFormatting>
  <conditionalFormatting sqref="D153:D158">
    <cfRule type="cellIs" dxfId="193" priority="141" operator="between">
      <formula>0</formula>
      <formula>4</formula>
    </cfRule>
    <cfRule type="cellIs" dxfId="192" priority="142" operator="between">
      <formula>6</formula>
      <formula>8</formula>
    </cfRule>
    <cfRule type="cellIs" dxfId="191" priority="143" operator="equal">
      <formula>10</formula>
    </cfRule>
  </conditionalFormatting>
  <conditionalFormatting sqref="D159">
    <cfRule type="cellIs" dxfId="190" priority="138" operator="between">
      <formula>0</formula>
      <formula>4</formula>
    </cfRule>
    <cfRule type="cellIs" dxfId="189" priority="139" operator="between">
      <formula>6</formula>
      <formula>8</formula>
    </cfRule>
    <cfRule type="cellIs" dxfId="188" priority="140" operator="equal">
      <formula>10</formula>
    </cfRule>
  </conditionalFormatting>
  <conditionalFormatting sqref="E164:E165 E170">
    <cfRule type="expression" dxfId="187" priority="137">
      <formula>ISBLANK($D164)</formula>
    </cfRule>
  </conditionalFormatting>
  <conditionalFormatting sqref="E166:E169">
    <cfRule type="expression" dxfId="186" priority="136">
      <formula>ISBLANK($D166)</formula>
    </cfRule>
  </conditionalFormatting>
  <conditionalFormatting sqref="D164:D169">
    <cfRule type="cellIs" dxfId="185" priority="133" operator="between">
      <formula>0</formula>
      <formula>4</formula>
    </cfRule>
    <cfRule type="cellIs" dxfId="184" priority="134" operator="between">
      <formula>6</formula>
      <formula>8</formula>
    </cfRule>
    <cfRule type="cellIs" dxfId="183" priority="135" operator="equal">
      <formula>10</formula>
    </cfRule>
  </conditionalFormatting>
  <conditionalFormatting sqref="D170">
    <cfRule type="cellIs" dxfId="182" priority="130" operator="between">
      <formula>0</formula>
      <formula>4</formula>
    </cfRule>
    <cfRule type="cellIs" dxfId="181" priority="131" operator="between">
      <formula>6</formula>
      <formula>8</formula>
    </cfRule>
    <cfRule type="cellIs" dxfId="180" priority="132" operator="equal">
      <formula>10</formula>
    </cfRule>
  </conditionalFormatting>
  <conditionalFormatting sqref="E185:E186 E191">
    <cfRule type="expression" dxfId="179" priority="129">
      <formula>ISBLANK($D185)</formula>
    </cfRule>
  </conditionalFormatting>
  <conditionalFormatting sqref="E187:E190">
    <cfRule type="expression" dxfId="178" priority="128">
      <formula>ISBLANK($D187)</formula>
    </cfRule>
  </conditionalFormatting>
  <conditionalFormatting sqref="D185:D190">
    <cfRule type="cellIs" dxfId="177" priority="125" operator="between">
      <formula>0</formula>
      <formula>4</formula>
    </cfRule>
    <cfRule type="cellIs" dxfId="176" priority="126" operator="between">
      <formula>6</formula>
      <formula>8</formula>
    </cfRule>
    <cfRule type="cellIs" dxfId="175" priority="127" operator="equal">
      <formula>10</formula>
    </cfRule>
  </conditionalFormatting>
  <conditionalFormatting sqref="D191">
    <cfRule type="cellIs" dxfId="174" priority="122" operator="between">
      <formula>0</formula>
      <formula>4</formula>
    </cfRule>
    <cfRule type="cellIs" dxfId="173" priority="123" operator="between">
      <formula>6</formula>
      <formula>8</formula>
    </cfRule>
    <cfRule type="cellIs" dxfId="172" priority="124" operator="equal">
      <formula>10</formula>
    </cfRule>
  </conditionalFormatting>
  <conditionalFormatting sqref="E219:E220 E225">
    <cfRule type="expression" dxfId="171" priority="121">
      <formula>ISBLANK($D219)</formula>
    </cfRule>
  </conditionalFormatting>
  <conditionalFormatting sqref="E221:E224">
    <cfRule type="expression" dxfId="170" priority="120">
      <formula>ISBLANK($D221)</formula>
    </cfRule>
  </conditionalFormatting>
  <conditionalFormatting sqref="D219:D224">
    <cfRule type="cellIs" dxfId="169" priority="117" operator="between">
      <formula>0</formula>
      <formula>4</formula>
    </cfRule>
    <cfRule type="cellIs" dxfId="168" priority="118" operator="between">
      <formula>6</formula>
      <formula>8</formula>
    </cfRule>
    <cfRule type="cellIs" dxfId="167" priority="119" operator="equal">
      <formula>10</formula>
    </cfRule>
  </conditionalFormatting>
  <conditionalFormatting sqref="D225">
    <cfRule type="cellIs" dxfId="166" priority="114" operator="between">
      <formula>0</formula>
      <formula>4</formula>
    </cfRule>
    <cfRule type="cellIs" dxfId="165" priority="115" operator="between">
      <formula>6</formula>
      <formula>8</formula>
    </cfRule>
    <cfRule type="cellIs" dxfId="164" priority="116" operator="equal">
      <formula>10</formula>
    </cfRule>
  </conditionalFormatting>
  <conditionalFormatting sqref="E241:E242 E247">
    <cfRule type="expression" dxfId="163" priority="113">
      <formula>ISBLANK($D241)</formula>
    </cfRule>
  </conditionalFormatting>
  <conditionalFormatting sqref="E243:E246">
    <cfRule type="expression" dxfId="162" priority="112">
      <formula>ISBLANK($D243)</formula>
    </cfRule>
  </conditionalFormatting>
  <conditionalFormatting sqref="D241:D246">
    <cfRule type="cellIs" dxfId="161" priority="109" operator="between">
      <formula>0</formula>
      <formula>4</formula>
    </cfRule>
    <cfRule type="cellIs" dxfId="160" priority="110" operator="between">
      <formula>6</formula>
      <formula>8</formula>
    </cfRule>
    <cfRule type="cellIs" dxfId="159" priority="111" operator="equal">
      <formula>10</formula>
    </cfRule>
  </conditionalFormatting>
  <conditionalFormatting sqref="D247">
    <cfRule type="cellIs" dxfId="158" priority="106" operator="between">
      <formula>0</formula>
      <formula>4</formula>
    </cfRule>
    <cfRule type="cellIs" dxfId="157" priority="107" operator="between">
      <formula>6</formula>
      <formula>8</formula>
    </cfRule>
    <cfRule type="cellIs" dxfId="156" priority="108" operator="equal">
      <formula>10</formula>
    </cfRule>
  </conditionalFormatting>
  <conditionalFormatting sqref="E297:E298 E303">
    <cfRule type="expression" dxfId="155" priority="105">
      <formula>ISBLANK($D297)</formula>
    </cfRule>
  </conditionalFormatting>
  <conditionalFormatting sqref="E299:E302">
    <cfRule type="expression" dxfId="154" priority="104">
      <formula>ISBLANK($D299)</formula>
    </cfRule>
  </conditionalFormatting>
  <conditionalFormatting sqref="D297:D302">
    <cfRule type="cellIs" dxfId="153" priority="101" operator="between">
      <formula>0</formula>
      <formula>4</formula>
    </cfRule>
    <cfRule type="cellIs" dxfId="152" priority="102" operator="between">
      <formula>6</formula>
      <formula>8</formula>
    </cfRule>
    <cfRule type="cellIs" dxfId="151" priority="103" operator="equal">
      <formula>10</formula>
    </cfRule>
  </conditionalFormatting>
  <conditionalFormatting sqref="D303">
    <cfRule type="cellIs" dxfId="150" priority="98" operator="between">
      <formula>0</formula>
      <formula>4</formula>
    </cfRule>
    <cfRule type="cellIs" dxfId="149" priority="99" operator="between">
      <formula>6</formula>
      <formula>8</formula>
    </cfRule>
    <cfRule type="cellIs" dxfId="148" priority="100" operator="equal">
      <formula>10</formula>
    </cfRule>
  </conditionalFormatting>
  <conditionalFormatting sqref="E353:E354 E359">
    <cfRule type="expression" dxfId="147" priority="97">
      <formula>ISBLANK($D353)</formula>
    </cfRule>
  </conditionalFormatting>
  <conditionalFormatting sqref="E355:E358">
    <cfRule type="expression" dxfId="146" priority="96">
      <formula>ISBLANK($D355)</formula>
    </cfRule>
  </conditionalFormatting>
  <conditionalFormatting sqref="D353:D358">
    <cfRule type="cellIs" dxfId="145" priority="93" operator="between">
      <formula>0</formula>
      <formula>4</formula>
    </cfRule>
    <cfRule type="cellIs" dxfId="144" priority="94" operator="between">
      <formula>6</formula>
      <formula>8</formula>
    </cfRule>
    <cfRule type="cellIs" dxfId="143" priority="95" operator="equal">
      <formula>10</formula>
    </cfRule>
  </conditionalFormatting>
  <conditionalFormatting sqref="D359">
    <cfRule type="cellIs" dxfId="142" priority="90" operator="between">
      <formula>0</formula>
      <formula>4</formula>
    </cfRule>
    <cfRule type="cellIs" dxfId="141" priority="91" operator="between">
      <formula>6</formula>
      <formula>8</formula>
    </cfRule>
    <cfRule type="cellIs" dxfId="140" priority="92" operator="equal">
      <formula>10</formula>
    </cfRule>
  </conditionalFormatting>
  <conditionalFormatting sqref="E196:E197 E202">
    <cfRule type="expression" dxfId="139" priority="86">
      <formula>ISBLANK($D196)</formula>
    </cfRule>
  </conditionalFormatting>
  <conditionalFormatting sqref="D196:D197 D202">
    <cfRule type="cellIs" dxfId="138" priority="87" operator="between">
      <formula>0</formula>
      <formula>4</formula>
    </cfRule>
    <cfRule type="cellIs" dxfId="137" priority="88" operator="between">
      <formula>6</formula>
      <formula>8</formula>
    </cfRule>
    <cfRule type="cellIs" dxfId="136" priority="89" operator="equal">
      <formula>10</formula>
    </cfRule>
  </conditionalFormatting>
  <conditionalFormatting sqref="E198:E201">
    <cfRule type="expression" dxfId="135" priority="82">
      <formula>ISBLANK($D198)</formula>
    </cfRule>
  </conditionalFormatting>
  <conditionalFormatting sqref="D198:D201">
    <cfRule type="cellIs" dxfId="134" priority="83" operator="between">
      <formula>0</formula>
      <formula>4</formula>
    </cfRule>
    <cfRule type="cellIs" dxfId="133" priority="84" operator="between">
      <formula>6</formula>
      <formula>8</formula>
    </cfRule>
    <cfRule type="cellIs" dxfId="132" priority="85" operator="equal">
      <formula>10</formula>
    </cfRule>
  </conditionalFormatting>
  <conditionalFormatting sqref="E207:E208 E213">
    <cfRule type="expression" dxfId="131" priority="78">
      <formula>ISBLANK($D207)</formula>
    </cfRule>
  </conditionalFormatting>
  <conditionalFormatting sqref="D207:D208 D213">
    <cfRule type="cellIs" dxfId="130" priority="79" operator="between">
      <formula>0</formula>
      <formula>4</formula>
    </cfRule>
    <cfRule type="cellIs" dxfId="129" priority="80" operator="between">
      <formula>6</formula>
      <formula>8</formula>
    </cfRule>
    <cfRule type="cellIs" dxfId="128" priority="81" operator="equal">
      <formula>10</formula>
    </cfRule>
  </conditionalFormatting>
  <conditionalFormatting sqref="E209:E212">
    <cfRule type="expression" dxfId="127" priority="74">
      <formula>ISBLANK($D209)</formula>
    </cfRule>
  </conditionalFormatting>
  <conditionalFormatting sqref="D209:D212">
    <cfRule type="cellIs" dxfId="126" priority="75" operator="between">
      <formula>0</formula>
      <formula>4</formula>
    </cfRule>
    <cfRule type="cellIs" dxfId="125" priority="76" operator="between">
      <formula>6</formula>
      <formula>8</formula>
    </cfRule>
    <cfRule type="cellIs" dxfId="124" priority="77" operator="equal">
      <formula>10</formula>
    </cfRule>
  </conditionalFormatting>
  <conditionalFormatting sqref="E230:E231 E236">
    <cfRule type="expression" dxfId="123" priority="70">
      <formula>ISBLANK($D230)</formula>
    </cfRule>
  </conditionalFormatting>
  <conditionalFormatting sqref="D230:D231 D236">
    <cfRule type="cellIs" dxfId="122" priority="71" operator="between">
      <formula>0</formula>
      <formula>4</formula>
    </cfRule>
    <cfRule type="cellIs" dxfId="121" priority="72" operator="between">
      <formula>6</formula>
      <formula>8</formula>
    </cfRule>
    <cfRule type="cellIs" dxfId="120" priority="73" operator="equal">
      <formula>10</formula>
    </cfRule>
  </conditionalFormatting>
  <conditionalFormatting sqref="E232:E235">
    <cfRule type="expression" dxfId="119" priority="66">
      <formula>ISBLANK($D232)</formula>
    </cfRule>
  </conditionalFormatting>
  <conditionalFormatting sqref="D232:D235">
    <cfRule type="cellIs" dxfId="118" priority="67" operator="between">
      <formula>0</formula>
      <formula>4</formula>
    </cfRule>
    <cfRule type="cellIs" dxfId="117" priority="68" operator="between">
      <formula>6</formula>
      <formula>8</formula>
    </cfRule>
    <cfRule type="cellIs" dxfId="116" priority="69" operator="equal">
      <formula>10</formula>
    </cfRule>
  </conditionalFormatting>
  <conditionalFormatting sqref="E252:E253 E258">
    <cfRule type="expression" dxfId="115" priority="62">
      <formula>ISBLANK($D252)</formula>
    </cfRule>
  </conditionalFormatting>
  <conditionalFormatting sqref="D252:D253 D258">
    <cfRule type="cellIs" dxfId="114" priority="63" operator="between">
      <formula>0</formula>
      <formula>4</formula>
    </cfRule>
    <cfRule type="cellIs" dxfId="113" priority="64" operator="between">
      <formula>6</formula>
      <formula>8</formula>
    </cfRule>
    <cfRule type="cellIs" dxfId="112" priority="65" operator="equal">
      <formula>10</formula>
    </cfRule>
  </conditionalFormatting>
  <conditionalFormatting sqref="E254:E257">
    <cfRule type="expression" dxfId="111" priority="58">
      <formula>ISBLANK($D254)</formula>
    </cfRule>
  </conditionalFormatting>
  <conditionalFormatting sqref="D254:D257">
    <cfRule type="cellIs" dxfId="110" priority="59" operator="between">
      <formula>0</formula>
      <formula>4</formula>
    </cfRule>
    <cfRule type="cellIs" dxfId="109" priority="60" operator="between">
      <formula>6</formula>
      <formula>8</formula>
    </cfRule>
    <cfRule type="cellIs" dxfId="108" priority="61" operator="equal">
      <formula>10</formula>
    </cfRule>
  </conditionalFormatting>
  <conditionalFormatting sqref="E263:E264 E269">
    <cfRule type="expression" dxfId="107" priority="54">
      <formula>ISBLANK($D263)</formula>
    </cfRule>
  </conditionalFormatting>
  <conditionalFormatting sqref="D263:D264 D269">
    <cfRule type="cellIs" dxfId="106" priority="55" operator="between">
      <formula>0</formula>
      <formula>4</formula>
    </cfRule>
    <cfRule type="cellIs" dxfId="105" priority="56" operator="between">
      <formula>6</formula>
      <formula>8</formula>
    </cfRule>
    <cfRule type="cellIs" dxfId="104" priority="57" operator="equal">
      <formula>10</formula>
    </cfRule>
  </conditionalFormatting>
  <conditionalFormatting sqref="E265:E268">
    <cfRule type="expression" dxfId="103" priority="50">
      <formula>ISBLANK($D265)</formula>
    </cfRule>
  </conditionalFormatting>
  <conditionalFormatting sqref="D265:D268">
    <cfRule type="cellIs" dxfId="102" priority="51" operator="between">
      <formula>0</formula>
      <formula>4</formula>
    </cfRule>
    <cfRule type="cellIs" dxfId="101" priority="52" operator="between">
      <formula>6</formula>
      <formula>8</formula>
    </cfRule>
    <cfRule type="cellIs" dxfId="100" priority="53" operator="equal">
      <formula>10</formula>
    </cfRule>
  </conditionalFormatting>
  <conditionalFormatting sqref="E275:E276 E281">
    <cfRule type="expression" dxfId="99" priority="46">
      <formula>ISBLANK($D275)</formula>
    </cfRule>
  </conditionalFormatting>
  <conditionalFormatting sqref="D275:D276 D281">
    <cfRule type="cellIs" dxfId="98" priority="47" operator="between">
      <formula>0</formula>
      <formula>4</formula>
    </cfRule>
    <cfRule type="cellIs" dxfId="97" priority="48" operator="between">
      <formula>6</formula>
      <formula>8</formula>
    </cfRule>
    <cfRule type="cellIs" dxfId="96" priority="49" operator="equal">
      <formula>10</formula>
    </cfRule>
  </conditionalFormatting>
  <conditionalFormatting sqref="E277:E280">
    <cfRule type="expression" dxfId="95" priority="42">
      <formula>ISBLANK($D277)</formula>
    </cfRule>
  </conditionalFormatting>
  <conditionalFormatting sqref="D277:D280">
    <cfRule type="cellIs" dxfId="94" priority="43" operator="between">
      <formula>0</formula>
      <formula>4</formula>
    </cfRule>
    <cfRule type="cellIs" dxfId="93" priority="44" operator="between">
      <formula>6</formula>
      <formula>8</formula>
    </cfRule>
    <cfRule type="cellIs" dxfId="92" priority="45" operator="equal">
      <formula>10</formula>
    </cfRule>
  </conditionalFormatting>
  <conditionalFormatting sqref="E286:E287 E292">
    <cfRule type="expression" dxfId="91" priority="38">
      <formula>ISBLANK($D286)</formula>
    </cfRule>
  </conditionalFormatting>
  <conditionalFormatting sqref="D286:D287 D292">
    <cfRule type="cellIs" dxfId="90" priority="39" operator="between">
      <formula>0</formula>
      <formula>4</formula>
    </cfRule>
    <cfRule type="cellIs" dxfId="89" priority="40" operator="between">
      <formula>6</formula>
      <formula>8</formula>
    </cfRule>
    <cfRule type="cellIs" dxfId="88" priority="41" operator="equal">
      <formula>10</formula>
    </cfRule>
  </conditionalFormatting>
  <conditionalFormatting sqref="E288:E291">
    <cfRule type="expression" dxfId="87" priority="34">
      <formula>ISBLANK($D288)</formula>
    </cfRule>
  </conditionalFormatting>
  <conditionalFormatting sqref="D288:D291">
    <cfRule type="cellIs" dxfId="86" priority="35" operator="between">
      <formula>0</formula>
      <formula>4</formula>
    </cfRule>
    <cfRule type="cellIs" dxfId="85" priority="36" operator="between">
      <formula>6</formula>
      <formula>8</formula>
    </cfRule>
    <cfRule type="cellIs" dxfId="84" priority="37" operator="equal">
      <formula>10</formula>
    </cfRule>
  </conditionalFormatting>
  <conditionalFormatting sqref="E308:E309 E314">
    <cfRule type="expression" dxfId="83" priority="30">
      <formula>ISBLANK($D308)</formula>
    </cfRule>
  </conditionalFormatting>
  <conditionalFormatting sqref="D308:D309 D314">
    <cfRule type="cellIs" dxfId="82" priority="31" operator="between">
      <formula>0</formula>
      <formula>4</formula>
    </cfRule>
    <cfRule type="cellIs" dxfId="81" priority="32" operator="between">
      <formula>6</formula>
      <formula>8</formula>
    </cfRule>
    <cfRule type="cellIs" dxfId="80" priority="33" operator="equal">
      <formula>10</formula>
    </cfRule>
  </conditionalFormatting>
  <conditionalFormatting sqref="E310:E313">
    <cfRule type="expression" dxfId="79" priority="26">
      <formula>ISBLANK($D310)</formula>
    </cfRule>
  </conditionalFormatting>
  <conditionalFormatting sqref="D310:D313">
    <cfRule type="cellIs" dxfId="78" priority="27" operator="between">
      <formula>0</formula>
      <formula>4</formula>
    </cfRule>
    <cfRule type="cellIs" dxfId="77" priority="28" operator="between">
      <formula>6</formula>
      <formula>8</formula>
    </cfRule>
    <cfRule type="cellIs" dxfId="76" priority="29" operator="equal">
      <formula>10</formula>
    </cfRule>
  </conditionalFormatting>
  <conditionalFormatting sqref="E320:E321 E326">
    <cfRule type="expression" dxfId="75" priority="22">
      <formula>ISBLANK($D320)</formula>
    </cfRule>
  </conditionalFormatting>
  <conditionalFormatting sqref="D320:D321 D326">
    <cfRule type="cellIs" dxfId="74" priority="23" operator="between">
      <formula>0</formula>
      <formula>4</formula>
    </cfRule>
    <cfRule type="cellIs" dxfId="73" priority="24" operator="between">
      <formula>6</formula>
      <formula>8</formula>
    </cfRule>
    <cfRule type="cellIs" dxfId="72" priority="25" operator="equal">
      <formula>10</formula>
    </cfRule>
  </conditionalFormatting>
  <conditionalFormatting sqref="E322:E325">
    <cfRule type="expression" dxfId="71" priority="18">
      <formula>ISBLANK($D322)</formula>
    </cfRule>
  </conditionalFormatting>
  <conditionalFormatting sqref="D322:D325">
    <cfRule type="cellIs" dxfId="70" priority="19" operator="between">
      <formula>0</formula>
      <formula>4</formula>
    </cfRule>
    <cfRule type="cellIs" dxfId="69" priority="20" operator="between">
      <formula>6</formula>
      <formula>8</formula>
    </cfRule>
    <cfRule type="cellIs" dxfId="68" priority="21" operator="equal">
      <formula>10</formula>
    </cfRule>
  </conditionalFormatting>
  <conditionalFormatting sqref="E331:E332 E337">
    <cfRule type="expression" dxfId="67" priority="14">
      <formula>ISBLANK($D331)</formula>
    </cfRule>
  </conditionalFormatting>
  <conditionalFormatting sqref="D331:D332 D337">
    <cfRule type="cellIs" dxfId="66" priority="15" operator="between">
      <formula>0</formula>
      <formula>4</formula>
    </cfRule>
    <cfRule type="cellIs" dxfId="65" priority="16" operator="between">
      <formula>6</formula>
      <formula>8</formula>
    </cfRule>
    <cfRule type="cellIs" dxfId="64" priority="17" operator="equal">
      <formula>10</formula>
    </cfRule>
  </conditionalFormatting>
  <conditionalFormatting sqref="E333:E336">
    <cfRule type="expression" dxfId="63" priority="10">
      <formula>ISBLANK($D333)</formula>
    </cfRule>
  </conditionalFormatting>
  <conditionalFormatting sqref="D333:D336">
    <cfRule type="cellIs" dxfId="62" priority="11" operator="between">
      <formula>0</formula>
      <formula>4</formula>
    </cfRule>
    <cfRule type="cellIs" dxfId="61" priority="12" operator="between">
      <formula>6</formula>
      <formula>8</formula>
    </cfRule>
    <cfRule type="cellIs" dxfId="60" priority="13" operator="equal">
      <formula>10</formula>
    </cfRule>
  </conditionalFormatting>
  <conditionalFormatting sqref="E342:E343 E348">
    <cfRule type="expression" dxfId="59" priority="6">
      <formula>ISBLANK($D342)</formula>
    </cfRule>
  </conditionalFormatting>
  <conditionalFormatting sqref="D342:D343 D348">
    <cfRule type="cellIs" dxfId="58" priority="7" operator="between">
      <formula>0</formula>
      <formula>4</formula>
    </cfRule>
    <cfRule type="cellIs" dxfId="57" priority="8" operator="between">
      <formula>6</formula>
      <formula>8</formula>
    </cfRule>
    <cfRule type="cellIs" dxfId="56" priority="9" operator="equal">
      <formula>10</formula>
    </cfRule>
  </conditionalFormatting>
  <conditionalFormatting sqref="E344:E347">
    <cfRule type="expression" dxfId="55" priority="2">
      <formula>ISBLANK($D344)</formula>
    </cfRule>
  </conditionalFormatting>
  <conditionalFormatting sqref="D344:D347">
    <cfRule type="cellIs" dxfId="54" priority="3" operator="between">
      <formula>0</formula>
      <formula>4</formula>
    </cfRule>
    <cfRule type="cellIs" dxfId="53" priority="4" operator="between">
      <formula>6</formula>
      <formula>8</formula>
    </cfRule>
    <cfRule type="cellIs" dxfId="52" priority="5" operator="equal">
      <formula>10</formula>
    </cfRule>
  </conditionalFormatting>
  <conditionalFormatting sqref="E12">
    <cfRule type="expression" dxfId="51" priority="250">
      <formula>#REF!=FALSE</formula>
    </cfRule>
  </conditionalFormatting>
  <conditionalFormatting sqref="E20:E21">
    <cfRule type="expression" dxfId="50" priority="251">
      <formula>#REF!=FALSE</formula>
    </cfRule>
  </conditionalFormatting>
  <conditionalFormatting sqref="E61">
    <cfRule type="expression" dxfId="49" priority="252">
      <formula>#REF!=FALSE</formula>
    </cfRule>
  </conditionalFormatting>
  <conditionalFormatting sqref="E69">
    <cfRule type="expression" dxfId="48" priority="253">
      <formula>#REF!=FALSE</formula>
    </cfRule>
  </conditionalFormatting>
  <conditionalFormatting sqref="E360">
    <cfRule type="expression" dxfId="47" priority="254">
      <formula>#REF!=FALSE</formula>
    </cfRule>
  </conditionalFormatting>
  <conditionalFormatting sqref="E37:E38">
    <cfRule type="expression" dxfId="46" priority="255">
      <formula>#REF!=FALSE</formula>
    </cfRule>
  </conditionalFormatting>
  <conditionalFormatting sqref="E94:E96">
    <cfRule type="expression" dxfId="45" priority="1">
      <formula>ISBLANK($D94)</formula>
    </cfRule>
  </conditionalFormatting>
  <dataValidations count="2">
    <dataValidation type="list" allowBlank="1" showInputMessage="1" showErrorMessage="1" sqref="D59:D60 D328:D337 D55 D40:D41 D317:D326 D43:D44 D227:D236 D172:D179 D116:D125 D260:D269 D72:D81 D339:D348 D150:D159 D29:D30 D128:D137 D272:D281 D361:D365 D161:D170 D182:D191 D23:D24 D283:D292 D294:D303 D238:D247 D193:D202 D216:D225 D35:D36 D305:D314 D57 D350:D359 D249:D258 D26:D27 D52:D53 D62:D68 D13:D19 D49:D50 D105:D114 D83:D92 D94:D103 D32:D33 D46:D47 D204:D213 D139:D148" xr:uid="{00000000-0002-0000-0200-000000000000}">
      <formula1>$D$375:$D$380</formula1>
    </dataValidation>
    <dataValidation type="list" allowBlank="1" showInputMessage="1" showErrorMessage="1" sqref="F13:F19 F23:F24 F26:F27 F29:F30 F32:F33 F35:F36 F40:F41 F43:F44 F46:F47 F49:F50 F52:F53 F55 F57 F59:F60 F62:F68 F116:F125 F361:F365 F94:F103 F83:F92 F105:F114 F72:F81 F128:F137 F150:F159 F139:F148 F161:F170 F350:F359 F193:F202 F182:F191 F204:F213 F216:F225 F227:F236 F249:F258 F260:F269 F272:F281 F238:F247 F283:F292 F305:F314 F317:F326 F328:F337 F294:F303 F339:F348 F172:F179" xr:uid="{00000000-0002-0000-0200-000001000000}">
      <formula1>"X"</formula1>
    </dataValidation>
  </dataValidations>
  <hyperlinks>
    <hyperlink ref="E33" r:id="rId1" display="Run@Rate activities are not included in the APQP planning seen for 946." xr:uid="{F066D449-CBE2-4D38-863A-646DBDD8610D}"/>
  </hyperlinks>
  <pageMargins left="0.59055118110236227" right="0.39370078740157483" top="0.59055118110236227" bottom="0.39370078740157483" header="0.19685039370078741" footer="0.19685039370078741"/>
  <pageSetup paperSize="9" scale="81" fitToHeight="0" orientation="landscape" r:id="rId2"/>
  <headerFooter scaleWithDoc="0">
    <oddHeader>&amp;L&amp;8VDA 6.3 Process Audit - Revision  2016</oddHeader>
    <oddFooter>&amp;L&amp;8QM-18_s2_ed.6-Audit_Report_VDA_6.3 - Questions&amp;R&amp;8Page &amp;P of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21507" r:id="rId5" name="Check Box 3">
              <controlPr defaultSize="0" autoFill="0" autoLine="0" autoPict="0" macro="[0]!AuditP2">
                <anchor moveWithCells="1">
                  <from>
                    <xdr:col>2</xdr:col>
                    <xdr:colOff>95250</xdr:colOff>
                    <xdr:row>11</xdr:row>
                    <xdr:rowOff>190500</xdr:rowOff>
                  </from>
                  <to>
                    <xdr:col>3</xdr:col>
                    <xdr:colOff>0</xdr:colOff>
                    <xdr:row>12</xdr:row>
                    <xdr:rowOff>0</xdr:rowOff>
                  </to>
                </anchor>
              </controlPr>
            </control>
          </mc:Choice>
        </mc:AlternateContent>
        <mc:AlternateContent xmlns:mc="http://schemas.openxmlformats.org/markup-compatibility/2006">
          <mc:Choice Requires="x14">
            <control shapeId="21509" r:id="rId6" name="Check Box 5">
              <controlPr defaultSize="0" autoFill="0" autoLine="0" autoPict="0" macro="[0]!AuditP3">
                <anchor moveWithCells="1">
                  <from>
                    <xdr:col>2</xdr:col>
                    <xdr:colOff>9525</xdr:colOff>
                    <xdr:row>19</xdr:row>
                    <xdr:rowOff>361950</xdr:rowOff>
                  </from>
                  <to>
                    <xdr:col>3</xdr:col>
                    <xdr:colOff>0</xdr:colOff>
                    <xdr:row>20</xdr:row>
                    <xdr:rowOff>295275</xdr:rowOff>
                  </to>
                </anchor>
              </controlPr>
            </control>
          </mc:Choice>
        </mc:AlternateContent>
        <mc:AlternateContent xmlns:mc="http://schemas.openxmlformats.org/markup-compatibility/2006">
          <mc:Choice Requires="x14">
            <control shapeId="21510" r:id="rId7" name="Check Box 6">
              <controlPr defaultSize="0" autoFill="0" autoLine="0" autoPict="0" macro="[0]!AuditP4">
                <anchor moveWithCells="1">
                  <from>
                    <xdr:col>2</xdr:col>
                    <xdr:colOff>47625</xdr:colOff>
                    <xdr:row>36</xdr:row>
                    <xdr:rowOff>47625</xdr:rowOff>
                  </from>
                  <to>
                    <xdr:col>3</xdr:col>
                    <xdr:colOff>0</xdr:colOff>
                    <xdr:row>38</xdr:row>
                    <xdr:rowOff>114300</xdr:rowOff>
                  </to>
                </anchor>
              </controlPr>
            </control>
          </mc:Choice>
        </mc:AlternateContent>
        <mc:AlternateContent xmlns:mc="http://schemas.openxmlformats.org/markup-compatibility/2006">
          <mc:Choice Requires="x14">
            <control shapeId="21511" r:id="rId8" name="Check Box 7">
              <controlPr defaultSize="0" autoFill="0" autoLine="0" autoPict="0" macro="[0]!AuditP5">
                <anchor moveWithCells="1">
                  <from>
                    <xdr:col>2</xdr:col>
                    <xdr:colOff>47625</xdr:colOff>
                    <xdr:row>60</xdr:row>
                    <xdr:rowOff>85725</xdr:rowOff>
                  </from>
                  <to>
                    <xdr:col>3</xdr:col>
                    <xdr:colOff>0</xdr:colOff>
                    <xdr:row>61</xdr:row>
                    <xdr:rowOff>0</xdr:rowOff>
                  </to>
                </anchor>
              </controlPr>
            </control>
          </mc:Choice>
        </mc:AlternateContent>
        <mc:AlternateContent xmlns:mc="http://schemas.openxmlformats.org/markup-compatibility/2006">
          <mc:Choice Requires="x14">
            <control shapeId="21512" r:id="rId9" name="Check Box 8">
              <controlPr defaultSize="0" autoFill="0" autoLine="0" autoPict="0" macro="[0]!AuditP6">
                <anchor moveWithCells="1">
                  <from>
                    <xdr:col>2</xdr:col>
                    <xdr:colOff>47625</xdr:colOff>
                    <xdr:row>68</xdr:row>
                    <xdr:rowOff>85725</xdr:rowOff>
                  </from>
                  <to>
                    <xdr:col>2</xdr:col>
                    <xdr:colOff>2514600</xdr:colOff>
                    <xdr:row>81</xdr:row>
                    <xdr:rowOff>295275</xdr:rowOff>
                  </to>
                </anchor>
              </controlPr>
            </control>
          </mc:Choice>
        </mc:AlternateContent>
        <mc:AlternateContent xmlns:mc="http://schemas.openxmlformats.org/markup-compatibility/2006">
          <mc:Choice Requires="x14">
            <control shapeId="21513" r:id="rId10" name="Check Box 9">
              <controlPr defaultSize="0" autoFill="0" autoLine="0" autoPict="0" macro="[0]!AuditP7">
                <anchor moveWithCells="1">
                  <from>
                    <xdr:col>2</xdr:col>
                    <xdr:colOff>57150</xdr:colOff>
                    <xdr:row>359</xdr:row>
                    <xdr:rowOff>76200</xdr:rowOff>
                  </from>
                  <to>
                    <xdr:col>3</xdr:col>
                    <xdr:colOff>0</xdr:colOff>
                    <xdr:row>360</xdr:row>
                    <xdr:rowOff>0</xdr:rowOff>
                  </to>
                </anchor>
              </controlPr>
            </control>
          </mc:Choice>
        </mc:AlternateContent>
        <mc:AlternateContent xmlns:mc="http://schemas.openxmlformats.org/markup-compatibility/2006">
          <mc:Choice Requires="x14">
            <control shapeId="21516" r:id="rId11" name="Button 12">
              <controlPr defaultSize="0" print="0" autoFill="0" autoPict="0" macro="[0]!Macro1" altText="Generate Audit results">
                <anchor moveWithCells="1" sizeWithCells="1">
                  <from>
                    <xdr:col>2</xdr:col>
                    <xdr:colOff>5172075</xdr:colOff>
                    <xdr:row>7</xdr:row>
                    <xdr:rowOff>104775</xdr:rowOff>
                  </from>
                  <to>
                    <xdr:col>3</xdr:col>
                    <xdr:colOff>457200</xdr:colOff>
                    <xdr:row>8</xdr:row>
                    <xdr:rowOff>428625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Gru1">
    <tabColor indexed="17"/>
    <pageSetUpPr fitToPage="1"/>
  </sheetPr>
  <dimension ref="A1:CB237"/>
  <sheetViews>
    <sheetView showGridLines="0" topLeftCell="B42" zoomScale="80" zoomScaleNormal="80" zoomScaleSheetLayoutView="100" workbookViewId="0">
      <selection activeCell="AX45" sqref="AX45"/>
    </sheetView>
  </sheetViews>
  <sheetFormatPr baseColWidth="10" defaultColWidth="0" defaultRowHeight="14.25"/>
  <cols>
    <col min="1" max="1" width="10.140625" style="197" hidden="1" customWidth="1"/>
    <col min="2" max="2" width="10" style="23" customWidth="1"/>
    <col min="3" max="3" width="3.42578125" style="23" customWidth="1"/>
    <col min="4" max="27" width="5.7109375" style="23" customWidth="1"/>
    <col min="28" max="28" width="7.28515625" style="23" customWidth="1"/>
    <col min="29" max="29" width="6.28515625" style="23" customWidth="1"/>
    <col min="30" max="41" width="5.7109375" style="23" customWidth="1"/>
    <col min="42" max="42" width="7.140625" style="23" customWidth="1"/>
    <col min="43" max="43" width="3" style="23" customWidth="1"/>
    <col min="44" max="44" width="4.5703125" style="23" customWidth="1"/>
    <col min="45" max="45" width="3.140625" style="23" customWidth="1"/>
    <col min="46" max="46" width="10.42578125" style="23" customWidth="1"/>
    <col min="47" max="47" width="5.5703125" style="23" customWidth="1"/>
    <col min="48" max="49" width="4.7109375" style="23" customWidth="1"/>
    <col min="50" max="57" width="5.42578125" style="23" customWidth="1"/>
    <col min="58" max="60" width="7.140625" style="23" customWidth="1"/>
    <col min="61" max="61" width="4.140625" style="23" customWidth="1"/>
    <col min="62" max="62" width="3" style="23" customWidth="1"/>
    <col min="63" max="63" width="11.42578125" style="23" hidden="1" customWidth="1"/>
    <col min="64" max="80" width="9.7109375" style="23" hidden="1" customWidth="1"/>
    <col min="81" max="16384" width="11.42578125" style="23" hidden="1"/>
  </cols>
  <sheetData>
    <row r="1" spans="1:80" ht="19.5" customHeight="1">
      <c r="B1" s="1181"/>
      <c r="C1" s="1182"/>
      <c r="D1" s="1182"/>
      <c r="E1" s="1182"/>
      <c r="F1" s="1182"/>
      <c r="G1" s="1182"/>
      <c r="H1" s="1183"/>
      <c r="I1" s="1187" t="e">
        <f>#REF!</f>
        <v>#REF!</v>
      </c>
      <c r="J1" s="1188"/>
      <c r="K1" s="1188"/>
      <c r="L1" s="1188"/>
      <c r="M1" s="1188"/>
      <c r="N1" s="1188"/>
      <c r="O1" s="1188"/>
      <c r="P1" s="1188"/>
      <c r="Q1" s="1188"/>
      <c r="R1" s="1188"/>
      <c r="S1" s="1188"/>
      <c r="T1" s="1188"/>
      <c r="U1" s="1188"/>
      <c r="V1" s="1188"/>
      <c r="W1" s="1188"/>
      <c r="X1" s="1188"/>
      <c r="Y1" s="1188"/>
      <c r="Z1" s="1188"/>
      <c r="AA1" s="1188"/>
      <c r="AB1" s="1188"/>
      <c r="AC1" s="1188"/>
      <c r="AD1" s="1188"/>
      <c r="AE1" s="1188"/>
      <c r="AF1" s="1188"/>
      <c r="AG1" s="1188"/>
      <c r="AH1" s="1188"/>
      <c r="AI1" s="1188"/>
      <c r="AJ1" s="1188"/>
      <c r="AK1" s="1188"/>
      <c r="AL1" s="1188"/>
      <c r="AM1" s="1188"/>
      <c r="AN1" s="1188"/>
      <c r="AO1" s="1188"/>
      <c r="AP1" s="1188"/>
      <c r="AQ1" s="1188"/>
      <c r="AR1" s="1188"/>
      <c r="AS1" s="1188"/>
      <c r="AT1" s="1188"/>
      <c r="AU1" s="1188"/>
      <c r="AV1" s="1188"/>
      <c r="AW1" s="1188"/>
      <c r="AX1" s="1188"/>
      <c r="AY1" s="1188"/>
      <c r="AZ1" s="1188"/>
      <c r="BA1" s="1188"/>
      <c r="BB1" s="1188"/>
      <c r="BC1" s="1189"/>
      <c r="BD1" s="320" t="e">
        <f>#REF!</f>
        <v>#REF!</v>
      </c>
      <c r="BE1" s="139"/>
      <c r="BF1" s="1193">
        <f>IF('Input Form'!C9="","",'Input Form'!C9)</f>
        <v>29885</v>
      </c>
      <c r="BG1" s="1193"/>
      <c r="BH1" s="1193"/>
      <c r="BI1" s="1194"/>
      <c r="BJ1" s="19"/>
    </row>
    <row r="2" spans="1:80" ht="11.25" customHeight="1" thickBot="1">
      <c r="B2" s="1184"/>
      <c r="C2" s="1185"/>
      <c r="D2" s="1185"/>
      <c r="E2" s="1185"/>
      <c r="F2" s="1185"/>
      <c r="G2" s="1185"/>
      <c r="H2" s="1186"/>
      <c r="I2" s="1190"/>
      <c r="J2" s="1191"/>
      <c r="K2" s="1191"/>
      <c r="L2" s="1191"/>
      <c r="M2" s="1191"/>
      <c r="N2" s="1191"/>
      <c r="O2" s="1191"/>
      <c r="P2" s="1191"/>
      <c r="Q2" s="1191"/>
      <c r="R2" s="1191"/>
      <c r="S2" s="1191"/>
      <c r="T2" s="1191"/>
      <c r="U2" s="1191"/>
      <c r="V2" s="1191"/>
      <c r="W2" s="1191"/>
      <c r="X2" s="1191"/>
      <c r="Y2" s="1191"/>
      <c r="Z2" s="1191"/>
      <c r="AA2" s="1191"/>
      <c r="AB2" s="1191"/>
      <c r="AC2" s="1191"/>
      <c r="AD2" s="1191"/>
      <c r="AE2" s="1191"/>
      <c r="AF2" s="1191"/>
      <c r="AG2" s="1191"/>
      <c r="AH2" s="1191"/>
      <c r="AI2" s="1191"/>
      <c r="AJ2" s="1191"/>
      <c r="AK2" s="1191"/>
      <c r="AL2" s="1191"/>
      <c r="AM2" s="1191"/>
      <c r="AN2" s="1191"/>
      <c r="AO2" s="1191"/>
      <c r="AP2" s="1191"/>
      <c r="AQ2" s="1191"/>
      <c r="AR2" s="1191"/>
      <c r="AS2" s="1191"/>
      <c r="AT2" s="1191"/>
      <c r="AU2" s="1191"/>
      <c r="AV2" s="1191"/>
      <c r="AW2" s="1191"/>
      <c r="AX2" s="1191"/>
      <c r="AY2" s="1191"/>
      <c r="AZ2" s="1191"/>
      <c r="BA2" s="1191"/>
      <c r="BB2" s="1191"/>
      <c r="BC2" s="1192"/>
      <c r="BD2" s="143"/>
      <c r="BE2" s="144"/>
      <c r="BF2" s="144"/>
      <c r="BG2" s="144"/>
      <c r="BH2" s="144"/>
      <c r="BI2" s="145"/>
      <c r="BJ2" s="19"/>
    </row>
    <row r="3" spans="1:80" ht="21.75" customHeight="1">
      <c r="A3" s="200" t="s">
        <v>208</v>
      </c>
      <c r="B3" s="33"/>
      <c r="C3" s="147" t="s">
        <v>24</v>
      </c>
      <c r="D3" s="22"/>
      <c r="E3" s="182" t="e">
        <f>#REF!</f>
        <v>#REF!</v>
      </c>
      <c r="F3" s="22"/>
      <c r="G3" s="22"/>
      <c r="H3" s="22"/>
      <c r="I3" s="22"/>
      <c r="J3" s="22"/>
      <c r="K3" s="22"/>
      <c r="L3" s="22"/>
      <c r="M3" s="22"/>
      <c r="N3" s="22"/>
      <c r="O3" s="25"/>
      <c r="P3" s="22"/>
      <c r="Q3" s="22"/>
      <c r="R3" s="22"/>
      <c r="S3" s="22"/>
      <c r="T3" s="22"/>
      <c r="U3" s="22"/>
      <c r="V3" s="22"/>
      <c r="W3" s="22"/>
      <c r="X3" s="22"/>
      <c r="Y3" s="22"/>
      <c r="Z3" s="22"/>
      <c r="AA3" s="22"/>
      <c r="AB3" s="22"/>
      <c r="AC3" s="22"/>
      <c r="AD3" s="22"/>
      <c r="AE3" s="22"/>
      <c r="AF3" s="22"/>
      <c r="AG3" s="22"/>
      <c r="AH3" s="22"/>
      <c r="AI3" s="22"/>
      <c r="AJ3" s="22"/>
      <c r="AK3" s="22"/>
      <c r="AL3" s="22"/>
      <c r="AM3" s="22"/>
      <c r="AN3" s="22"/>
      <c r="AO3" s="22"/>
      <c r="AP3" s="22"/>
      <c r="AQ3" s="22"/>
      <c r="AR3" s="22"/>
      <c r="AS3" s="22"/>
      <c r="AT3" s="22"/>
      <c r="AU3" s="22"/>
      <c r="AV3" s="22"/>
      <c r="AW3" s="22"/>
      <c r="AX3" s="22"/>
      <c r="AY3" s="22"/>
      <c r="AZ3" s="22"/>
      <c r="BA3" s="22"/>
      <c r="BB3" s="22"/>
      <c r="BC3" s="22"/>
      <c r="BD3" s="22"/>
      <c r="BE3" s="22"/>
      <c r="BF3" s="22"/>
      <c r="BG3" s="22"/>
      <c r="BH3" s="22"/>
      <c r="BI3" s="34"/>
      <c r="BJ3" s="22"/>
    </row>
    <row r="4" spans="1:80" ht="8.25" customHeight="1">
      <c r="B4" s="33"/>
      <c r="C4" s="22"/>
      <c r="D4" s="22"/>
      <c r="E4" s="22"/>
      <c r="F4" s="148"/>
      <c r="G4" s="22"/>
      <c r="H4" s="22"/>
      <c r="I4" s="22"/>
      <c r="J4" s="22"/>
      <c r="K4" s="22"/>
      <c r="L4" s="22"/>
      <c r="M4" s="22"/>
      <c r="N4" s="22"/>
      <c r="O4" s="25"/>
      <c r="P4" s="22"/>
      <c r="Q4" s="22"/>
      <c r="R4" s="22"/>
      <c r="S4" s="22"/>
      <c r="T4" s="22"/>
      <c r="U4" s="22"/>
      <c r="V4" s="22"/>
      <c r="W4" s="22"/>
      <c r="X4" s="22"/>
      <c r="Y4" s="22"/>
      <c r="Z4" s="22"/>
      <c r="AA4" s="22"/>
      <c r="AB4" s="22"/>
      <c r="AC4" s="22"/>
      <c r="AD4" s="22"/>
      <c r="AE4" s="22"/>
      <c r="AF4" s="22"/>
      <c r="AG4" s="22"/>
      <c r="AI4" s="22"/>
      <c r="AJ4" s="22"/>
      <c r="AK4" s="22"/>
      <c r="AL4" s="22"/>
      <c r="AM4" s="22"/>
      <c r="AN4" s="22"/>
      <c r="AO4" s="22"/>
      <c r="AP4" s="22"/>
      <c r="AQ4" s="22"/>
      <c r="AR4" s="22"/>
      <c r="AS4" s="22"/>
      <c r="AT4" s="22"/>
      <c r="AU4" s="22"/>
      <c r="AV4" s="22"/>
      <c r="AW4" s="22"/>
      <c r="AX4" s="22"/>
      <c r="AY4" s="22"/>
      <c r="AZ4" s="22"/>
      <c r="BA4" s="22"/>
      <c r="BB4" s="22"/>
      <c r="BC4" s="22"/>
      <c r="BD4" s="22"/>
      <c r="BE4"/>
      <c r="BF4"/>
      <c r="BG4"/>
      <c r="BH4"/>
      <c r="BI4" s="34"/>
      <c r="BJ4" s="22"/>
    </row>
    <row r="5" spans="1:80" ht="16.149999999999999" customHeight="1">
      <c r="A5" s="757" t="e">
        <f>#REF!</f>
        <v>#REF!</v>
      </c>
      <c r="B5" s="33"/>
      <c r="C5" s="181" t="s">
        <v>138</v>
      </c>
      <c r="D5" s="52" t="str">
        <f>Questions!C12</f>
        <v>Project management</v>
      </c>
      <c r="F5" s="22"/>
      <c r="G5" s="22"/>
      <c r="H5" s="22"/>
      <c r="I5" s="22"/>
      <c r="J5" s="22"/>
      <c r="K5" s="22"/>
      <c r="L5" s="22"/>
      <c r="M5" s="22"/>
      <c r="N5" s="22"/>
      <c r="O5" s="25"/>
      <c r="P5" s="22"/>
      <c r="Q5" s="22"/>
      <c r="R5" s="22"/>
      <c r="S5" s="22"/>
      <c r="T5" s="22"/>
      <c r="U5" s="22"/>
      <c r="V5" s="22"/>
      <c r="W5" s="22"/>
      <c r="X5" s="22"/>
      <c r="Y5" s="22"/>
      <c r="Z5" s="22"/>
      <c r="AA5" s="22"/>
      <c r="AB5" s="22"/>
      <c r="AC5" s="22"/>
      <c r="AD5" s="22"/>
      <c r="AE5" s="22"/>
      <c r="AF5" s="22"/>
      <c r="AG5" s="22"/>
      <c r="AM5" s="22"/>
      <c r="AN5" s="22"/>
      <c r="AO5" s="22"/>
      <c r="AP5" s="22"/>
      <c r="AQ5" s="141" t="e">
        <f>#REF!</f>
        <v>#REF!</v>
      </c>
      <c r="AR5" s="22"/>
      <c r="AS5" s="22"/>
      <c r="AT5" s="22"/>
      <c r="AU5" s="22"/>
      <c r="AV5" s="22"/>
      <c r="AW5" s="22"/>
      <c r="AX5" s="22"/>
      <c r="AY5" s="22"/>
      <c r="AZ5" s="22"/>
      <c r="BA5" s="22"/>
      <c r="BB5" s="22"/>
      <c r="BC5" s="22"/>
      <c r="BD5" s="22"/>
      <c r="BE5"/>
      <c r="BF5"/>
      <c r="BG5"/>
      <c r="BH5"/>
      <c r="BI5" s="34"/>
      <c r="BJ5" s="22"/>
    </row>
    <row r="6" spans="1:80" ht="6.75" customHeight="1">
      <c r="B6" s="33"/>
      <c r="C6" s="24"/>
      <c r="D6" s="22"/>
      <c r="E6" s="149"/>
      <c r="F6" s="22"/>
      <c r="G6" s="22"/>
      <c r="H6" s="22"/>
      <c r="I6" s="22"/>
      <c r="J6" s="22"/>
      <c r="K6" s="22"/>
      <c r="L6" s="22"/>
      <c r="M6" s="22"/>
      <c r="N6" s="22"/>
      <c r="O6" s="25"/>
      <c r="P6" s="22"/>
      <c r="Q6" s="22"/>
      <c r="R6" s="22"/>
      <c r="S6" s="22"/>
      <c r="T6" s="22"/>
      <c r="U6" s="22"/>
      <c r="V6" s="22"/>
      <c r="W6" s="22"/>
      <c r="X6" s="22"/>
      <c r="Y6" s="22"/>
      <c r="Z6" s="22"/>
      <c r="AA6" s="22"/>
      <c r="AB6" s="22"/>
      <c r="AC6" s="22"/>
      <c r="AD6" s="22"/>
      <c r="AE6" s="22"/>
      <c r="AF6" s="22"/>
      <c r="AG6" s="22"/>
      <c r="AH6"/>
      <c r="AI6" s="22"/>
      <c r="AJ6" s="22"/>
      <c r="AK6" s="22"/>
      <c r="AL6" s="22"/>
      <c r="AM6" s="22"/>
      <c r="AN6" s="22"/>
      <c r="AO6" s="22"/>
      <c r="AP6" s="22"/>
      <c r="AQ6" s="22"/>
      <c r="AR6" s="22"/>
      <c r="AS6" s="22"/>
      <c r="AT6" s="22"/>
      <c r="AU6" s="22"/>
      <c r="AV6" s="22"/>
      <c r="AW6" s="22"/>
      <c r="AX6" s="22"/>
      <c r="AY6" s="22"/>
      <c r="AZ6" s="22"/>
      <c r="BA6" s="22"/>
      <c r="BB6" s="22"/>
      <c r="BC6" s="22"/>
      <c r="BD6" s="22"/>
      <c r="BE6"/>
      <c r="BF6"/>
      <c r="BG6"/>
      <c r="BH6"/>
      <c r="BI6" s="34"/>
      <c r="BJ6" s="22"/>
    </row>
    <row r="7" spans="1:80" ht="15" customHeight="1" thickBot="1">
      <c r="A7" s="197" t="s">
        <v>385</v>
      </c>
      <c r="B7" s="33"/>
      <c r="C7" s="24"/>
      <c r="D7" s="321" t="s">
        <v>56</v>
      </c>
      <c r="E7" s="321" t="s">
        <v>186</v>
      </c>
      <c r="F7" s="321" t="s">
        <v>188</v>
      </c>
      <c r="G7" s="321" t="s">
        <v>106</v>
      </c>
      <c r="H7" s="465" t="s">
        <v>304</v>
      </c>
      <c r="I7" s="465" t="s">
        <v>315</v>
      </c>
      <c r="J7" s="321" t="s">
        <v>192</v>
      </c>
      <c r="Q7" s="21"/>
      <c r="R7" s="21"/>
      <c r="S7" s="22"/>
      <c r="T7" s="22"/>
      <c r="U7" s="22"/>
      <c r="V7" s="22"/>
      <c r="W7" s="22"/>
      <c r="X7" s="22"/>
      <c r="Y7" s="22"/>
      <c r="Z7" s="22"/>
      <c r="AA7" s="22"/>
      <c r="AB7" s="22"/>
      <c r="AC7" s="22"/>
      <c r="AD7" s="22"/>
      <c r="AE7" s="22"/>
      <c r="AF7" s="22"/>
      <c r="AG7" s="22"/>
      <c r="AH7"/>
      <c r="AI7" s="22"/>
      <c r="AJ7" s="22"/>
      <c r="AK7" s="22"/>
      <c r="AL7" s="22"/>
      <c r="AM7" s="22"/>
      <c r="AN7" s="22"/>
      <c r="AO7" s="22"/>
      <c r="AP7" s="22"/>
      <c r="AQ7" s="22"/>
      <c r="AR7" s="22"/>
      <c r="AS7" s="22"/>
      <c r="AT7" s="22"/>
      <c r="AU7" s="22"/>
      <c r="AV7" s="22"/>
      <c r="AW7" s="22"/>
      <c r="AX7" s="22"/>
      <c r="AY7" s="22"/>
      <c r="AZ7" s="22"/>
      <c r="BA7" s="22"/>
      <c r="BB7" s="22"/>
      <c r="BC7" s="22"/>
      <c r="BD7" s="22"/>
      <c r="BE7"/>
      <c r="BF7"/>
      <c r="BG7"/>
      <c r="BH7"/>
      <c r="BI7" s="34"/>
      <c r="BJ7" s="22"/>
      <c r="BL7" s="554" t="e">
        <f>#REF!</f>
        <v>#REF!</v>
      </c>
      <c r="BM7" s="477" t="e">
        <f>#REF!</f>
        <v>#REF!</v>
      </c>
      <c r="BN7" s="477" t="e">
        <f>#REF!</f>
        <v>#REF!</v>
      </c>
      <c r="BO7" s="477" t="e">
        <f>#REF!</f>
        <v>#REF!</v>
      </c>
      <c r="BP7" s="477" t="e">
        <f>#REF!</f>
        <v>#REF!</v>
      </c>
    </row>
    <row r="8" spans="1:80" ht="15" customHeight="1" thickBot="1">
      <c r="A8" s="198" t="e">
        <f>IF(COUNT(D8:J8)=0,BL7,IF(MIN(D8:J8)=0,"B","A"))</f>
        <v>#REF!</v>
      </c>
      <c r="B8" s="33"/>
      <c r="C8" s="24"/>
      <c r="D8" s="189" t="e">
        <f>IF(A5=FALSE,$BL$7,IF(ISBLANK(Questions!D13),"--",Questions!D13))</f>
        <v>#REF!</v>
      </c>
      <c r="E8" s="189" t="e">
        <f>IF(A5=FALSE,$BL$7,IF(ISBLANK(Questions!D14),"--",Questions!D14))</f>
        <v>#REF!</v>
      </c>
      <c r="F8" s="189" t="e">
        <f>IF(A5=FALSE,$BL$7,IF(ISBLANK(Questions!D15),"--",Questions!D15))</f>
        <v>#REF!</v>
      </c>
      <c r="G8" s="189" t="e">
        <f>IF(A5=FALSE,$BL$7,IF(ISBLANK(Questions!D16),"--",Questions!D16))</f>
        <v>#REF!</v>
      </c>
      <c r="H8" s="470" t="e">
        <f>IF(A5=FALSE,$BL$7,IF(ISBLANK(Questions!D17),"--",Questions!D17))</f>
        <v>#REF!</v>
      </c>
      <c r="I8" s="470" t="e">
        <f>IF(A5=FALSE,$BL$7,IF(ISBLANK(Questions!D18),"--",Questions!D18))</f>
        <v>#REF!</v>
      </c>
      <c r="J8" s="189" t="e">
        <f>IF(A5=FALSE,$BL$7,IF(ISBLANK(Questions!D19),"--",Questions!D19))</f>
        <v>#REF!</v>
      </c>
      <c r="Q8" s="22"/>
      <c r="R8" s="22"/>
      <c r="S8" s="22"/>
      <c r="T8" s="22"/>
      <c r="U8" s="22"/>
      <c r="V8" s="22"/>
      <c r="W8" s="22"/>
      <c r="X8" s="22"/>
      <c r="Y8" s="22"/>
      <c r="Z8" s="22"/>
      <c r="AA8" s="22"/>
      <c r="AB8" s="22"/>
      <c r="AC8" s="22"/>
      <c r="AD8" s="22"/>
      <c r="AE8" s="22"/>
      <c r="AF8" s="22"/>
      <c r="AG8" s="22"/>
      <c r="AH8"/>
      <c r="AI8" s="22"/>
      <c r="AJ8" s="22"/>
      <c r="AK8" s="22"/>
      <c r="AL8" s="22"/>
      <c r="AM8" s="22"/>
      <c r="AN8" s="22"/>
      <c r="AO8" s="22"/>
      <c r="AP8" s="22"/>
      <c r="AQ8" s="1179" t="s">
        <v>494</v>
      </c>
      <c r="AR8" s="1180"/>
      <c r="AS8" s="1195" t="e">
        <f>IF(AND(A5,BM8&gt;=BN8),ROUND(BP8/BO8,2),BL7)</f>
        <v>#REF!</v>
      </c>
      <c r="AT8" s="1196"/>
      <c r="AU8"/>
      <c r="AV8" s="22"/>
      <c r="AW8" s="22"/>
      <c r="AX8" s="22"/>
      <c r="AY8" s="22"/>
      <c r="AZ8" s="22"/>
      <c r="BA8" s="22"/>
      <c r="BB8" s="22"/>
      <c r="BC8" s="22"/>
      <c r="BD8" s="22"/>
      <c r="BE8"/>
      <c r="BF8"/>
      <c r="BG8"/>
      <c r="BH8"/>
      <c r="BI8" s="34"/>
      <c r="BJ8" s="22"/>
      <c r="BL8" s="575">
        <f>COUNTIF(D8:J8,"&gt;-")</f>
        <v>0</v>
      </c>
      <c r="BM8" s="575">
        <f>COUNT(D8:J8)</f>
        <v>0</v>
      </c>
      <c r="BN8" s="575">
        <v>5</v>
      </c>
      <c r="BO8" s="575" t="e">
        <f>IF(AND($A5,BM8&gt;=BN8),BM8*10,"--")</f>
        <v>#REF!</v>
      </c>
      <c r="BP8" s="575" t="e">
        <f>IF(AND($A5,BM8&gt;=BN8),SUM(D8:J8),"--")</f>
        <v>#REF!</v>
      </c>
    </row>
    <row r="9" spans="1:80" ht="6.75" customHeight="1">
      <c r="B9" s="33"/>
      <c r="C9" s="22"/>
      <c r="D9" s="22"/>
      <c r="E9" s="22"/>
      <c r="F9" s="22"/>
      <c r="G9" s="22"/>
      <c r="H9" s="22"/>
      <c r="I9" s="22"/>
      <c r="J9" s="22"/>
      <c r="K9" s="22"/>
      <c r="L9" s="22"/>
      <c r="M9" s="22"/>
      <c r="N9" s="22"/>
      <c r="O9" s="25"/>
      <c r="P9" s="22"/>
      <c r="Q9" s="22"/>
      <c r="R9" s="22"/>
      <c r="S9" s="22"/>
      <c r="T9" s="22"/>
      <c r="U9" s="22"/>
      <c r="V9" s="22"/>
      <c r="W9" s="22"/>
      <c r="X9" s="22"/>
      <c r="Y9" s="22"/>
      <c r="Z9" s="22"/>
      <c r="AA9" s="22"/>
      <c r="AB9" s="22"/>
      <c r="AC9" s="22"/>
      <c r="AD9" s="22"/>
      <c r="AE9" s="22"/>
      <c r="AF9" s="22"/>
      <c r="AG9" s="22"/>
      <c r="AI9" s="22"/>
      <c r="AJ9" s="22"/>
      <c r="AK9" s="22"/>
      <c r="AL9" s="22"/>
      <c r="AM9" s="22"/>
      <c r="AN9" s="22"/>
      <c r="AO9" s="22"/>
      <c r="AP9" s="22"/>
      <c r="AQ9" s="22"/>
      <c r="AR9" s="22"/>
      <c r="AS9" s="22"/>
      <c r="AT9" s="22"/>
      <c r="AU9" s="22"/>
      <c r="AV9" s="22"/>
      <c r="AW9" s="22"/>
      <c r="AX9" s="22"/>
      <c r="AY9" s="22"/>
      <c r="AZ9" s="22"/>
      <c r="BA9" s="22"/>
      <c r="BB9" s="22"/>
      <c r="BC9" s="22"/>
      <c r="BD9" s="22"/>
      <c r="BE9"/>
      <c r="BF9"/>
      <c r="BG9"/>
      <c r="BH9"/>
      <c r="BI9" s="34"/>
      <c r="BJ9" s="22"/>
    </row>
    <row r="10" spans="1:80" ht="18" customHeight="1">
      <c r="A10" s="758" t="e">
        <f>#REF!</f>
        <v>#REF!</v>
      </c>
      <c r="B10" s="33"/>
      <c r="C10" s="488" t="s">
        <v>139</v>
      </c>
      <c r="D10" s="488" t="str">
        <f>Questions!C20</f>
        <v>Planning the product and process development</v>
      </c>
      <c r="E10" s="489"/>
      <c r="F10" s="489"/>
      <c r="G10" s="489"/>
      <c r="H10" s="489"/>
      <c r="I10" s="489"/>
      <c r="J10" s="489"/>
      <c r="K10" s="489"/>
      <c r="L10" s="489"/>
      <c r="M10" s="489"/>
      <c r="N10" s="489"/>
      <c r="O10" s="490"/>
      <c r="P10" s="489"/>
      <c r="Q10" s="489"/>
      <c r="R10" s="489"/>
      <c r="S10" s="489"/>
      <c r="T10" s="489"/>
      <c r="U10" s="489"/>
      <c r="V10" s="489"/>
      <c r="W10" s="489"/>
      <c r="X10" s="489"/>
      <c r="Y10" s="489"/>
      <c r="Z10" s="489"/>
      <c r="AA10" s="489"/>
      <c r="AB10" s="489"/>
      <c r="AC10" s="489"/>
      <c r="AD10" s="489"/>
      <c r="AE10" s="489"/>
      <c r="AF10" s="489"/>
      <c r="AG10" s="489"/>
      <c r="AH10" s="489"/>
      <c r="AI10" s="489"/>
      <c r="AJ10" s="489"/>
      <c r="AK10" s="489"/>
      <c r="AL10" s="489"/>
      <c r="AM10" s="489"/>
      <c r="AN10" s="489"/>
      <c r="AO10" s="489"/>
      <c r="AP10" s="489"/>
      <c r="AQ10" s="489"/>
      <c r="AR10" s="489"/>
      <c r="AS10" s="489"/>
      <c r="AT10" s="489"/>
      <c r="AU10" s="489"/>
      <c r="AV10" s="489"/>
      <c r="AW10" s="489"/>
      <c r="AX10" s="489"/>
      <c r="AY10" s="489"/>
      <c r="AZ10" s="489"/>
      <c r="BA10" s="489"/>
      <c r="BB10" s="489"/>
      <c r="BC10" s="489"/>
      <c r="BD10" s="489"/>
      <c r="BE10" s="493"/>
      <c r="BF10" s="493"/>
      <c r="BG10" s="493"/>
      <c r="BH10" s="493"/>
      <c r="BI10" s="491"/>
      <c r="BJ10" s="22"/>
    </row>
    <row r="11" spans="1:80" ht="6" customHeight="1">
      <c r="B11" s="33"/>
      <c r="C11" s="25"/>
      <c r="D11" s="25"/>
      <c r="E11" s="22"/>
      <c r="F11" s="22"/>
      <c r="G11" s="22"/>
      <c r="H11" s="22"/>
      <c r="I11" s="22"/>
      <c r="J11" s="22"/>
      <c r="K11" s="22"/>
      <c r="L11" s="22"/>
      <c r="M11" s="22"/>
      <c r="N11" s="22"/>
      <c r="O11" s="25"/>
      <c r="P11" s="22"/>
      <c r="Q11" s="22"/>
      <c r="R11" s="22"/>
      <c r="S11" s="22"/>
      <c r="T11" s="22"/>
      <c r="U11" s="22"/>
      <c r="V11" s="22"/>
      <c r="W11" s="22"/>
      <c r="X11" s="22"/>
      <c r="Y11" s="22"/>
      <c r="Z11" s="22"/>
      <c r="AA11" s="22"/>
      <c r="AB11" s="22"/>
      <c r="AF11" s="22"/>
      <c r="AG11" s="22"/>
      <c r="AH11" s="22"/>
      <c r="AI11" s="22"/>
      <c r="AJ11" s="22"/>
      <c r="AK11" s="22"/>
      <c r="AL11" s="22"/>
      <c r="AM11" s="22"/>
      <c r="AN11" s="22"/>
      <c r="AO11" s="22"/>
      <c r="AP11" s="22"/>
      <c r="AQ11" s="22"/>
      <c r="AR11" s="22"/>
      <c r="AS11" s="22"/>
      <c r="AT11" s="22"/>
      <c r="AU11" s="22"/>
      <c r="AV11" s="22"/>
      <c r="AW11" s="22"/>
      <c r="AX11" s="22"/>
      <c r="AY11" s="22"/>
      <c r="AZ11" s="22"/>
      <c r="BA11" s="22"/>
      <c r="BB11" s="22"/>
      <c r="BC11" s="22"/>
      <c r="BD11" s="22"/>
      <c r="BE11"/>
      <c r="BF11"/>
      <c r="BG11"/>
      <c r="BH11"/>
      <c r="BI11" s="34"/>
      <c r="BJ11" s="22"/>
    </row>
    <row r="12" spans="1:80" ht="14.1" customHeight="1">
      <c r="B12" s="33"/>
      <c r="C12" s="25"/>
      <c r="D12" s="150" t="str">
        <f>Questions!C23</f>
        <v>Product</v>
      </c>
      <c r="F12" s="22"/>
      <c r="G12" s="22"/>
      <c r="H12" s="22"/>
      <c r="I12" s="22"/>
      <c r="K12" s="22"/>
      <c r="L12" s="22"/>
      <c r="M12" s="22"/>
      <c r="N12" s="22"/>
      <c r="O12" s="150" t="str">
        <f>Questions!C24</f>
        <v>Process</v>
      </c>
      <c r="P12" s="22"/>
      <c r="R12" s="150"/>
      <c r="S12" s="150"/>
      <c r="T12" s="150"/>
      <c r="U12" s="150"/>
      <c r="V12" s="150"/>
      <c r="W12" s="150"/>
      <c r="X12" s="150"/>
      <c r="AM12" s="22"/>
      <c r="AN12" s="22"/>
      <c r="AO12" s="22"/>
      <c r="AP12" s="22"/>
      <c r="AQ12" s="22"/>
      <c r="AR12" s="22"/>
      <c r="AS12" s="22"/>
      <c r="AT12" s="22"/>
      <c r="AU12" s="22"/>
      <c r="AV12" s="22"/>
      <c r="AW12" s="22"/>
      <c r="AX12" s="22"/>
      <c r="AY12" s="22"/>
      <c r="AZ12" s="22"/>
      <c r="BA12" s="22"/>
      <c r="BB12" s="22"/>
      <c r="BC12" s="22"/>
      <c r="BD12" s="22"/>
      <c r="BE12"/>
      <c r="BF12"/>
      <c r="BG12"/>
      <c r="BH12"/>
      <c r="BI12" s="34"/>
      <c r="BJ12" s="22"/>
    </row>
    <row r="13" spans="1:80" ht="15" thickBot="1">
      <c r="A13" s="197" t="s">
        <v>386</v>
      </c>
      <c r="B13" s="33"/>
      <c r="C13" s="22"/>
      <c r="D13" s="321" t="s">
        <v>112</v>
      </c>
      <c r="E13" s="465" t="s">
        <v>307</v>
      </c>
      <c r="F13" s="321" t="s">
        <v>114</v>
      </c>
      <c r="G13" s="321" t="s">
        <v>115</v>
      </c>
      <c r="H13" s="321" t="s">
        <v>116</v>
      </c>
      <c r="N13" s="20"/>
      <c r="O13" s="321" t="s">
        <v>112</v>
      </c>
      <c r="P13" s="465" t="s">
        <v>307</v>
      </c>
      <c r="Q13" s="321" t="s">
        <v>114</v>
      </c>
      <c r="R13" s="321" t="s">
        <v>115</v>
      </c>
      <c r="S13" s="321" t="s">
        <v>116</v>
      </c>
      <c r="Z13" s="321" t="s">
        <v>112</v>
      </c>
      <c r="AA13" s="465" t="s">
        <v>307</v>
      </c>
      <c r="AB13" s="321" t="s">
        <v>114</v>
      </c>
      <c r="AC13" s="321" t="s">
        <v>115</v>
      </c>
      <c r="AD13" s="321" t="s">
        <v>116</v>
      </c>
      <c r="AJ13" s="22"/>
      <c r="AM13" s="22"/>
      <c r="AN13" s="22"/>
      <c r="AO13" s="22"/>
      <c r="AP13" s="22"/>
      <c r="AQ13" s="22"/>
      <c r="AR13" s="22"/>
      <c r="AS13" s="22"/>
      <c r="AT13" s="22"/>
      <c r="AU13" s="22"/>
      <c r="AV13" s="22"/>
      <c r="AW13" s="22"/>
      <c r="AX13" s="22"/>
      <c r="AY13" s="22"/>
      <c r="AZ13" s="22"/>
      <c r="BA13" s="22"/>
      <c r="BB13" s="22"/>
      <c r="BC13" s="22"/>
      <c r="BD13" s="22"/>
      <c r="BE13"/>
      <c r="BF13"/>
      <c r="BG13"/>
      <c r="BH13"/>
      <c r="BI13" s="34"/>
      <c r="BJ13" s="22"/>
      <c r="BL13" s="477" t="e">
        <f>#REF!</f>
        <v>#REF!</v>
      </c>
      <c r="BM13" s="477" t="e">
        <f>#REF!</f>
        <v>#REF!</v>
      </c>
      <c r="BN13" s="477" t="e">
        <f>#REF!</f>
        <v>#REF!</v>
      </c>
      <c r="BO13" s="477" t="e">
        <f>#REF!</f>
        <v>#REF!</v>
      </c>
      <c r="BP13" s="477" t="e">
        <f>#REF!</f>
        <v>#REF!</v>
      </c>
      <c r="BR13" s="477" t="e">
        <f>#REF!</f>
        <v>#REF!</v>
      </c>
      <c r="BS13" s="477" t="e">
        <f>#REF!</f>
        <v>#REF!</v>
      </c>
      <c r="BT13" s="477" t="e">
        <f>#REF!</f>
        <v>#REF!</v>
      </c>
      <c r="BU13" s="477" t="e">
        <f>#REF!</f>
        <v>#REF!</v>
      </c>
      <c r="BV13" s="477" t="e">
        <f>#REF!</f>
        <v>#REF!</v>
      </c>
      <c r="BX13" s="477" t="e">
        <f>#REF!</f>
        <v>#REF!</v>
      </c>
      <c r="BY13" s="477" t="e">
        <f>#REF!</f>
        <v>#REF!</v>
      </c>
      <c r="BZ13" s="477" t="e">
        <f>#REF!</f>
        <v>#REF!</v>
      </c>
      <c r="CA13" s="477" t="e">
        <f>#REF!</f>
        <v>#REF!</v>
      </c>
      <c r="CB13" s="477" t="e">
        <f>#REF!</f>
        <v>#REF!</v>
      </c>
    </row>
    <row r="14" spans="1:80" s="26" customFormat="1" ht="15.75" thickBot="1">
      <c r="A14" s="198" t="e">
        <f>IF(COUNT(D14:H14)+COUNT(O14:S14)=0,BL13,IF(MIN(D14:H14,O14:S14)=0,"B","A"))</f>
        <v>#REF!</v>
      </c>
      <c r="B14" s="35"/>
      <c r="C14" s="150"/>
      <c r="D14" s="189" t="e">
        <f>IF($A$10=FALSE,$BL$13,IF(ISBLANK(Questions!$D23),"--",Questions!$D23))</f>
        <v>#REF!</v>
      </c>
      <c r="E14" s="470" t="e">
        <f>IF($A$10=FALSE,$BL$13,IF(ISBLANK(Questions!$D26),"--",Questions!$D26))</f>
        <v>#REF!</v>
      </c>
      <c r="F14" s="189" t="e">
        <f>IF($A$10=FALSE,$BL$13,IF(ISBLANK(Questions!$D29),"--",Questions!$D29))</f>
        <v>#REF!</v>
      </c>
      <c r="G14" s="189" t="e">
        <f>IF($A$10=FALSE,$BL$13,IF(ISBLANK(Questions!$D32),"--",Questions!$D32))</f>
        <v>#REF!</v>
      </c>
      <c r="H14" s="189" t="e">
        <f>IF($A$10=FALSE,$BL$13,IF(ISBLANK(Questions!$D35),"--",Questions!$D35))</f>
        <v>#REF!</v>
      </c>
      <c r="O14" s="189" t="e">
        <f>IF($A$10=FALSE,$BR$13,IF(ISBLANK(Questions!$D24),"--",Questions!$D24))</f>
        <v>#REF!</v>
      </c>
      <c r="P14" s="470" t="e">
        <f>IF($A$10=FALSE,$BR$13,IF(ISBLANK(Questions!$D27),"--",Questions!$D27))</f>
        <v>#REF!</v>
      </c>
      <c r="Q14" s="189" t="e">
        <f>IF($A$10=FALSE,$BR$13,IF(ISBLANK(Questions!$D30),"--",Questions!$D30))</f>
        <v>#REF!</v>
      </c>
      <c r="R14" s="189" t="e">
        <f>IF($A$10=FALSE,$BR$13,IF(ISBLANK(Questions!$D33),"--",Questions!$D33))</f>
        <v>#REF!</v>
      </c>
      <c r="S14" s="189" t="e">
        <f>IF($A$10=FALSE,$BR$13,IF(ISBLANK(Questions!$D36),"--",Questions!$D36))</f>
        <v>#REF!</v>
      </c>
      <c r="Z14" s="748" t="e">
        <f>IF(AND(D14=$BL$13,O14=$BR$13),$BX$13,IF(AND(D14="--",O14="--"),"--",IF(COUNT(D14,O14)&gt;0,ROUND(AVERAGE(D14,O14),2),"/")))</f>
        <v>#REF!</v>
      </c>
      <c r="AA14" s="749" t="e">
        <f>IF(AND(E14=$BL$13,P14=$BR$13),$BX$13,IF(AND(E14="--",P14="--"),"--",IF(COUNT(E14,P14)&gt;0,ROUND(AVERAGE(E14,P14),2),"/")))</f>
        <v>#REF!</v>
      </c>
      <c r="AB14" s="748" t="e">
        <f>IF(AND(F14=$BL$13,Q14=$BR$13),$BX$13,IF(AND(F14="--",Q14="--"),"--",IF(COUNT(F14,Q14)&gt;0,ROUND(AVERAGE(F14,Q14),2),"/")))</f>
        <v>#REF!</v>
      </c>
      <c r="AC14" s="748" t="e">
        <f>IF(AND(G14=$BL$13,R14=$BR$13),$BX$13,IF(AND(G14="--",R14="--"),"--",IF(COUNT(G14,R14)&gt;0,ROUND(AVERAGE(G14,R14),2),"/")))</f>
        <v>#REF!</v>
      </c>
      <c r="AD14" s="748" t="e">
        <f>IF(AND(H14=$BL$13,S14=$BR$13),$BX$13,IF(AND(H14="--",S14="--"),"--",IF(COUNT(H14,S14)&gt;0,ROUND(AVERAGE(H14,S14),2),"/")))</f>
        <v>#REF!</v>
      </c>
      <c r="AJ14" s="22"/>
      <c r="AM14"/>
      <c r="AN14"/>
      <c r="AO14"/>
      <c r="AP14"/>
      <c r="AQ14" s="1179" t="s">
        <v>495</v>
      </c>
      <c r="AR14" s="1180"/>
      <c r="AS14" s="1177" t="e">
        <f>IF(AND(L16=BL13,W16=BR13),BL13,ROUND(CB14/CA14,2))</f>
        <v>#REF!</v>
      </c>
      <c r="AT14" s="1178"/>
      <c r="AU14"/>
      <c r="AV14" s="153"/>
      <c r="AW14" s="153"/>
      <c r="AX14" s="153"/>
      <c r="AY14" s="153"/>
      <c r="AZ14" s="153"/>
      <c r="BA14" s="153"/>
      <c r="BB14" s="153"/>
      <c r="BC14" s="153"/>
      <c r="BD14" s="153"/>
      <c r="BE14"/>
      <c r="BF14"/>
      <c r="BG14"/>
      <c r="BH14"/>
      <c r="BI14" s="36"/>
      <c r="BJ14"/>
      <c r="BL14" s="575">
        <f>COUNTIF(D14:H14,"&gt;-")</f>
        <v>0</v>
      </c>
      <c r="BM14" s="575">
        <f>COUNT(D14:H14)</f>
        <v>0</v>
      </c>
      <c r="BN14" s="575">
        <v>4</v>
      </c>
      <c r="BO14" s="575" t="e">
        <f>IF(AND($A10,BM14&gt;=BN14),BM14*10,"--")</f>
        <v>#REF!</v>
      </c>
      <c r="BP14" s="575" t="e">
        <f>IF(AND($A10,BM14&gt;=BN14),SUM(D14:H14),"--")</f>
        <v>#REF!</v>
      </c>
      <c r="BR14" s="575">
        <f>COUNTIF(O14:S14,"&gt;-")</f>
        <v>0</v>
      </c>
      <c r="BS14" s="575">
        <f>COUNT(O14:S14)</f>
        <v>0</v>
      </c>
      <c r="BT14" s="575">
        <v>4</v>
      </c>
      <c r="BU14" s="575" t="e">
        <f>IF(AND($A10,BS14&gt;=BT14),BS14*10,"--")</f>
        <v>#REF!</v>
      </c>
      <c r="BV14" s="575" t="e">
        <f>IF(AND($A10,BS14&gt;=BT14),SUM(O14:S14),"--")</f>
        <v>#REF!</v>
      </c>
      <c r="BX14" s="575">
        <f>COUNTIF(Z14:AD14,"&gt;-")</f>
        <v>0</v>
      </c>
      <c r="BY14" s="575">
        <f>COUNT(Z14:AD14)</f>
        <v>0</v>
      </c>
      <c r="BZ14" s="575">
        <v>4</v>
      </c>
      <c r="CA14" s="575" t="e">
        <f>IF(AND($A10,BY14&gt;=BZ14),BY14*10,"--")</f>
        <v>#REF!</v>
      </c>
      <c r="CB14" s="575" t="e">
        <f>IF(AND($A10,BY14&gt;=BZ14),SUM(Z14:AD14),"--")</f>
        <v>#REF!</v>
      </c>
    </row>
    <row r="15" spans="1:80" ht="15" thickBot="1">
      <c r="B15" s="33"/>
      <c r="C15" s="22"/>
      <c r="N15" s="150"/>
      <c r="O15" s="22"/>
      <c r="P15" s="22"/>
      <c r="T15" s="22"/>
      <c r="V15" s="22"/>
      <c r="W15" s="22"/>
      <c r="X15"/>
      <c r="Y15"/>
      <c r="Z15"/>
      <c r="AA15"/>
      <c r="AB15"/>
      <c r="AC15"/>
      <c r="AD15"/>
      <c r="AE15"/>
      <c r="AF15"/>
      <c r="AJ15"/>
      <c r="AK15"/>
      <c r="AL15"/>
      <c r="AM15"/>
      <c r="AN15"/>
      <c r="AO15"/>
      <c r="AP15"/>
      <c r="AQ15"/>
      <c r="AR15" s="22"/>
      <c r="AS15" s="22"/>
      <c r="AT15" s="22"/>
      <c r="AU15"/>
      <c r="AV15"/>
      <c r="AW15"/>
      <c r="AX15"/>
      <c r="AY15"/>
      <c r="AZ15"/>
      <c r="BA15"/>
      <c r="BB15"/>
      <c r="BC15"/>
      <c r="BD15"/>
      <c r="BE15"/>
      <c r="BF15"/>
      <c r="BG15"/>
      <c r="BH15"/>
      <c r="BI15" s="36"/>
      <c r="BJ15"/>
    </row>
    <row r="16" spans="1:80" ht="15.75" thickBot="1">
      <c r="B16" s="33"/>
      <c r="C16" s="22"/>
      <c r="K16" s="152" t="s">
        <v>98</v>
      </c>
      <c r="L16" s="1177" t="e">
        <f>IF(AND(A10,BM14&gt;=BN14),ROUND(BP14/BO14,2),BL13)</f>
        <v>#REF!</v>
      </c>
      <c r="M16" s="1178"/>
      <c r="N16" s="20"/>
      <c r="T16" s="151"/>
      <c r="V16" s="152" t="s">
        <v>91</v>
      </c>
      <c r="W16" s="1177" t="e">
        <f>IF(AND(A10,BS14&gt;=BT14),ROUND(BV14/BU14,2),BR13)</f>
        <v>#REF!</v>
      </c>
      <c r="X16" s="1178"/>
      <c r="Y16"/>
      <c r="Z16"/>
      <c r="AA16"/>
      <c r="AB16"/>
      <c r="AC16"/>
      <c r="AD16"/>
      <c r="AE16"/>
      <c r="AF16"/>
      <c r="AJ16"/>
      <c r="AK16"/>
      <c r="AL16"/>
      <c r="AM16"/>
      <c r="AN16"/>
      <c r="AO16"/>
      <c r="AP16"/>
      <c r="AQ16"/>
      <c r="AS16" s="151"/>
      <c r="AT16" s="151"/>
      <c r="AU16"/>
      <c r="AV16"/>
      <c r="AW16"/>
      <c r="AX16"/>
      <c r="AY16"/>
      <c r="AZ16"/>
      <c r="BA16"/>
      <c r="BB16"/>
      <c r="BC16"/>
      <c r="BD16"/>
      <c r="BE16"/>
      <c r="BF16"/>
      <c r="BG16"/>
      <c r="BH16"/>
      <c r="BI16" s="36"/>
      <c r="BJ16"/>
    </row>
    <row r="17" spans="1:80" ht="15">
      <c r="B17" s="33"/>
      <c r="C17" s="22"/>
      <c r="D17" s="22"/>
      <c r="E17" s="22"/>
      <c r="F17" s="22"/>
      <c r="G17" s="22"/>
      <c r="H17" s="22"/>
      <c r="I17" s="22"/>
      <c r="J17" s="22"/>
      <c r="K17" s="22"/>
      <c r="L17" s="22"/>
      <c r="M17" s="22"/>
      <c r="N17" s="22"/>
      <c r="O17" s="25"/>
      <c r="P17" s="22"/>
      <c r="Q17" s="22"/>
      <c r="V17" s="22"/>
      <c r="W17" s="22"/>
      <c r="X17"/>
      <c r="Y17"/>
      <c r="Z17"/>
      <c r="AA17"/>
      <c r="AB17"/>
      <c r="AC17"/>
      <c r="AD17"/>
      <c r="AE17"/>
      <c r="AF17"/>
      <c r="AJ17"/>
      <c r="AK17"/>
      <c r="AL17"/>
      <c r="AM17"/>
      <c r="AN17"/>
      <c r="AO17"/>
      <c r="AP17"/>
      <c r="AQ17"/>
      <c r="AR17"/>
      <c r="AS17"/>
      <c r="AT17"/>
      <c r="AU17"/>
      <c r="AV17"/>
      <c r="AW17"/>
      <c r="AX17"/>
      <c r="AY17"/>
      <c r="AZ17"/>
      <c r="BA17"/>
      <c r="BB17"/>
      <c r="BC17"/>
      <c r="BD17"/>
      <c r="BE17"/>
      <c r="BF17"/>
      <c r="BG17"/>
      <c r="BH17"/>
      <c r="BI17" s="36"/>
      <c r="BJ17"/>
    </row>
    <row r="18" spans="1:80" ht="15.75">
      <c r="A18" s="758" t="e">
        <f>#REF!</f>
        <v>#REF!</v>
      </c>
      <c r="B18" s="33"/>
      <c r="C18" s="488" t="s">
        <v>140</v>
      </c>
      <c r="D18" s="488" t="str">
        <f>Questions!C37</f>
        <v>Implementation of the product and process development</v>
      </c>
      <c r="E18" s="489"/>
      <c r="F18" s="489"/>
      <c r="G18" s="489"/>
      <c r="H18" s="489"/>
      <c r="I18" s="489"/>
      <c r="J18" s="489"/>
      <c r="K18" s="489"/>
      <c r="L18" s="489"/>
      <c r="M18" s="489"/>
      <c r="N18" s="489"/>
      <c r="O18" s="490"/>
      <c r="P18" s="489"/>
      <c r="Q18" s="489"/>
      <c r="R18" s="492"/>
      <c r="S18" s="492"/>
      <c r="T18" s="492"/>
      <c r="U18" s="492"/>
      <c r="V18" s="489"/>
      <c r="W18" s="489"/>
      <c r="X18" s="493"/>
      <c r="Y18" s="493"/>
      <c r="Z18" s="493"/>
      <c r="AA18" s="493"/>
      <c r="AB18" s="493"/>
      <c r="AC18" s="493"/>
      <c r="AD18" s="493"/>
      <c r="AE18" s="493"/>
      <c r="AF18" s="493"/>
      <c r="AG18" s="492"/>
      <c r="AH18" s="492"/>
      <c r="AI18" s="492"/>
      <c r="AJ18" s="493"/>
      <c r="AK18" s="493"/>
      <c r="AL18" s="493"/>
      <c r="AM18" s="493"/>
      <c r="AN18" s="493"/>
      <c r="AO18" s="493"/>
      <c r="AP18" s="493"/>
      <c r="AQ18" s="493"/>
      <c r="AR18" s="493"/>
      <c r="AS18" s="493"/>
      <c r="AT18" s="493"/>
      <c r="AU18" s="493"/>
      <c r="AV18" s="493"/>
      <c r="AW18" s="493"/>
      <c r="AX18" s="493"/>
      <c r="AY18" s="493"/>
      <c r="AZ18" s="493"/>
      <c r="BA18" s="493"/>
      <c r="BB18" s="493"/>
      <c r="BC18" s="493"/>
      <c r="BD18" s="493"/>
      <c r="BE18" s="493"/>
      <c r="BF18" s="493"/>
      <c r="BG18" s="493"/>
      <c r="BH18" s="493"/>
      <c r="BI18" s="494"/>
      <c r="BJ18"/>
    </row>
    <row r="19" spans="1:80" ht="6.75" customHeight="1">
      <c r="B19" s="33"/>
      <c r="C19" s="25"/>
      <c r="D19" s="25"/>
      <c r="E19" s="22"/>
      <c r="F19" s="22"/>
      <c r="G19" s="22"/>
      <c r="H19" s="22"/>
      <c r="I19" s="22"/>
      <c r="J19" s="22"/>
      <c r="K19" s="22"/>
      <c r="L19" s="22"/>
      <c r="M19" s="22"/>
      <c r="N19" s="22"/>
      <c r="O19" s="25"/>
      <c r="P19" s="22"/>
      <c r="Q19" s="22"/>
      <c r="V19" s="22"/>
      <c r="W19" s="22"/>
      <c r="X19"/>
      <c r="Y19"/>
      <c r="Z19"/>
      <c r="AA19"/>
      <c r="AB19"/>
      <c r="AC19"/>
      <c r="AD19"/>
      <c r="AE19"/>
      <c r="AF19"/>
      <c r="AJ19"/>
      <c r="AK19"/>
      <c r="AL19"/>
      <c r="AM19"/>
      <c r="AN19"/>
      <c r="AO19"/>
      <c r="AP19"/>
      <c r="AQ19"/>
      <c r="AR19"/>
      <c r="AS19"/>
      <c r="AT19"/>
      <c r="AU19"/>
      <c r="AV19"/>
      <c r="AW19"/>
      <c r="AX19"/>
      <c r="AY19"/>
      <c r="AZ19"/>
      <c r="BA19"/>
      <c r="BB19"/>
      <c r="BC19"/>
      <c r="BD19"/>
      <c r="BE19"/>
      <c r="BF19"/>
      <c r="BG19"/>
      <c r="BH19"/>
      <c r="BI19" s="36"/>
      <c r="BJ19"/>
    </row>
    <row r="20" spans="1:80" ht="14.1" customHeight="1">
      <c r="B20" s="33"/>
      <c r="C20" s="25"/>
      <c r="D20" s="150" t="e">
        <f>#REF!</f>
        <v>#REF!</v>
      </c>
      <c r="E20" s="22"/>
      <c r="F20" s="22"/>
      <c r="G20" s="22"/>
      <c r="H20" s="22"/>
      <c r="I20" s="22"/>
      <c r="J20" s="22"/>
      <c r="L20" s="22"/>
      <c r="M20" s="22"/>
      <c r="N20" s="22"/>
      <c r="P20" s="155"/>
      <c r="Q20" s="150" t="e">
        <f>#REF!</f>
        <v>#REF!</v>
      </c>
      <c r="R20" s="22"/>
      <c r="T20"/>
      <c r="U20"/>
      <c r="V20"/>
      <c r="W20"/>
      <c r="X20"/>
      <c r="Y20"/>
      <c r="Z20"/>
      <c r="AA20"/>
      <c r="AB20"/>
      <c r="AC20" s="39"/>
      <c r="AL20"/>
      <c r="AM20"/>
      <c r="AN20"/>
      <c r="AO20"/>
      <c r="AP20"/>
      <c r="AQ20"/>
      <c r="AR20"/>
      <c r="AS20"/>
      <c r="AT20"/>
      <c r="AU20"/>
      <c r="AV20"/>
      <c r="AW20"/>
      <c r="AX20"/>
      <c r="AY20"/>
      <c r="AZ20"/>
      <c r="BA20"/>
      <c r="BB20"/>
      <c r="BC20"/>
      <c r="BD20"/>
      <c r="BE20"/>
      <c r="BF20"/>
      <c r="BG20"/>
      <c r="BH20"/>
      <c r="BI20" s="36"/>
      <c r="BJ20"/>
    </row>
    <row r="21" spans="1:80" ht="15" thickBot="1">
      <c r="A21" s="197" t="s">
        <v>387</v>
      </c>
      <c r="B21" s="33"/>
      <c r="C21" s="22"/>
      <c r="D21" s="465" t="s">
        <v>318</v>
      </c>
      <c r="E21" s="321" t="s">
        <v>194</v>
      </c>
      <c r="F21" s="321" t="s">
        <v>195</v>
      </c>
      <c r="G21" s="465" t="s">
        <v>319</v>
      </c>
      <c r="H21" s="321" t="s">
        <v>197</v>
      </c>
      <c r="I21" s="321" t="s">
        <v>198</v>
      </c>
      <c r="J21" s="321" t="s">
        <v>199</v>
      </c>
      <c r="K21" s="465" t="s">
        <v>644</v>
      </c>
      <c r="P21" s="39"/>
      <c r="Q21" s="465" t="s">
        <v>318</v>
      </c>
      <c r="R21" s="321" t="s">
        <v>194</v>
      </c>
      <c r="S21" s="321" t="s">
        <v>195</v>
      </c>
      <c r="T21" s="465" t="s">
        <v>319</v>
      </c>
      <c r="U21" s="321" t="s">
        <v>197</v>
      </c>
      <c r="V21" s="321" t="s">
        <v>198</v>
      </c>
      <c r="W21" s="321" t="s">
        <v>199</v>
      </c>
      <c r="X21" s="465" t="s">
        <v>644</v>
      </c>
      <c r="AC21" s="39"/>
      <c r="AD21" s="465" t="s">
        <v>318</v>
      </c>
      <c r="AE21" s="321" t="s">
        <v>194</v>
      </c>
      <c r="AF21" s="321" t="s">
        <v>195</v>
      </c>
      <c r="AG21" s="465" t="s">
        <v>319</v>
      </c>
      <c r="AH21" s="321" t="s">
        <v>197</v>
      </c>
      <c r="AI21" s="321" t="s">
        <v>198</v>
      </c>
      <c r="AJ21" s="321" t="s">
        <v>199</v>
      </c>
      <c r="AK21" s="465" t="s">
        <v>644</v>
      </c>
      <c r="AQ21"/>
      <c r="AR21"/>
      <c r="AS21"/>
      <c r="AT21"/>
      <c r="AU21"/>
      <c r="AV21"/>
      <c r="AW21"/>
      <c r="AX21"/>
      <c r="AY21"/>
      <c r="AZ21"/>
      <c r="BA21"/>
      <c r="BB21"/>
      <c r="BC21"/>
      <c r="BD21"/>
      <c r="BE21"/>
      <c r="BF21"/>
      <c r="BG21"/>
      <c r="BH21"/>
      <c r="BI21" s="36"/>
      <c r="BJ21"/>
      <c r="BL21" s="477" t="e">
        <f>#REF!</f>
        <v>#REF!</v>
      </c>
      <c r="BM21" s="477" t="e">
        <f>#REF!</f>
        <v>#REF!</v>
      </c>
      <c r="BN21" s="477" t="e">
        <f>#REF!</f>
        <v>#REF!</v>
      </c>
      <c r="BO21" s="477" t="e">
        <f>#REF!</f>
        <v>#REF!</v>
      </c>
      <c r="BP21" s="580" t="e">
        <f>#REF!</f>
        <v>#REF!</v>
      </c>
      <c r="BR21" s="477" t="e">
        <f>#REF!</f>
        <v>#REF!</v>
      </c>
      <c r="BS21" s="477" t="e">
        <f>#REF!</f>
        <v>#REF!</v>
      </c>
      <c r="BT21" s="477" t="e">
        <f>#REF!</f>
        <v>#REF!</v>
      </c>
      <c r="BU21" s="477" t="e">
        <f>#REF!</f>
        <v>#REF!</v>
      </c>
      <c r="BV21" s="580" t="e">
        <f>#REF!</f>
        <v>#REF!</v>
      </c>
      <c r="BX21" s="477" t="e">
        <f>#REF!</f>
        <v>#REF!</v>
      </c>
      <c r="BY21" s="477" t="e">
        <f>#REF!</f>
        <v>#REF!</v>
      </c>
      <c r="BZ21" s="477" t="e">
        <f>#REF!</f>
        <v>#REF!</v>
      </c>
      <c r="CA21" s="477" t="e">
        <f>#REF!</f>
        <v>#REF!</v>
      </c>
      <c r="CB21" s="477" t="e">
        <f>#REF!</f>
        <v>#REF!</v>
      </c>
    </row>
    <row r="22" spans="1:80" s="26" customFormat="1" ht="15" customHeight="1" thickBot="1">
      <c r="A22" s="198" t="e">
        <f>IF(COUNT(D22:K22)+COUNT(Q22:X22)=0,BL21,IF(MIN(D22:K22,Q22:X22)=0,"B","A"))</f>
        <v>#REF!</v>
      </c>
      <c r="B22" s="35"/>
      <c r="C22" s="150"/>
      <c r="D22" s="470" t="e">
        <f>IF($A$18=FALSE,$BL$21,IF(ISBLANK(Questions!$D40),"--",Questions!$D40))</f>
        <v>#REF!</v>
      </c>
      <c r="E22" s="189" t="e">
        <f>IF($A$18=FALSE,$BL$21,IF(ISBLANK(Questions!$D43),"--",Questions!$D43))</f>
        <v>#REF!</v>
      </c>
      <c r="F22" s="189" t="e">
        <f>IF($A$18=FALSE,$BL$21,IF(ISBLANK(Questions!$D46),"--",Questions!$D46))</f>
        <v>#REF!</v>
      </c>
      <c r="G22" s="470" t="e">
        <f>IF($A$18=FALSE,$BL$21,IF(ISBLANK(Questions!$D49),"--",Questions!$D49))</f>
        <v>#REF!</v>
      </c>
      <c r="H22" s="189" t="e">
        <f>IF($A$18=FALSE,$BL$21,IF(ISBLANK(Questions!$D52),"--",Questions!$D52))</f>
        <v>#REF!</v>
      </c>
      <c r="I22" s="908" t="e">
        <f>BL21</f>
        <v>#REF!</v>
      </c>
      <c r="J22" s="908" t="e">
        <f>BL21</f>
        <v>#REF!</v>
      </c>
      <c r="K22" s="189" t="e">
        <f>IF($A$18=FALSE,$BL$21,IF(ISBLANK(Questions!$D59),"--",Questions!$D59))</f>
        <v>#REF!</v>
      </c>
      <c r="P22" s="897"/>
      <c r="Q22" s="806" t="e">
        <f>IF($A$18=FALSE,$BR$21,IF(ISBLANK(Questions!$D41),"--",Questions!$D41))</f>
        <v>#REF!</v>
      </c>
      <c r="R22" s="189" t="e">
        <f>IF($A$18=FALSE,$BR$21,IF(ISBLANK(Questions!$D44),"--",Questions!$D44))</f>
        <v>#REF!</v>
      </c>
      <c r="S22" s="189" t="e">
        <f>IF($A$18=FALSE,$BR$21,IF(ISBLANK(Questions!$D47),"--",Questions!$D47))</f>
        <v>#REF!</v>
      </c>
      <c r="T22" s="470" t="e">
        <f>IF($A$18=FALSE,$BR$21,IF(ISBLANK(Questions!$D50),"--",Questions!$D50))</f>
        <v>#REF!</v>
      </c>
      <c r="U22" s="189" t="e">
        <f>IF($A$18=FALSE,$BR$21,IF(ISBLANK(Questions!$D53),"--",Questions!$D53))</f>
        <v>#REF!</v>
      </c>
      <c r="V22" s="189" t="e">
        <f>IF($A$18=FALSE,$BR$21,IF(ISBLANK(Questions!$D55),"--",Questions!$D55))</f>
        <v>#REF!</v>
      </c>
      <c r="W22" s="189" t="e">
        <f>IF($A$18=FALSE,$BR$21,IF(ISBLANK(Questions!$D57),"--",Questions!$D57))</f>
        <v>#REF!</v>
      </c>
      <c r="X22" s="470" t="e">
        <f>IF($A$18=FALSE,$BR$21,IF(ISBLANK(Questions!$D60),"--",Questions!$D60))</f>
        <v>#REF!</v>
      </c>
      <c r="AC22" s="897"/>
      <c r="AD22" s="807" t="e">
        <f t="shared" ref="AD22:AK22" si="0">IF(AND(D22=$BL$21,Q22=$BR$21),$BX$21,IF(AND(D22="--",Q22="--"),"--",IF(COUNT(D22,Q22)&gt;0,ROUND(AVERAGE(D22,Q22),2),"/")))</f>
        <v>#REF!</v>
      </c>
      <c r="AE22" s="748" t="e">
        <f t="shared" si="0"/>
        <v>#REF!</v>
      </c>
      <c r="AF22" s="748" t="e">
        <f t="shared" si="0"/>
        <v>#REF!</v>
      </c>
      <c r="AG22" s="749" t="e">
        <f t="shared" si="0"/>
        <v>#REF!</v>
      </c>
      <c r="AH22" s="748" t="e">
        <f t="shared" si="0"/>
        <v>#REF!</v>
      </c>
      <c r="AI22" s="748" t="e">
        <f t="shared" si="0"/>
        <v>#REF!</v>
      </c>
      <c r="AJ22" s="748" t="e">
        <f t="shared" si="0"/>
        <v>#REF!</v>
      </c>
      <c r="AK22" s="749" t="e">
        <f t="shared" si="0"/>
        <v>#REF!</v>
      </c>
      <c r="AQ22" s="1179" t="s">
        <v>496</v>
      </c>
      <c r="AR22" s="1180"/>
      <c r="AS22" s="1177" t="e">
        <f>IF(AND(O24=BL21,AB24=BR21),BL21,ROUND(CB22/CA22,2))</f>
        <v>#REF!</v>
      </c>
      <c r="AT22" s="1178"/>
      <c r="AU22"/>
      <c r="AV22" s="153"/>
      <c r="AW22" s="153"/>
      <c r="AX22" s="153"/>
      <c r="AY22" s="153"/>
      <c r="AZ22" s="153"/>
      <c r="BA22" s="153"/>
      <c r="BB22" s="153"/>
      <c r="BC22" s="153"/>
      <c r="BD22" s="153"/>
      <c r="BE22"/>
      <c r="BF22"/>
      <c r="BG22"/>
      <c r="BH22"/>
      <c r="BI22" s="36"/>
      <c r="BJ22"/>
      <c r="BL22" s="575">
        <f>COUNTIF(D22:K22,"&gt;-")</f>
        <v>0</v>
      </c>
      <c r="BM22" s="575">
        <f>COUNT(D22:K22)</f>
        <v>0</v>
      </c>
      <c r="BN22" s="575">
        <v>4</v>
      </c>
      <c r="BO22" s="575" t="e">
        <f>IF(AND($A18,BM22&gt;=BN22),BM22*10,"--")</f>
        <v>#REF!</v>
      </c>
      <c r="BP22" s="581" t="e">
        <f>IF(AND($A18,BM22&gt;=BN22),SUM(D22:K22),"--")</f>
        <v>#REF!</v>
      </c>
      <c r="BR22" s="575">
        <f>COUNTIF(Q22:X22,"&gt;-")</f>
        <v>0</v>
      </c>
      <c r="BS22" s="575">
        <f>COUNT(Q22:X22)</f>
        <v>0</v>
      </c>
      <c r="BT22" s="575">
        <v>6</v>
      </c>
      <c r="BU22" s="575" t="e">
        <f>IF(AND($A18,BS22&gt;=BT22),BS22*10,"--")</f>
        <v>#REF!</v>
      </c>
      <c r="BV22" s="581" t="e">
        <f>IF(AND($A18,BS22&gt;=BT22),SUM(Q22:X22),"--")</f>
        <v>#REF!</v>
      </c>
      <c r="BX22" s="575">
        <f>COUNTIF(AD22:AK22,"&gt;-")</f>
        <v>0</v>
      </c>
      <c r="BY22" s="575">
        <f>COUNT(AD22:AK22)</f>
        <v>0</v>
      </c>
      <c r="BZ22" s="575">
        <v>6</v>
      </c>
      <c r="CA22" s="575" t="e">
        <f>IF(AND($A18,BY22&gt;=BZ22),BY22*10,"--")</f>
        <v>#REF!</v>
      </c>
      <c r="CB22" s="575" t="e">
        <f>IF(AND($A18,BY22&gt;=BZ22),SUM(AD22:AK22),"--")</f>
        <v>#REF!</v>
      </c>
    </row>
    <row r="23" spans="1:80" s="499" customFormat="1" ht="15" customHeight="1" thickBot="1">
      <c r="A23" s="495"/>
      <c r="B23" s="496"/>
      <c r="C23" s="497"/>
      <c r="D23" s="750"/>
      <c r="E23" s="750"/>
      <c r="F23" s="750"/>
      <c r="G23" s="750"/>
      <c r="H23" s="750"/>
      <c r="I23" s="750"/>
      <c r="J23" s="750"/>
      <c r="K23" s="750"/>
      <c r="L23" s="498"/>
      <c r="M23" s="498"/>
      <c r="N23" s="498"/>
      <c r="O23" s="498"/>
      <c r="P23" s="898"/>
      <c r="Q23" s="500"/>
      <c r="R23" s="501"/>
      <c r="S23" s="501"/>
      <c r="V23" s="750"/>
      <c r="W23" s="750"/>
      <c r="X23" s="750"/>
      <c r="Y23" s="750"/>
      <c r="Z23" s="750"/>
      <c r="AA23" s="750"/>
      <c r="AB23" s="750"/>
      <c r="AC23" s="899"/>
      <c r="AD23" s="498"/>
      <c r="AE23" s="498"/>
      <c r="AF23" s="498"/>
      <c r="AG23" s="498"/>
      <c r="AK23" s="500"/>
      <c r="AL23" s="501"/>
      <c r="AM23" s="501"/>
      <c r="AQ23" s="502"/>
      <c r="AR23" s="502"/>
      <c r="AS23" s="501"/>
      <c r="AT23" s="501"/>
      <c r="AU23" s="503"/>
      <c r="AV23" s="504"/>
      <c r="AW23" s="504"/>
      <c r="AX23" s="504"/>
      <c r="AY23" s="504"/>
      <c r="AZ23" s="504"/>
      <c r="BA23" s="504"/>
      <c r="BB23" s="504"/>
      <c r="BC23" s="504"/>
      <c r="BD23" s="504"/>
      <c r="BE23" s="506"/>
      <c r="BF23" s="506"/>
      <c r="BG23" s="506"/>
      <c r="BH23" s="506"/>
      <c r="BI23" s="505"/>
      <c r="BJ23" s="506"/>
    </row>
    <row r="24" spans="1:80" s="499" customFormat="1" ht="15" customHeight="1" thickBot="1">
      <c r="A24" s="495"/>
      <c r="B24" s="496"/>
      <c r="C24" s="497"/>
      <c r="D24" s="750"/>
      <c r="E24" s="750"/>
      <c r="F24" s="750"/>
      <c r="G24" s="750"/>
      <c r="H24" s="750"/>
      <c r="I24" s="750"/>
      <c r="J24" s="750"/>
      <c r="K24" s="750"/>
      <c r="L24" s="498"/>
      <c r="M24" s="498"/>
      <c r="N24" s="152" t="s">
        <v>99</v>
      </c>
      <c r="O24" s="1177" t="e">
        <f>IF(AND(A18,BM22&gt;=BN22),ROUND(BP22/BO22,2),BL21)</f>
        <v>#REF!</v>
      </c>
      <c r="P24" s="1178"/>
      <c r="Q24" s="500"/>
      <c r="R24" s="501"/>
      <c r="S24" s="501"/>
      <c r="V24" s="750"/>
      <c r="W24" s="750"/>
      <c r="X24" s="750"/>
      <c r="Y24" s="750"/>
      <c r="Z24" s="750"/>
      <c r="AA24" s="152" t="s">
        <v>100</v>
      </c>
      <c r="AB24" s="1177" t="e">
        <f>IF(AND(A18,BS22&gt;=BT22),ROUND(BV22/BU22,2),BR21)</f>
        <v>#REF!</v>
      </c>
      <c r="AC24" s="1178"/>
      <c r="AD24" s="498"/>
      <c r="AE24" s="498"/>
      <c r="AF24" s="498"/>
      <c r="AG24" s="498"/>
      <c r="AK24" s="500"/>
      <c r="AL24" s="501"/>
      <c r="AM24" s="501"/>
      <c r="AQ24" s="502"/>
      <c r="AR24" s="502"/>
      <c r="AS24" s="501"/>
      <c r="AT24" s="501"/>
      <c r="AU24" s="503"/>
      <c r="AV24" s="504"/>
      <c r="AW24" s="504"/>
      <c r="AX24" s="504"/>
      <c r="AY24" s="504"/>
      <c r="AZ24" s="504"/>
      <c r="BA24" s="504"/>
      <c r="BB24" s="504"/>
      <c r="BC24" s="504"/>
      <c r="BD24" s="504"/>
      <c r="BE24" s="506"/>
      <c r="BF24" s="506"/>
      <c r="BG24" s="506"/>
      <c r="BH24" s="506"/>
      <c r="BI24" s="505"/>
      <c r="BJ24" s="506"/>
    </row>
    <row r="25" spans="1:80" s="499" customFormat="1" ht="15" customHeight="1">
      <c r="A25" s="495"/>
      <c r="B25" s="496"/>
      <c r="C25" s="497"/>
      <c r="D25" s="750"/>
      <c r="E25" s="750"/>
      <c r="F25" s="750"/>
      <c r="G25" s="750"/>
      <c r="H25" s="750"/>
      <c r="I25" s="750"/>
      <c r="J25" s="750"/>
      <c r="K25" s="498"/>
      <c r="L25" s="498"/>
      <c r="M25" s="498"/>
      <c r="N25" s="498"/>
      <c r="O25" s="498"/>
      <c r="Q25" s="500"/>
      <c r="R25" s="501"/>
      <c r="S25" s="501"/>
      <c r="V25" s="750"/>
      <c r="W25" s="750"/>
      <c r="X25" s="750"/>
      <c r="Y25" s="750"/>
      <c r="Z25" s="750"/>
      <c r="AA25" s="750"/>
      <c r="AB25" s="750"/>
      <c r="AC25" s="498"/>
      <c r="AD25" s="498"/>
      <c r="AE25" s="498"/>
      <c r="AF25" s="498"/>
      <c r="AG25" s="498"/>
      <c r="AJ25" s="500"/>
      <c r="AK25" s="501"/>
      <c r="AL25" s="501"/>
      <c r="AQ25" s="502"/>
      <c r="AR25" s="502"/>
      <c r="AS25" s="501"/>
      <c r="AT25" s="501"/>
      <c r="AU25" s="503"/>
      <c r="AV25" s="504"/>
      <c r="AW25" s="504"/>
      <c r="AX25" s="504"/>
      <c r="AY25" s="504"/>
      <c r="AZ25" s="504"/>
      <c r="BA25" s="504"/>
      <c r="BB25" s="504"/>
      <c r="BC25" s="504"/>
      <c r="BD25" s="504"/>
      <c r="BE25" s="506"/>
      <c r="BF25" s="506"/>
      <c r="BG25" s="506"/>
      <c r="BH25" s="506"/>
      <c r="BI25" s="505"/>
      <c r="BJ25" s="506"/>
    </row>
    <row r="26" spans="1:80" ht="9.9499999999999993" customHeight="1">
      <c r="A26" s="471"/>
      <c r="B26" s="472"/>
      <c r="C26" s="225"/>
      <c r="D26" s="473"/>
      <c r="E26" s="474"/>
      <c r="F26" s="474"/>
      <c r="G26" s="474"/>
      <c r="H26" s="474"/>
      <c r="I26" s="474"/>
      <c r="J26" s="474"/>
      <c r="K26" s="359"/>
      <c r="L26" s="473"/>
      <c r="M26" s="474"/>
      <c r="N26" s="474"/>
      <c r="O26" s="474"/>
      <c r="P26" s="474"/>
      <c r="Q26" s="474"/>
      <c r="R26" s="474"/>
      <c r="S26" s="359"/>
      <c r="T26" s="359"/>
      <c r="U26" s="473"/>
      <c r="V26" s="359"/>
      <c r="W26" s="359"/>
      <c r="X26" s="359"/>
      <c r="Y26" s="359"/>
      <c r="Z26" s="359"/>
      <c r="AA26" s="359"/>
      <c r="AB26" s="359"/>
      <c r="AC26" s="359"/>
      <c r="AD26" s="359"/>
      <c r="AE26" s="359"/>
      <c r="AF26" s="359"/>
      <c r="AG26" s="359"/>
      <c r="AH26" s="359"/>
      <c r="AI26" s="359"/>
      <c r="AJ26" s="359"/>
      <c r="AK26" s="359"/>
      <c r="AL26" s="359"/>
      <c r="AM26" s="359"/>
      <c r="AN26" s="359"/>
      <c r="AO26" s="359"/>
      <c r="AP26" s="359"/>
      <c r="AQ26" s="359"/>
      <c r="AR26" s="359"/>
      <c r="AS26" s="475"/>
      <c r="AT26" s="359"/>
      <c r="AU26" s="359"/>
      <c r="AV26" s="359"/>
      <c r="AW26" s="359"/>
      <c r="AX26" s="359"/>
      <c r="AY26" s="359"/>
      <c r="AZ26" s="359"/>
      <c r="BA26" s="359"/>
      <c r="BB26" s="359"/>
      <c r="BC26" s="359"/>
      <c r="BD26" s="359"/>
      <c r="BE26" s="359"/>
      <c r="BF26" s="359"/>
      <c r="BG26" s="359"/>
      <c r="BH26" s="359"/>
      <c r="BI26" s="476"/>
      <c r="BJ26"/>
    </row>
    <row r="27" spans="1:80" ht="18">
      <c r="A27" s="757" t="e">
        <f>#REF!</f>
        <v>#REF!</v>
      </c>
      <c r="B27" s="33"/>
      <c r="C27" s="180" t="s">
        <v>39</v>
      </c>
      <c r="D27" s="22"/>
      <c r="E27" s="147" t="e">
        <f>#REF!</f>
        <v>#REF!</v>
      </c>
      <c r="F27" s="22"/>
      <c r="G27" s="22"/>
      <c r="H27" s="22"/>
      <c r="I27" s="22"/>
      <c r="J27" s="22"/>
      <c r="K27" s="22"/>
      <c r="L27" s="22"/>
      <c r="M27" s="22"/>
      <c r="N27" s="22"/>
      <c r="O27" s="25"/>
      <c r="P27" s="22"/>
      <c r="Q27" s="22"/>
      <c r="R27" s="22"/>
      <c r="S27" s="22"/>
      <c r="T27" s="22"/>
      <c r="U27" s="22"/>
      <c r="V27"/>
      <c r="W27"/>
      <c r="X27"/>
      <c r="Y27"/>
      <c r="Z27"/>
      <c r="AA27"/>
      <c r="AB27"/>
      <c r="AF27"/>
      <c r="AG27"/>
      <c r="AH27"/>
      <c r="AI27"/>
      <c r="AJ27"/>
      <c r="AK27"/>
      <c r="AL27"/>
      <c r="AM27"/>
      <c r="AN27"/>
      <c r="AO27"/>
      <c r="AP27"/>
      <c r="AQ27"/>
      <c r="AR27"/>
      <c r="AS27"/>
      <c r="AT27"/>
      <c r="AU27"/>
      <c r="AV27"/>
      <c r="AW27"/>
      <c r="AX27"/>
      <c r="AY27"/>
      <c r="AZ27"/>
      <c r="BA27"/>
      <c r="BB27"/>
      <c r="BC27"/>
      <c r="BD27"/>
      <c r="BE27"/>
      <c r="BF27"/>
      <c r="BG27"/>
      <c r="BH27"/>
      <c r="BI27" s="36"/>
      <c r="BJ27"/>
    </row>
    <row r="28" spans="1:80" ht="15" thickBot="1">
      <c r="A28" s="197" t="s">
        <v>388</v>
      </c>
      <c r="B28" s="33"/>
      <c r="C28" s="22"/>
      <c r="D28" s="22"/>
      <c r="E28" s="22"/>
      <c r="F28" s="22"/>
      <c r="G28" s="22"/>
      <c r="H28" s="22"/>
      <c r="I28" s="22"/>
      <c r="J28" s="22"/>
      <c r="K28" s="22"/>
      <c r="L28" s="321" t="s">
        <v>95</v>
      </c>
      <c r="M28" s="321" t="s">
        <v>159</v>
      </c>
      <c r="N28" s="321" t="s">
        <v>160</v>
      </c>
      <c r="O28" s="465" t="s">
        <v>310</v>
      </c>
      <c r="P28" s="465" t="s">
        <v>358</v>
      </c>
      <c r="Q28" s="321" t="s">
        <v>165</v>
      </c>
      <c r="R28" s="321" t="s">
        <v>166</v>
      </c>
      <c r="X28" s="22"/>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2"/>
      <c r="BA28" s="22"/>
      <c r="BB28" s="22"/>
      <c r="BC28" s="22"/>
      <c r="BD28" s="22"/>
      <c r="BE28"/>
      <c r="BF28"/>
      <c r="BG28"/>
      <c r="BH28"/>
      <c r="BI28" s="34"/>
      <c r="BJ28" s="22"/>
      <c r="BL28" s="477" t="e">
        <f>$BL$7</f>
        <v>#REF!</v>
      </c>
      <c r="BM28" s="477" t="e">
        <f>$BM$7</f>
        <v>#REF!</v>
      </c>
      <c r="BN28" s="477" t="e">
        <f>$BN$7</f>
        <v>#REF!</v>
      </c>
      <c r="BO28" s="477" t="s">
        <v>444</v>
      </c>
      <c r="BP28" s="477" t="s">
        <v>305</v>
      </c>
    </row>
    <row r="29" spans="1:80" ht="16.5" thickBot="1">
      <c r="A29" s="198" t="e">
        <f>IF(COUNT(L29:R29)=0,BL28,IF(MIN(L29:R29)=0,"B","A"))</f>
        <v>#REF!</v>
      </c>
      <c r="B29" s="33"/>
      <c r="C29" s="53" t="s">
        <v>141</v>
      </c>
      <c r="D29" s="54" t="str">
        <f>Questions!C61</f>
        <v xml:space="preserve">Supplier Management </v>
      </c>
      <c r="E29" s="22"/>
      <c r="F29" s="22"/>
      <c r="G29" s="22"/>
      <c r="H29" s="22"/>
      <c r="I29" s="22"/>
      <c r="J29" s="22"/>
      <c r="K29" s="22"/>
      <c r="L29" s="189" t="e">
        <f>IF($A$27=FALSE,$BL$28,IF(ISBLANK(Questions!$D62),"--",Questions!$D62))</f>
        <v>#REF!</v>
      </c>
      <c r="M29" s="189" t="e">
        <f>IF($A$27=FALSE,$BL$28,IF(ISBLANK(Questions!$D63),"--",Questions!$D63))</f>
        <v>#REF!</v>
      </c>
      <c r="N29" s="189" t="e">
        <f>IF($A$27=FALSE,$BL$28,IF(ISBLANK(Questions!$D64),"--",Questions!$D64))</f>
        <v>#REF!</v>
      </c>
      <c r="O29" s="470" t="e">
        <f>IF($A$27=FALSE,$BL$28,IF(ISBLANK(Questions!$D65),"--",Questions!$D65))</f>
        <v>#REF!</v>
      </c>
      <c r="P29" s="470" t="e">
        <f>IF($A$27=FALSE,$BL$28,IF(ISBLANK(Questions!$D66),"--",Questions!$D66))</f>
        <v>#REF!</v>
      </c>
      <c r="Q29" s="189" t="e">
        <f>IF($A$27=FALSE,$BL$28,IF(ISBLANK(Questions!$D67),"--",Questions!$D67))</f>
        <v>#REF!</v>
      </c>
      <c r="R29" s="189" t="e">
        <f>IF($A$27=FALSE,$BL$28,IF(ISBLANK(Questions!$D68),"--",Questions!$D68))</f>
        <v>#REF!</v>
      </c>
      <c r="X29" s="22"/>
      <c r="Y29" s="22"/>
      <c r="Z29" s="22"/>
      <c r="AA29" s="22"/>
      <c r="AB29" s="22"/>
      <c r="AC29" s="22"/>
      <c r="AD29" s="22"/>
      <c r="AE29" s="22"/>
      <c r="AF29" s="22"/>
      <c r="AG29" s="22"/>
      <c r="AH29" s="22"/>
      <c r="AI29" s="22"/>
      <c r="AJ29" s="22"/>
      <c r="AK29" s="22"/>
      <c r="AL29" s="22"/>
      <c r="AM29" s="22"/>
      <c r="AN29" s="22"/>
      <c r="AO29" s="22"/>
      <c r="AP29" s="22"/>
      <c r="AQ29" s="1179" t="s">
        <v>497</v>
      </c>
      <c r="AR29" s="1180"/>
      <c r="AS29" s="1195" t="e">
        <f>IF(AND(A27,BM29&gt;=BN29),ROUND(BP29/BO29,2),BL28)</f>
        <v>#REF!</v>
      </c>
      <c r="AT29" s="1196"/>
      <c r="AU29"/>
      <c r="AV29" s="153"/>
      <c r="AW29" s="153"/>
      <c r="AX29" s="153"/>
      <c r="AY29" s="153"/>
      <c r="AZ29" s="153"/>
      <c r="BA29" s="153"/>
      <c r="BB29" s="153"/>
      <c r="BC29" s="153"/>
      <c r="BD29" s="153"/>
      <c r="BE29"/>
      <c r="BF29"/>
      <c r="BG29"/>
      <c r="BH29"/>
      <c r="BI29" s="34"/>
      <c r="BJ29" s="22"/>
      <c r="BL29" s="575">
        <f>COUNTIF(L29:R29,"&gt;-")</f>
        <v>0</v>
      </c>
      <c r="BM29" s="575">
        <f>COUNT(L29:R29)</f>
        <v>0</v>
      </c>
      <c r="BN29" s="575">
        <v>5</v>
      </c>
      <c r="BO29" s="575" t="e">
        <f>IF(AND($A27,BM29&gt;=BN29),BM29*10,"--")</f>
        <v>#REF!</v>
      </c>
      <c r="BP29" s="575" t="e">
        <f>IF(AND($A27,BM29&gt;=BN29),SUM(L29:R29),"--")</f>
        <v>#REF!</v>
      </c>
    </row>
    <row r="30" spans="1:80" ht="15">
      <c r="B30" s="33"/>
      <c r="C30" s="22"/>
      <c r="D30" s="22"/>
      <c r="E30" s="22"/>
      <c r="F30" s="22"/>
      <c r="G30" s="22"/>
      <c r="H30" s="22"/>
      <c r="I30" s="22"/>
      <c r="J30" s="22"/>
      <c r="K30" s="22"/>
      <c r="L30" s="22"/>
      <c r="M30" s="22"/>
      <c r="N30" s="22"/>
      <c r="O30" s="22"/>
      <c r="P30" s="22"/>
      <c r="Q30" s="22"/>
      <c r="R30" s="22"/>
      <c r="S30" s="22"/>
      <c r="T30" s="22"/>
      <c r="U30" s="22"/>
      <c r="V30" s="22"/>
      <c r="W30" s="22"/>
      <c r="X30" s="22"/>
      <c r="Y30" s="22"/>
      <c r="Z30" s="22"/>
      <c r="AA30" s="22"/>
      <c r="AB30" s="22"/>
      <c r="AC30" s="22"/>
      <c r="AD30" s="22"/>
      <c r="AE30" s="22"/>
      <c r="AF30" s="22"/>
      <c r="AG30" s="22"/>
      <c r="AH30" s="22"/>
      <c r="AI30" s="25"/>
      <c r="AJ30" s="25"/>
      <c r="AK30" s="25"/>
      <c r="AL30" s="25"/>
      <c r="AM30" s="22"/>
      <c r="AN30" s="22"/>
      <c r="AO30" s="22"/>
      <c r="AP30" s="22"/>
      <c r="AQ30" s="183"/>
      <c r="AR30" s="183"/>
      <c r="AS30" s="208"/>
      <c r="AT30" s="183"/>
      <c r="AU30" s="183"/>
      <c r="AV30" s="183"/>
      <c r="AW30" s="183"/>
      <c r="AX30" s="183"/>
      <c r="AY30" s="183"/>
      <c r="AZ30" s="183"/>
      <c r="BA30" s="183"/>
      <c r="BB30" s="183"/>
      <c r="BC30" s="183"/>
      <c r="BD30" s="183"/>
      <c r="BE30"/>
      <c r="BF30"/>
      <c r="BG30"/>
      <c r="BH30"/>
      <c r="BI30" s="37"/>
      <c r="BJ30" s="183"/>
    </row>
    <row r="31" spans="1:80" ht="15.75">
      <c r="A31" s="757" t="e">
        <f>#REF!</f>
        <v>#REF!</v>
      </c>
      <c r="B31" s="33"/>
      <c r="C31" s="53" t="s">
        <v>142</v>
      </c>
      <c r="D31" s="54" t="str">
        <f>Questions!C69</f>
        <v xml:space="preserve">Process analysis /
production </v>
      </c>
      <c r="E31" s="25"/>
      <c r="F31" s="25"/>
      <c r="G31" s="25"/>
      <c r="H31" s="25"/>
      <c r="I31" s="25"/>
      <c r="J31" s="25"/>
      <c r="K31" s="25"/>
      <c r="L31" s="25"/>
      <c r="M31" s="25"/>
      <c r="N31" s="25"/>
      <c r="O31" s="25"/>
      <c r="P31" s="25"/>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141"/>
      <c r="AR31"/>
      <c r="AS31" s="25"/>
      <c r="AT31" s="25"/>
      <c r="AU31" s="25"/>
      <c r="AV31" s="25"/>
      <c r="AW31" s="25"/>
      <c r="AX31" s="25"/>
      <c r="AY31" s="25"/>
      <c r="AZ31" s="25"/>
      <c r="BA31" s="25"/>
      <c r="BB31" s="25"/>
      <c r="BC31" s="25"/>
      <c r="BD31" s="25"/>
      <c r="BE31"/>
      <c r="BF31"/>
      <c r="BG31"/>
      <c r="BH31"/>
      <c r="BI31" s="155"/>
      <c r="BJ31" s="25"/>
    </row>
    <row r="32" spans="1:80" ht="15">
      <c r="B32" s="33"/>
      <c r="C32" s="22"/>
      <c r="D32" s="22"/>
      <c r="E32" s="22"/>
      <c r="F32" s="22"/>
      <c r="G32" s="22"/>
      <c r="H32" s="22"/>
      <c r="I32" s="22"/>
      <c r="J32" s="22"/>
      <c r="K32" s="22"/>
      <c r="L32" s="22"/>
      <c r="M32" s="22"/>
      <c r="N32" s="22"/>
      <c r="O32" s="25"/>
      <c r="P32" s="22"/>
      <c r="Q32" s="22"/>
      <c r="R32" s="22"/>
      <c r="S32" s="22"/>
      <c r="T32" s="22"/>
      <c r="U32" s="22"/>
      <c r="V32" s="22"/>
      <c r="W32" s="22"/>
      <c r="X32" s="22"/>
      <c r="Y32" s="22"/>
      <c r="Z32" s="22"/>
      <c r="AA32" s="22"/>
      <c r="AB32" s="22"/>
      <c r="AC32" s="22"/>
      <c r="AD32" s="22"/>
      <c r="AE32" s="22"/>
      <c r="AF32" s="22"/>
      <c r="AG32" s="22"/>
      <c r="AH32" s="22"/>
      <c r="AI32" s="22"/>
      <c r="AJ32" s="22"/>
      <c r="AK32" s="22"/>
      <c r="AL32" s="22"/>
      <c r="AM32" s="22"/>
      <c r="AN32" s="22"/>
      <c r="AO32" s="22"/>
      <c r="AP32" s="22"/>
      <c r="AQ32" s="22"/>
      <c r="AR32" s="22"/>
      <c r="AS32" s="22"/>
      <c r="AT32" s="22"/>
      <c r="AU32" s="22"/>
      <c r="AV32" s="22"/>
      <c r="AW32" s="22"/>
      <c r="AX32" s="22"/>
      <c r="AY32" s="22"/>
      <c r="AZ32" s="22"/>
      <c r="BA32" s="22"/>
      <c r="BB32" s="22"/>
      <c r="BC32" s="22"/>
      <c r="BD32" s="22"/>
      <c r="BE32"/>
      <c r="BF32"/>
      <c r="BG32"/>
      <c r="BH32"/>
      <c r="BI32" s="34"/>
      <c r="BJ32" s="22"/>
    </row>
    <row r="33" spans="1:68" ht="30" customHeight="1">
      <c r="B33" s="33"/>
      <c r="C33"/>
      <c r="D33" s="28" t="e">
        <f>#REF!</f>
        <v>#REF!</v>
      </c>
      <c r="E33" s="29"/>
      <c r="F33" s="29"/>
      <c r="G33" s="29"/>
      <c r="H33" s="29"/>
      <c r="I33"/>
      <c r="J33" s="1199" t="e">
        <f>#REF!</f>
        <v>#REF!</v>
      </c>
      <c r="K33" s="1199" t="e">
        <f>#REF!</f>
        <v>#REF!</v>
      </c>
      <c r="L33" s="1199" t="e">
        <f>#REF!</f>
        <v>#REF!</v>
      </c>
      <c r="M33" s="1199" t="e">
        <f>#REF!</f>
        <v>#REF!</v>
      </c>
      <c r="N33" s="1199" t="e">
        <f>#REF!</f>
        <v>#REF!</v>
      </c>
      <c r="O33" s="1199" t="e">
        <f>#REF!</f>
        <v>#REF!</v>
      </c>
      <c r="P33" s="1199" t="e">
        <f>#REF!</f>
        <v>#REF!</v>
      </c>
      <c r="Q33" s="1199" t="e">
        <f>#REF!</f>
        <v>#REF!</v>
      </c>
      <c r="R33" s="1199" t="e">
        <f>#REF!</f>
        <v>#REF!</v>
      </c>
      <c r="S33" s="29"/>
      <c r="T33" s="1200" t="e">
        <f>#REF!</f>
        <v>#REF!</v>
      </c>
      <c r="U33" s="1200" t="e">
        <f>#REF!</f>
        <v>#REF!</v>
      </c>
      <c r="V33" s="1200" t="e">
        <f>#REF!</f>
        <v>#REF!</v>
      </c>
      <c r="W33" s="1200" t="e">
        <f>#REF!</f>
        <v>#REF!</v>
      </c>
      <c r="X33" s="1200" t="e">
        <f>#REF!</f>
        <v>#REF!</v>
      </c>
      <c r="Z33" s="1200" t="e">
        <f>#REF!</f>
        <v>#REF!</v>
      </c>
      <c r="AA33" s="1200" t="e">
        <f>#REF!</f>
        <v>#REF!</v>
      </c>
      <c r="AB33" s="1200" t="e">
        <f>#REF!</f>
        <v>#REF!</v>
      </c>
      <c r="AC33" s="1200" t="e">
        <f>#REF!</f>
        <v>#REF!</v>
      </c>
      <c r="AD33" s="29"/>
      <c r="AE33" s="1200" t="e">
        <f>#REF!</f>
        <v>#REF!</v>
      </c>
      <c r="AF33" s="1200" t="e">
        <f>#REF!</f>
        <v>#REF!</v>
      </c>
      <c r="AG33" s="1200" t="e">
        <f>#REF!</f>
        <v>#REF!</v>
      </c>
      <c r="AH33" s="1200" t="e">
        <f>#REF!</f>
        <v>#REF!</v>
      </c>
      <c r="AI33" s="29"/>
      <c r="AJ33" s="29"/>
      <c r="AK33" s="29"/>
      <c r="AL33" s="29"/>
      <c r="AM33"/>
      <c r="AN33"/>
      <c r="AO33"/>
      <c r="AP33"/>
      <c r="AQ33" s="1201" t="e">
        <f>#REF!</f>
        <v>#REF!</v>
      </c>
      <c r="AR33" s="1201" t="e">
        <f>#REF!</f>
        <v>#REF!</v>
      </c>
      <c r="AS33" s="1201" t="e">
        <f>#REF!</f>
        <v>#REF!</v>
      </c>
      <c r="AT33" s="1201" t="e">
        <f>#REF!</f>
        <v>#REF!</v>
      </c>
      <c r="AU33" s="29"/>
      <c r="AX33" s="156" t="e">
        <f>#REF!</f>
        <v>#REF!</v>
      </c>
      <c r="AY33" s="29"/>
      <c r="AZ33" s="29"/>
      <c r="BA33" s="29"/>
      <c r="BB33" s="29"/>
      <c r="BC33" s="29"/>
      <c r="BD33" s="29"/>
      <c r="BE33" s="29"/>
      <c r="BF33"/>
      <c r="BG33"/>
      <c r="BH33"/>
      <c r="BI33" s="157"/>
      <c r="BJ33" s="29"/>
    </row>
    <row r="34" spans="1:68">
      <c r="B34" s="33"/>
      <c r="C34" s="20"/>
      <c r="D34" s="281" t="s">
        <v>167</v>
      </c>
      <c r="E34" s="282" t="s">
        <v>76</v>
      </c>
      <c r="F34" s="281" t="s">
        <v>62</v>
      </c>
      <c r="G34" s="281" t="s">
        <v>63</v>
      </c>
      <c r="H34" s="466" t="s">
        <v>331</v>
      </c>
      <c r="I34" s="283"/>
      <c r="J34" s="281" t="s">
        <v>169</v>
      </c>
      <c r="K34" s="282" t="s">
        <v>0</v>
      </c>
      <c r="L34" s="466" t="s">
        <v>89</v>
      </c>
      <c r="M34" s="466" t="s">
        <v>90</v>
      </c>
      <c r="N34" s="281" t="s">
        <v>65</v>
      </c>
      <c r="O34"/>
      <c r="P34" s="466" t="s">
        <v>501</v>
      </c>
      <c r="Q34" s="281" t="s">
        <v>4</v>
      </c>
      <c r="R34" s="281" t="s">
        <v>67</v>
      </c>
      <c r="S34" s="282"/>
      <c r="T34" s="466" t="s">
        <v>342</v>
      </c>
      <c r="U34" s="281" t="s">
        <v>171</v>
      </c>
      <c r="V34" s="466" t="s">
        <v>344</v>
      </c>
      <c r="W34" s="281" t="s">
        <v>70</v>
      </c>
      <c r="X34" s="281" t="s">
        <v>345</v>
      </c>
      <c r="Z34" s="281" t="s">
        <v>71</v>
      </c>
      <c r="AA34" s="281" t="s">
        <v>72</v>
      </c>
      <c r="AB34" s="466" t="s">
        <v>646</v>
      </c>
      <c r="AC34" s="281" t="s">
        <v>176</v>
      </c>
      <c r="AD34" s="283"/>
      <c r="AE34" s="281" t="s">
        <v>179</v>
      </c>
      <c r="AF34" s="281" t="s">
        <v>73</v>
      </c>
      <c r="AG34" s="281" t="s">
        <v>74</v>
      </c>
      <c r="AH34" s="466" t="s">
        <v>348</v>
      </c>
      <c r="AI34" s="284"/>
      <c r="AJ34" s="284"/>
      <c r="AK34" s="284"/>
      <c r="AL34" s="284"/>
      <c r="AM34" s="284"/>
      <c r="AN34" s="284"/>
      <c r="AO34" s="284"/>
      <c r="AP34" s="284"/>
      <c r="AQ34" s="284"/>
      <c r="AR34" s="283"/>
      <c r="AS34" s="285"/>
      <c r="AT34" s="282"/>
      <c r="AU34" s="282"/>
      <c r="AX34" s="281" t="s">
        <v>76</v>
      </c>
      <c r="AY34" s="282" t="s">
        <v>62</v>
      </c>
      <c r="AZ34" s="282" t="s">
        <v>63</v>
      </c>
      <c r="BA34" s="282" t="s">
        <v>2</v>
      </c>
      <c r="BB34" s="282" t="s">
        <v>65</v>
      </c>
      <c r="BC34" s="282" t="s">
        <v>179</v>
      </c>
      <c r="BD34" s="282" t="s">
        <v>73</v>
      </c>
      <c r="BE34" s="282" t="s">
        <v>74</v>
      </c>
      <c r="BF34"/>
      <c r="BG34"/>
      <c r="BH34"/>
      <c r="BI34" s="38"/>
      <c r="BJ34" s="21"/>
    </row>
    <row r="35" spans="1:68" ht="15.75" hidden="1" thickBot="1">
      <c r="B35" s="33"/>
      <c r="C35" s="28"/>
      <c r="D35" s="154" t="s">
        <v>92</v>
      </c>
      <c r="E35" s="154"/>
      <c r="F35" s="21"/>
      <c r="G35" s="21"/>
      <c r="H35" s="467"/>
      <c r="I35" s="154" t="str">
        <f>PrSchr1</f>
        <v>Incoming</v>
      </c>
      <c r="K35" s="21"/>
      <c r="L35" s="468"/>
      <c r="M35" s="468"/>
      <c r="N35" s="21"/>
      <c r="O35"/>
      <c r="P35" s="468"/>
      <c r="Q35" s="21"/>
      <c r="R35" s="21"/>
      <c r="S35" s="21"/>
      <c r="T35" s="468"/>
      <c r="U35" s="21"/>
      <c r="V35" s="468"/>
      <c r="W35" s="21"/>
      <c r="X35" s="21"/>
      <c r="Z35" s="21"/>
      <c r="AA35" s="21"/>
      <c r="AB35" s="468"/>
      <c r="AC35" s="21"/>
      <c r="AD35" s="21"/>
      <c r="AE35" s="21"/>
      <c r="AF35" s="21"/>
      <c r="AG35" s="21"/>
      <c r="AH35" s="468"/>
      <c r="AN35" s="477"/>
      <c r="AO35" s="477"/>
      <c r="AP35" s="477"/>
      <c r="AQ35" s="21"/>
      <c r="AR35" s="28" t="s">
        <v>101</v>
      </c>
      <c r="AS35" s="146"/>
      <c r="AT35" s="140"/>
      <c r="AU35" s="140"/>
      <c r="AX35" s="140"/>
      <c r="AY35" s="140"/>
      <c r="AZ35" s="160"/>
      <c r="BA35" s="160"/>
      <c r="BB35" s="160"/>
      <c r="BC35" s="160"/>
      <c r="BD35" s="160"/>
      <c r="BE35" s="160"/>
      <c r="BF35"/>
      <c r="BG35"/>
      <c r="BH35"/>
      <c r="BI35" s="36"/>
      <c r="BJ35"/>
      <c r="BL35" s="477" t="e">
        <f>$BL$7</f>
        <v>#REF!</v>
      </c>
      <c r="BM35" s="477" t="e">
        <f>$BM$7</f>
        <v>#REF!</v>
      </c>
      <c r="BN35" s="477" t="e">
        <f>$BN$7</f>
        <v>#REF!</v>
      </c>
      <c r="BO35" s="477" t="e">
        <f>BO7</f>
        <v>#REF!</v>
      </c>
      <c r="BP35" s="477" t="e">
        <f>BP7</f>
        <v>#REF!</v>
      </c>
    </row>
    <row r="36" spans="1:68" ht="15.75" hidden="1" thickBot="1">
      <c r="A36" s="198" t="str">
        <f>IF(COUNT(D36:AH36)=0,"n.b.",IF(MIN(D36:H36,J36:N36,P36:R36,T36:X36,Z36:AC36,AE36:AH36)=0,"B","A"))</f>
        <v>n.b.</v>
      </c>
      <c r="B36" s="33"/>
      <c r="C36" s="30" t="e">
        <f>IF(AND(#REF!="X",'Input Form'!C53="x"),"X","&lt;&gt;")</f>
        <v>#REF!</v>
      </c>
      <c r="D36" s="189" t="e">
        <f>IF($A$31=FALSE,$BL$35,IF($C36="X",IF(ISBLANK(Questions!$D72),"--",Questions!$D72),"xx"))</f>
        <v>#REF!</v>
      </c>
      <c r="E36" s="189" t="e">
        <f>IF($A$31=FALSE,$BL$35,IF($C36="X",IF(ISBLANK(Questions!$D83),"--",Questions!$D83),"xx"))</f>
        <v>#REF!</v>
      </c>
      <c r="F36" s="189" t="e">
        <f>IF($A$31=FALSE,$BL$35,IF($C36="X",IF(ISBLANK(Questions!$D94),"--",Questions!$D94),"xx"))</f>
        <v>#REF!</v>
      </c>
      <c r="G36" s="189" t="e">
        <f>IF($A$31=FALSE,$BL$35,IF($C36="X",IF(ISBLANK(Questions!$D105),"--",Questions!$D105),"xx"))</f>
        <v>#REF!</v>
      </c>
      <c r="H36" s="470" t="e">
        <f>IF($A$31=FALSE,$BL$35,IF($C36="X",IF(ISBLANK(Questions!$D116),"--",Questions!$D116),"xx"))</f>
        <v>#REF!</v>
      </c>
      <c r="I36" s="183"/>
      <c r="J36" s="189" t="e">
        <f>IF($A$31=FALSE,$BL$35,IF($C36="X",IF(ISBLANK(Questions!$D128),"--",Questions!$D128),"xx"))</f>
        <v>#REF!</v>
      </c>
      <c r="K36" s="189" t="e">
        <f>IF($A$31=FALSE,$BL$35,IF($C36="X",IF(ISBLANK(Questions!$D139),"--",Questions!$D139),"xx"))</f>
        <v>#REF!</v>
      </c>
      <c r="L36" s="470" t="e">
        <f>IF($A$31=FALSE,$BL$35,IF($C36="X",IF(ISBLANK(Questions!$D150),"--",Questions!$D150),"xx"))</f>
        <v>#REF!</v>
      </c>
      <c r="M36" s="470" t="e">
        <f>IF($A$31=FALSE,$BL$35,IF($C36="X",IF(ISBLANK(Questions!$D161),"--",Questions!$D161),"xx"))</f>
        <v>#REF!</v>
      </c>
      <c r="N36" s="189" t="e">
        <f>IF($A$31=FALSE,$BL$35,IF($C36="X",IF(ISBLANK(Questions!$D172),"--",Questions!$D172),"xx"))</f>
        <v>#REF!</v>
      </c>
      <c r="O36"/>
      <c r="P36" s="470" t="e">
        <f>IF($A$31=FALSE,$BL$35,IF($C36="X",IF(ISBLANK(Questions!$D182),"--",Questions!$D182),"xx"))</f>
        <v>#REF!</v>
      </c>
      <c r="Q36" s="189" t="e">
        <f>IF($A$31=FALSE,$BL$35,IF($C36="X",IF(ISBLANK(Questions!$D193),"--",Questions!$D193),"xx"))</f>
        <v>#REF!</v>
      </c>
      <c r="R36" s="189" t="e">
        <f>IF($A$31=FALSE,$BL$35,IF($C36="X",IF(ISBLANK(Questions!$D204),"--",Questions!$D204),"xx"))</f>
        <v>#REF!</v>
      </c>
      <c r="S36" s="183"/>
      <c r="T36" s="470" t="e">
        <f>IF($A$31=FALSE,$BL$35,IF($C36="X",IF(ISBLANK(Questions!$D216),"--",Questions!$D216),"xx"))</f>
        <v>#REF!</v>
      </c>
      <c r="U36" s="189" t="e">
        <f>IF($A$31=FALSE,$BL$35,IF($C36="X",IF(ISBLANK(Questions!$D227),"--",Questions!$D227),"xx"))</f>
        <v>#REF!</v>
      </c>
      <c r="V36" s="470" t="e">
        <f>IF($A$31=FALSE,$BL$35,IF($C36="X",IF(ISBLANK(Questions!$D238),"--",Questions!$D238),"xx"))</f>
        <v>#REF!</v>
      </c>
      <c r="W36" s="189" t="e">
        <f>IF($A$31=FALSE,$BL$35,IF($C36="X",IF(ISBLANK(Questions!$D249),"--",Questions!$D249),"xx"))</f>
        <v>#REF!</v>
      </c>
      <c r="X36" s="189" t="e">
        <f>IF($A$31=FALSE,$BL$35,IF($C36="X",IF(ISBLANK(Questions!$D260),"--",Questions!$D260),"xx"))</f>
        <v>#REF!</v>
      </c>
      <c r="Z36" s="189" t="e">
        <f>IF($A$31=FALSE,$BL$35,IF($C36="X",IF(ISBLANK(Questions!$D272),"--",Questions!$D272),"xx"))</f>
        <v>#REF!</v>
      </c>
      <c r="AA36" s="189" t="e">
        <f>IF($A$31=FALSE,$BL$35,IF($C36="X",IF(ISBLANK(Questions!$D283),"--",Questions!$D283),"xx"))</f>
        <v>#REF!</v>
      </c>
      <c r="AB36" s="470" t="e">
        <f>IF($A$31=FALSE,$BL$35,IF($C36="X",IF(ISBLANK(Questions!$D294),"--",Questions!$D294),"xx"))</f>
        <v>#REF!</v>
      </c>
      <c r="AC36" s="189" t="e">
        <f>IF($A$31=FALSE,$BL$35,IF($C36="X",IF(ISBLANK(Questions!$D305),"--",Questions!$D305),"xx"))</f>
        <v>#REF!</v>
      </c>
      <c r="AD36" s="183"/>
      <c r="AE36" s="189" t="e">
        <f>IF($A$31=FALSE,$BL$35,IF($C36="X",IF(ISBLANK(Questions!$D317),"--",Questions!$D317),"xx"))</f>
        <v>#REF!</v>
      </c>
      <c r="AF36" s="189" t="e">
        <f>IF($A$31=FALSE,$BL$35,IF($C36="X",IF(ISBLANK(Questions!$D328),"--",Questions!$D328),"xx"))</f>
        <v>#REF!</v>
      </c>
      <c r="AG36" s="189" t="e">
        <f>IF($A$31=FALSE,$BL$35,IF($C36="X",IF(ISBLANK(Questions!$D339),"--",Questions!$D339),"xx"))</f>
        <v>#REF!</v>
      </c>
      <c r="AH36" s="470" t="e">
        <f>IF($A$31=FALSE,$BL$35,IF($C36="X",IF(ISBLANK(Questions!$D350),"--",Questions!$D350),"xx"))</f>
        <v>#REF!</v>
      </c>
      <c r="AN36" s="477"/>
      <c r="AO36" s="477"/>
      <c r="AP36" s="477"/>
      <c r="AQ36" s="27"/>
      <c r="AR36" s="30"/>
      <c r="AS36" s="1197" t="e">
        <f>IF($A$31=FALSE,$BL$35,IF(C36="&lt;&gt;","xx",IF(BM36&lt;BN36,$BL$35,ROUND(BP36/BO36,2))))</f>
        <v>#REF!</v>
      </c>
      <c r="AT36" s="1198"/>
      <c r="AU36"/>
      <c r="AX36" s="602" t="e">
        <f>E36</f>
        <v>#REF!</v>
      </c>
      <c r="AY36" s="602" t="e">
        <f>F36</f>
        <v>#REF!</v>
      </c>
      <c r="AZ36" s="602" t="e">
        <f>G36</f>
        <v>#REF!</v>
      </c>
      <c r="BA36" s="602" t="e">
        <f>M36</f>
        <v>#REF!</v>
      </c>
      <c r="BB36" s="602" t="e">
        <f>N36</f>
        <v>#REF!</v>
      </c>
      <c r="BC36" s="602" t="e">
        <f>AE36</f>
        <v>#REF!</v>
      </c>
      <c r="BD36" s="602" t="e">
        <f>AF36</f>
        <v>#REF!</v>
      </c>
      <c r="BE36" s="602" t="e">
        <f>AG36</f>
        <v>#REF!</v>
      </c>
      <c r="BF36"/>
      <c r="BG36"/>
      <c r="BH36"/>
      <c r="BI36" s="36"/>
      <c r="BJ36"/>
      <c r="BL36" s="575">
        <f>COUNTIF(D36:AH36,"&gt;-")</f>
        <v>0</v>
      </c>
      <c r="BM36" s="575">
        <f>COUNT(D36:AH36)</f>
        <v>0</v>
      </c>
      <c r="BN36" s="575">
        <v>17</v>
      </c>
      <c r="BO36" s="575" t="e">
        <f>IF(AND($A$31,BM36&gt;=BN36),BM36*10,"--")</f>
        <v>#REF!</v>
      </c>
      <c r="BP36" s="575" t="e">
        <f>IF(AND($A$31,BM36&gt;=BN36),SUM(D36:AH36),"--")</f>
        <v>#REF!</v>
      </c>
    </row>
    <row r="37" spans="1:68" ht="15.75" hidden="1" thickBot="1">
      <c r="B37" s="33"/>
      <c r="C37" s="28"/>
      <c r="D37" s="154" t="s">
        <v>93</v>
      </c>
      <c r="E37" s="154"/>
      <c r="F37" s="22"/>
      <c r="G37" s="22"/>
      <c r="H37" s="467"/>
      <c r="I37" s="154" t="str">
        <f>PrSchr2</f>
        <v>Manufacturing</v>
      </c>
      <c r="K37" s="22"/>
      <c r="L37" s="469"/>
      <c r="M37" s="469"/>
      <c r="N37" s="22"/>
      <c r="O37"/>
      <c r="P37" s="469"/>
      <c r="Q37" s="22"/>
      <c r="R37" s="22"/>
      <c r="S37" s="22"/>
      <c r="T37" s="469"/>
      <c r="U37" s="22"/>
      <c r="V37" s="469"/>
      <c r="W37" s="22"/>
      <c r="X37" s="22"/>
      <c r="Z37" s="22"/>
      <c r="AA37" s="22"/>
      <c r="AB37" s="469"/>
      <c r="AC37" s="22"/>
      <c r="AD37" s="22"/>
      <c r="AE37" s="22"/>
      <c r="AF37" s="22"/>
      <c r="AG37" s="22"/>
      <c r="AH37" s="469"/>
      <c r="AN37" s="477"/>
      <c r="AO37" s="477"/>
      <c r="AP37" s="477"/>
      <c r="AQ37" s="22"/>
      <c r="AR37" s="28" t="s">
        <v>102</v>
      </c>
      <c r="AS37" s="332"/>
      <c r="AT37" s="333"/>
      <c r="AU37" s="183"/>
      <c r="AX37" s="503"/>
      <c r="AY37" s="503"/>
      <c r="AZ37" s="503"/>
      <c r="BA37" s="503"/>
      <c r="BB37" s="503"/>
      <c r="BC37" s="503"/>
      <c r="BD37" s="503"/>
      <c r="BE37" s="503"/>
      <c r="BF37"/>
      <c r="BG37"/>
      <c r="BH37"/>
      <c r="BI37" s="36"/>
      <c r="BJ37"/>
      <c r="BL37" s="22"/>
      <c r="BM37" s="22"/>
      <c r="BN37" s="22"/>
      <c r="BO37"/>
      <c r="BP37" s="22"/>
    </row>
    <row r="38" spans="1:68" ht="15.75" hidden="1" thickBot="1">
      <c r="A38" s="198" t="str">
        <f>IF(COUNT(D38:AH38)=0,"n.b.",IF(MIN(D38:H38,J38:N38,P38:R38,T38:X38,Z38:AC38,AE38:AH38)=0,"B","A"))</f>
        <v>n.b.</v>
      </c>
      <c r="B38" s="33"/>
      <c r="C38" s="30" t="e">
        <f>IF(AND(#REF!="X",'Input Form'!C54="x"),"X","&lt;&gt;")</f>
        <v>#REF!</v>
      </c>
      <c r="D38" s="189" t="e">
        <f>IF($A$31=FALSE,$BL$35,IF($C38="X",IF(ISBLANK(Questions!$D73),"--",Questions!$D73),"xx"))</f>
        <v>#REF!</v>
      </c>
      <c r="E38" s="189" t="e">
        <f>IF($A$31=FALSE,$BL$35,IF($C38="X",IF(ISBLANK(Questions!$D84),"--",Questions!$D84),"xx"))</f>
        <v>#REF!</v>
      </c>
      <c r="F38" s="189" t="e">
        <f>IF($A$31=FALSE,$BL$35,IF($C38="X",IF(ISBLANK(Questions!$D95),"--",Questions!$D95),"xx"))</f>
        <v>#REF!</v>
      </c>
      <c r="G38" s="189" t="e">
        <f>IF($A$31=FALSE,$BL$35,IF($C38="X",IF(ISBLANK(Questions!$D106),"--",Questions!$D106),"xx"))</f>
        <v>#REF!</v>
      </c>
      <c r="H38" s="470" t="e">
        <f>IF($A$31=FALSE,$BL$35,IF($C38="X",IF(ISBLANK(Questions!$D117),"--",Questions!$D117),"xx"))</f>
        <v>#REF!</v>
      </c>
      <c r="I38" s="183"/>
      <c r="J38" s="189" t="e">
        <f>IF($A$31=FALSE,$BL$35,IF($C38="X",IF(ISBLANK(Questions!$D129),"--",Questions!$D129),"xx"))</f>
        <v>#REF!</v>
      </c>
      <c r="K38" s="189" t="e">
        <f>IF($A$31=FALSE,$BL$35,IF($C38="X",IF(ISBLANK(Questions!$D140),"--",Questions!$D140),"xx"))</f>
        <v>#REF!</v>
      </c>
      <c r="L38" s="470" t="e">
        <f>IF($A$31=FALSE,$BL$35,IF($C38="X",IF(ISBLANK(Questions!$D151),"--",Questions!$D151),"xx"))</f>
        <v>#REF!</v>
      </c>
      <c r="M38" s="470" t="e">
        <f>IF($A$31=FALSE,$BL$35,IF($C38="X",IF(ISBLANK(Questions!$D162),"--",Questions!$D162),"xx"))</f>
        <v>#REF!</v>
      </c>
      <c r="N38" s="189" t="e">
        <f>IF($A$31=FALSE,$BL$35,IF($C38="X",IF(ISBLANK(Questions!$D173),"--",Questions!$D173),"xx"))</f>
        <v>#REF!</v>
      </c>
      <c r="O38"/>
      <c r="P38" s="470" t="e">
        <f>IF($A$31=FALSE,$BL$35,IF($C38="X",IF(ISBLANK(Questions!$D183),"--",Questions!$D183),"xx"))</f>
        <v>#REF!</v>
      </c>
      <c r="Q38" s="189" t="e">
        <f>IF($A$31=FALSE,$BL$35,IF($C38="X",IF(ISBLANK(Questions!$D194),"--",Questions!$D194),"xx"))</f>
        <v>#REF!</v>
      </c>
      <c r="R38" s="189" t="e">
        <f>IF($A$31=FALSE,$BL$35,IF($C38="X",IF(ISBLANK(Questions!$D205),"--",Questions!$D205),"xx"))</f>
        <v>#REF!</v>
      </c>
      <c r="S38" s="183"/>
      <c r="T38" s="470" t="e">
        <f>IF($A$31=FALSE,$BL$35,IF($C38="X",IF(ISBLANK(Questions!$D217),"--",Questions!$D217),"xx"))</f>
        <v>#REF!</v>
      </c>
      <c r="U38" s="189" t="e">
        <f>IF($A$31=FALSE,$BL$35,IF($C38="X",IF(ISBLANK(Questions!$D228),"--",Questions!$D228),"xx"))</f>
        <v>#REF!</v>
      </c>
      <c r="V38" s="470" t="e">
        <f>IF($A$31=FALSE,$BL$35,IF($C38="X",IF(ISBLANK(Questions!$D239),"--",Questions!$D239),"xx"))</f>
        <v>#REF!</v>
      </c>
      <c r="W38" s="189" t="e">
        <f>IF($A$31=FALSE,$BL$35,IF($C38="X",IF(ISBLANK(Questions!$D250),"--",Questions!$D250),"xx"))</f>
        <v>#REF!</v>
      </c>
      <c r="X38" s="189" t="e">
        <f>IF($A$31=FALSE,$BL$35,IF($C38="X",IF(ISBLANK(Questions!$D261),"--",Questions!$D261),"xx"))</f>
        <v>#REF!</v>
      </c>
      <c r="Z38" s="189" t="e">
        <f>IF($A$31=FALSE,$BL$35,IF($C38="X",IF(ISBLANK(Questions!$D273),"--",Questions!$D273),"xx"))</f>
        <v>#REF!</v>
      </c>
      <c r="AA38" s="189" t="e">
        <f>IF($A$31=FALSE,$BL$35,IF($C38="X",IF(ISBLANK(Questions!$D284),"--",Questions!$D284),"xx"))</f>
        <v>#REF!</v>
      </c>
      <c r="AB38" s="470" t="e">
        <f>IF($A$31=FALSE,$BL$35,IF($C38="X",IF(ISBLANK(Questions!$D295),"--",Questions!$D295),"xx"))</f>
        <v>#REF!</v>
      </c>
      <c r="AC38" s="189" t="e">
        <f>IF($A$31=FALSE,$BL$35,IF($C38="X",IF(ISBLANK(Questions!$D306),"--",Questions!$D306),"xx"))</f>
        <v>#REF!</v>
      </c>
      <c r="AD38" s="183"/>
      <c r="AE38" s="189" t="e">
        <f>IF($A$31=FALSE,$BL$35,IF($C38="X",IF(ISBLANK(Questions!$D318),"--",Questions!$D318),"xx"))</f>
        <v>#REF!</v>
      </c>
      <c r="AF38" s="189" t="e">
        <f>IF($A$31=FALSE,$BL$35,IF($C38="X",IF(ISBLANK(Questions!$D329),"--",Questions!$D329),"xx"))</f>
        <v>#REF!</v>
      </c>
      <c r="AG38" s="189" t="e">
        <f>IF($A$31=FALSE,$BL$35,IF($C38="X",IF(ISBLANK(Questions!$D340),"--",Questions!$D340),"xx"))</f>
        <v>#REF!</v>
      </c>
      <c r="AH38" s="470" t="e">
        <f>IF($A$31=FALSE,$BL$35,IF($C38="X",IF(ISBLANK(Questions!$D351),"--",Questions!$D351),"xx"))</f>
        <v>#REF!</v>
      </c>
      <c r="AN38" s="477"/>
      <c r="AO38" s="477"/>
      <c r="AP38" s="477"/>
      <c r="AQ38" s="27"/>
      <c r="AR38" s="30"/>
      <c r="AS38" s="1197" t="e">
        <f>IF($A$31=FALSE,$BL$35,IF(C38="&lt;&gt;","xx",IF(BM38&lt;BN38,$BL$35,ROUND(BP38/BO38,2))))</f>
        <v>#REF!</v>
      </c>
      <c r="AT38" s="1198"/>
      <c r="AU38"/>
      <c r="AX38" s="602" t="e">
        <f>E38</f>
        <v>#REF!</v>
      </c>
      <c r="AY38" s="602" t="e">
        <f>F38</f>
        <v>#REF!</v>
      </c>
      <c r="AZ38" s="602" t="e">
        <f>G38</f>
        <v>#REF!</v>
      </c>
      <c r="BA38" s="602" t="e">
        <f>M38</f>
        <v>#REF!</v>
      </c>
      <c r="BB38" s="602" t="e">
        <f>N38</f>
        <v>#REF!</v>
      </c>
      <c r="BC38" s="602" t="e">
        <f>AE38</f>
        <v>#REF!</v>
      </c>
      <c r="BD38" s="602" t="e">
        <f>AF38</f>
        <v>#REF!</v>
      </c>
      <c r="BE38" s="602" t="e">
        <f>AG38</f>
        <v>#REF!</v>
      </c>
      <c r="BF38"/>
      <c r="BG38"/>
      <c r="BH38"/>
      <c r="BI38" s="36"/>
      <c r="BJ38"/>
      <c r="BL38" s="575">
        <f>COUNTIF(D38:AH38,"&gt;-")</f>
        <v>0</v>
      </c>
      <c r="BM38" s="575">
        <f>COUNT(D38:AH38)</f>
        <v>0</v>
      </c>
      <c r="BN38" s="575">
        <v>17</v>
      </c>
      <c r="BO38" s="575" t="e">
        <f>IF(AND($A$31,BM38&gt;=BN38),BM38*10,"--")</f>
        <v>#REF!</v>
      </c>
      <c r="BP38" s="575" t="e">
        <f>IF(AND($A$31,BM38&gt;=BN38),SUM(D38:AH38),"--")</f>
        <v>#REF!</v>
      </c>
    </row>
    <row r="39" spans="1:68" ht="15.75" hidden="1" thickBot="1">
      <c r="B39" s="33"/>
      <c r="C39" s="28"/>
      <c r="D39" s="154" t="s">
        <v>94</v>
      </c>
      <c r="E39" s="154"/>
      <c r="F39" s="22"/>
      <c r="G39" s="22"/>
      <c r="H39" s="467"/>
      <c r="I39" s="154" t="str">
        <f>PrSchr3</f>
        <v>Shipping</v>
      </c>
      <c r="K39" s="22"/>
      <c r="L39" s="469"/>
      <c r="M39" s="469"/>
      <c r="N39" s="22"/>
      <c r="O39"/>
      <c r="P39" s="469"/>
      <c r="Q39" s="22"/>
      <c r="R39" s="22"/>
      <c r="S39" s="22"/>
      <c r="T39" s="469"/>
      <c r="U39" s="22"/>
      <c r="V39" s="469"/>
      <c r="W39" s="22"/>
      <c r="X39" s="22"/>
      <c r="Z39" s="22"/>
      <c r="AA39" s="22"/>
      <c r="AB39" s="469"/>
      <c r="AC39" s="22"/>
      <c r="AD39" s="22"/>
      <c r="AE39" s="22"/>
      <c r="AF39" s="22"/>
      <c r="AG39" s="22"/>
      <c r="AH39" s="469"/>
      <c r="AN39" s="477"/>
      <c r="AO39" s="477"/>
      <c r="AP39" s="477"/>
      <c r="AQ39" s="22"/>
      <c r="AR39" s="28" t="s">
        <v>103</v>
      </c>
      <c r="AS39" s="183"/>
      <c r="AT39" s="183"/>
      <c r="AU39" s="183"/>
      <c r="AX39" s="503"/>
      <c r="AY39" s="503"/>
      <c r="AZ39" s="503"/>
      <c r="BA39" s="503"/>
      <c r="BB39" s="503"/>
      <c r="BC39" s="503"/>
      <c r="BD39" s="503"/>
      <c r="BE39" s="503"/>
      <c r="BF39"/>
      <c r="BG39"/>
      <c r="BH39"/>
      <c r="BI39" s="36"/>
      <c r="BJ39"/>
      <c r="BL39" s="22"/>
      <c r="BM39" s="22"/>
      <c r="BN39" s="22"/>
      <c r="BO39"/>
      <c r="BP39" s="22"/>
    </row>
    <row r="40" spans="1:68" ht="15.75" hidden="1" thickBot="1">
      <c r="A40" s="198" t="str">
        <f>IF(COUNT(D40:AH40)=0,"n.b.",IF(MIN(D40:H40,J40:N40,P40:R40,T40:X40,Z40:AC40,AE40:AH40)=0,"B","A"))</f>
        <v>n.b.</v>
      </c>
      <c r="B40" s="33"/>
      <c r="C40" s="30" t="e">
        <f>IF(AND(#REF!="X",'Input Form'!C55="x"),"X","&lt;&gt;")</f>
        <v>#REF!</v>
      </c>
      <c r="D40" s="189" t="e">
        <f>IF($A$31=FALSE,$BL$35,IF($C40="X",IF(ISBLANK(Questions!$D74),"--",Questions!$D74),"xx"))</f>
        <v>#REF!</v>
      </c>
      <c r="E40" s="189" t="e">
        <f>IF($A$31=FALSE,$BL$35,IF($C40="X",IF(ISBLANK(Questions!$D85),"--",Questions!$D85),"xx"))</f>
        <v>#REF!</v>
      </c>
      <c r="F40" s="189" t="e">
        <f>IF($A$31=FALSE,$BL$35,IF($C40="X",IF(ISBLANK(Questions!$D98),"--",Questions!$D98),"xx"))</f>
        <v>#REF!</v>
      </c>
      <c r="G40" s="189" t="e">
        <f>IF($A$31=FALSE,$BL$35,IF($C40="X",IF(ISBLANK(Questions!$D107),"--",Questions!$D107),"xx"))</f>
        <v>#REF!</v>
      </c>
      <c r="H40" s="470" t="e">
        <f>IF($A$31=FALSE,$BL$35,IF($C40="X",IF(ISBLANK(Questions!$D118),"--",Questions!$D118),"xx"))</f>
        <v>#REF!</v>
      </c>
      <c r="I40" s="183"/>
      <c r="J40" s="189" t="e">
        <f>IF($A$31=FALSE,$BL$35,IF($C40="X",IF(ISBLANK(Questions!$D130),"--",Questions!$D130),"xx"))</f>
        <v>#REF!</v>
      </c>
      <c r="K40" s="189" t="e">
        <f>IF($A$31=FALSE,$BL$35,IF($C40="X",IF(ISBLANK(Questions!$D141),"--",Questions!$D141),"xx"))</f>
        <v>#REF!</v>
      </c>
      <c r="L40" s="470" t="e">
        <f>IF($A$31=FALSE,$BL$35,IF($C40="X",IF(ISBLANK(Questions!$D152),"--",Questions!$D152),"xx"))</f>
        <v>#REF!</v>
      </c>
      <c r="M40" s="470" t="e">
        <f>IF($A$31=FALSE,$BL$35,IF($C40="X",IF(ISBLANK(Questions!$D163),"--",Questions!$D163),"xx"))</f>
        <v>#REF!</v>
      </c>
      <c r="N40" s="189" t="e">
        <f>IF($A$31=FALSE,$BL$35,IF($C40="X",IF(ISBLANK(Questions!$D174),"--",Questions!$D174),"xx"))</f>
        <v>#REF!</v>
      </c>
      <c r="O40"/>
      <c r="P40" s="470" t="e">
        <f>IF($A$31=FALSE,$BL$35,IF($C40="X",IF(ISBLANK(Questions!$D184),"--",Questions!$D184),"xx"))</f>
        <v>#REF!</v>
      </c>
      <c r="Q40" s="189" t="e">
        <f>IF($A$31=FALSE,$BL$35,IF($C40="X",IF(ISBLANK(Questions!$D195),"--",Questions!$D195),"xx"))</f>
        <v>#REF!</v>
      </c>
      <c r="R40" s="189" t="e">
        <f>IF($A$31=FALSE,$BL$35,IF($C40="X",IF(ISBLANK(Questions!$D206),"--",Questions!$D206),"xx"))</f>
        <v>#REF!</v>
      </c>
      <c r="S40" s="183"/>
      <c r="T40" s="470" t="e">
        <f>IF($A$31=FALSE,$BL$35,IF($C40="X",IF(ISBLANK(Questions!$D218),"--",Questions!$D218),"xx"))</f>
        <v>#REF!</v>
      </c>
      <c r="U40" s="189" t="e">
        <f>IF($A$31=FALSE,$BL$35,IF($C40="X",IF(ISBLANK(Questions!$D229),"--",Questions!$D229),"xx"))</f>
        <v>#REF!</v>
      </c>
      <c r="V40" s="470" t="e">
        <f>IF($A$31=FALSE,$BL$35,IF($C40="X",IF(ISBLANK(Questions!$D240),"--",Questions!$D240),"xx"))</f>
        <v>#REF!</v>
      </c>
      <c r="W40" s="189" t="e">
        <f>IF($A$31=FALSE,$BL$35,IF($C40="X",IF(ISBLANK(Questions!$D251),"--",Questions!$D251),"xx"))</f>
        <v>#REF!</v>
      </c>
      <c r="X40" s="189" t="e">
        <f>IF($A$31=FALSE,$BL$35,IF($C40="X",IF(ISBLANK(Questions!$D262),"--",Questions!$D262),"xx"))</f>
        <v>#REF!</v>
      </c>
      <c r="Z40" s="189" t="e">
        <f>IF($A$31=FALSE,$BL$35,IF($C40="X",IF(ISBLANK(Questions!$D274),"--",Questions!$D274),"xx"))</f>
        <v>#REF!</v>
      </c>
      <c r="AA40" s="189" t="e">
        <f>IF($A$31=FALSE,$BL$35,IF($C40="X",IF(ISBLANK(Questions!$D285),"--",Questions!$D285),"xx"))</f>
        <v>#REF!</v>
      </c>
      <c r="AB40" s="470" t="e">
        <f>IF($A$31=FALSE,$BL$35,IF($C40="X",IF(ISBLANK(Questions!$D296),"--",Questions!$D296),"xx"))</f>
        <v>#REF!</v>
      </c>
      <c r="AC40" s="189" t="e">
        <f>IF($A$31=FALSE,$BL$35,IF($C40="X",IF(ISBLANK(Questions!$D307),"--",Questions!$D307),"xx"))</f>
        <v>#REF!</v>
      </c>
      <c r="AD40" s="183"/>
      <c r="AE40" s="189" t="e">
        <f>IF($A$31=FALSE,$BL$35,IF($C40="X",IF(ISBLANK(Questions!$D319),"--",Questions!$D319),"xx"))</f>
        <v>#REF!</v>
      </c>
      <c r="AF40" s="189" t="e">
        <f>IF($A$31=FALSE,$BL$35,IF($C40="X",IF(ISBLANK(Questions!$D330),"--",Questions!$D330),"xx"))</f>
        <v>#REF!</v>
      </c>
      <c r="AG40" s="189" t="e">
        <f>IF($A$31=FALSE,$BL$35,IF($C40="X",IF(ISBLANK(Questions!$D341),"--",Questions!$D341),"xx"))</f>
        <v>#REF!</v>
      </c>
      <c r="AH40" s="470" t="e">
        <f>IF($A$31=FALSE,$BL$35,IF($C40="X",IF(ISBLANK(Questions!$D352),"--",Questions!$D352),"xx"))</f>
        <v>#REF!</v>
      </c>
      <c r="AN40" s="477"/>
      <c r="AO40" s="477"/>
      <c r="AP40" s="477"/>
      <c r="AQ40" s="27"/>
      <c r="AR40" s="30"/>
      <c r="AS40" s="1197" t="e">
        <f>IF($A$31=FALSE,$BL$35,IF(C40="&lt;&gt;","xx",IF(BM40&lt;BN40,$BL$35,ROUND(BP40/BO40,2))))</f>
        <v>#REF!</v>
      </c>
      <c r="AT40" s="1198"/>
      <c r="AU40"/>
      <c r="AX40" s="602" t="e">
        <f>E40</f>
        <v>#REF!</v>
      </c>
      <c r="AY40" s="602" t="e">
        <f>F40</f>
        <v>#REF!</v>
      </c>
      <c r="AZ40" s="602" t="e">
        <f>G40</f>
        <v>#REF!</v>
      </c>
      <c r="BA40" s="602" t="e">
        <f>M40</f>
        <v>#REF!</v>
      </c>
      <c r="BB40" s="602" t="e">
        <f>N40</f>
        <v>#REF!</v>
      </c>
      <c r="BC40" s="602" t="e">
        <f>AE40</f>
        <v>#REF!</v>
      </c>
      <c r="BD40" s="602" t="e">
        <f>AF40</f>
        <v>#REF!</v>
      </c>
      <c r="BE40" s="602" t="e">
        <f>AG40</f>
        <v>#REF!</v>
      </c>
      <c r="BF40"/>
      <c r="BG40"/>
      <c r="BH40"/>
      <c r="BI40" s="36"/>
      <c r="BJ40"/>
      <c r="BL40" s="575">
        <f>COUNTIF(D40:AH40,"&gt;-")</f>
        <v>0</v>
      </c>
      <c r="BM40" s="575">
        <f>COUNT(D40:AH40)</f>
        <v>0</v>
      </c>
      <c r="BN40" s="575">
        <v>17</v>
      </c>
      <c r="BO40" s="575" t="e">
        <f>IF(AND($A$31,BM40&gt;=BN40),BM40*10,"--")</f>
        <v>#REF!</v>
      </c>
      <c r="BP40" s="575" t="e">
        <f>IF(AND($A$31,BM40&gt;=BN40),SUM(D40:AH40),"--")</f>
        <v>#REF!</v>
      </c>
    </row>
    <row r="41" spans="1:68" ht="15">
      <c r="A41" s="197" t="s">
        <v>383</v>
      </c>
      <c r="B41" s="33"/>
      <c r="C41" s="160"/>
      <c r="D41" s="27"/>
      <c r="E41" s="27"/>
      <c r="F41" s="27"/>
      <c r="G41" s="27"/>
      <c r="H41" s="27"/>
      <c r="I41" s="27"/>
      <c r="J41" s="27"/>
      <c r="K41" s="27"/>
      <c r="L41" s="27"/>
      <c r="M41" s="27"/>
      <c r="N41" s="27"/>
      <c r="O41"/>
      <c r="P41" s="27"/>
      <c r="Q41" s="27"/>
      <c r="R41" s="27"/>
      <c r="S41" s="27"/>
      <c r="T41" s="27"/>
      <c r="U41" s="27"/>
      <c r="V41" s="27"/>
      <c r="W41" s="27"/>
      <c r="X41" s="27"/>
      <c r="Z41" s="27"/>
      <c r="AA41" s="27"/>
      <c r="AB41" s="27"/>
      <c r="AC41" s="27"/>
      <c r="AD41" s="27"/>
      <c r="AE41" s="27"/>
      <c r="AF41" s="27"/>
      <c r="AG41" s="27"/>
      <c r="AH41" s="27"/>
      <c r="AI41" s="27"/>
      <c r="AJ41" s="27"/>
      <c r="AK41" s="27"/>
      <c r="AL41" s="27"/>
      <c r="AM41" s="27"/>
      <c r="AN41" s="477"/>
      <c r="AO41" s="477"/>
      <c r="AP41" s="477"/>
      <c r="AQ41" s="27"/>
      <c r="AR41" s="27"/>
      <c r="AS41" s="27"/>
      <c r="AT41" s="27"/>
      <c r="AU41" s="27"/>
      <c r="AX41" s="601"/>
      <c r="AY41" s="601"/>
      <c r="AZ41" s="601"/>
      <c r="BA41" s="601"/>
      <c r="BB41" s="601"/>
      <c r="BC41" s="601"/>
      <c r="BD41" s="601"/>
      <c r="BE41" s="601"/>
      <c r="BF41"/>
      <c r="BG41"/>
      <c r="BH41"/>
      <c r="BI41" s="36"/>
      <c r="BJ41"/>
    </row>
    <row r="42" spans="1:68" ht="15">
      <c r="A42" s="198" t="str">
        <f>IF(COUNTIF(A36:A40,"n.b.")=10,"n.b.",IF(COUNTIF(A36:A40,"C")&gt;=1,"C",IF(COUNTIF(A36:A40,"B")&gt;=1,"B","A")))</f>
        <v>A</v>
      </c>
      <c r="B42" s="33"/>
      <c r="C42" s="25"/>
      <c r="D42" s="154" t="e">
        <f>#REF!</f>
        <v>#REF!</v>
      </c>
      <c r="E42" s="22"/>
      <c r="F42" s="22"/>
      <c r="G42" s="22"/>
      <c r="H42" s="22"/>
      <c r="I42" s="22"/>
      <c r="J42" s="22"/>
      <c r="K42" s="22"/>
      <c r="L42" s="22"/>
      <c r="M42" s="22"/>
      <c r="N42" s="22"/>
      <c r="O42"/>
      <c r="P42" s="22"/>
      <c r="Q42" s="22"/>
      <c r="R42" s="22"/>
      <c r="S42" s="22"/>
      <c r="T42" s="22"/>
      <c r="U42" s="22"/>
      <c r="V42" s="22"/>
      <c r="W42" s="22"/>
      <c r="X42" s="22"/>
      <c r="Z42" s="22"/>
      <c r="AA42" s="22"/>
      <c r="AB42" s="22"/>
      <c r="AC42" s="22"/>
      <c r="AD42" s="22"/>
      <c r="AE42" s="22"/>
      <c r="AF42" s="22"/>
      <c r="AG42" s="22"/>
      <c r="AH42" s="22"/>
      <c r="AI42" s="22"/>
      <c r="AJ42" s="22"/>
      <c r="AK42" s="22"/>
      <c r="AL42" s="22"/>
      <c r="AM42" s="22"/>
      <c r="AN42" s="477"/>
      <c r="AO42" s="477"/>
      <c r="AP42" s="477"/>
      <c r="AQ42" s="22"/>
      <c r="AR42" s="22"/>
      <c r="AS42" s="22"/>
      <c r="AT42" s="161">
        <f>+COUNTIF(AS36:AT40,$BL$35)</f>
        <v>3</v>
      </c>
      <c r="AU42" s="161"/>
      <c r="AX42" s="161"/>
      <c r="AY42" s="161"/>
      <c r="AZ42" s="161"/>
      <c r="BA42" s="161"/>
      <c r="BB42" s="161"/>
      <c r="BC42" s="161"/>
      <c r="BD42" s="161"/>
      <c r="BE42" s="161"/>
      <c r="BF42"/>
      <c r="BG42"/>
      <c r="BH42"/>
      <c r="BI42" s="34"/>
      <c r="BJ42" s="22"/>
    </row>
    <row r="43" spans="1:68" ht="15" thickBot="1">
      <c r="B43" s="33"/>
      <c r="C43" s="22"/>
      <c r="D43" s="22"/>
      <c r="E43" s="22"/>
      <c r="F43" s="22"/>
      <c r="G43" s="22"/>
      <c r="H43" s="22"/>
      <c r="I43" s="22"/>
      <c r="J43" s="22"/>
      <c r="K43" s="22"/>
      <c r="L43" s="22"/>
      <c r="M43" s="22"/>
      <c r="N43" s="22"/>
      <c r="O43"/>
      <c r="P43" s="22"/>
      <c r="Q43" s="22"/>
      <c r="R43" s="22"/>
      <c r="S43" s="22"/>
      <c r="T43" s="22"/>
      <c r="U43"/>
      <c r="V43"/>
      <c r="W43"/>
      <c r="X43"/>
      <c r="Z43"/>
      <c r="AA43"/>
      <c r="AB43"/>
      <c r="AC43"/>
      <c r="AD43"/>
      <c r="AE43"/>
      <c r="AF43"/>
      <c r="AG43"/>
      <c r="AH43"/>
      <c r="AI43"/>
      <c r="AJ43"/>
      <c r="AK43"/>
      <c r="AL43"/>
      <c r="AM43"/>
      <c r="AN43" s="477"/>
      <c r="AO43" s="477"/>
      <c r="AP43" s="477"/>
      <c r="AQ43"/>
      <c r="AR43"/>
      <c r="AS43"/>
      <c r="AT43"/>
      <c r="AU43"/>
      <c r="AX43"/>
      <c r="AY43"/>
      <c r="AZ43"/>
      <c r="BA43"/>
      <c r="BB43"/>
      <c r="BC43"/>
      <c r="BD43"/>
      <c r="BE43"/>
      <c r="BF43"/>
      <c r="BG43"/>
      <c r="BH43"/>
      <c r="BI43" s="36"/>
      <c r="BJ43"/>
    </row>
    <row r="44" spans="1:68" ht="15" thickBot="1">
      <c r="B44" s="33"/>
      <c r="C44" s="21"/>
      <c r="D44" s="576" t="str">
        <f>D34</f>
        <v>6.1.1</v>
      </c>
      <c r="E44" s="577" t="str">
        <f>E34</f>
        <v>6.1.2</v>
      </c>
      <c r="F44" s="578" t="str">
        <f>F34</f>
        <v>6.1.3</v>
      </c>
      <c r="G44" s="578" t="str">
        <f>G34</f>
        <v>6.1.4</v>
      </c>
      <c r="H44" s="579" t="str">
        <f>H34</f>
        <v>6.1.5*</v>
      </c>
      <c r="I44" s="283"/>
      <c r="J44" s="576" t="str">
        <f>J34</f>
        <v>6.2.1</v>
      </c>
      <c r="K44" s="577" t="str">
        <f>K34</f>
        <v>6.2.2</v>
      </c>
      <c r="L44" s="585" t="str">
        <f>L34</f>
        <v>6.2.3*</v>
      </c>
      <c r="M44" s="585" t="str">
        <f>M34</f>
        <v>6.2.4*</v>
      </c>
      <c r="N44" s="586" t="str">
        <f>N34</f>
        <v>6.2.5</v>
      </c>
      <c r="O44" s="904"/>
      <c r="P44" s="578" t="str">
        <f>P34</f>
        <v>6.3.1*</v>
      </c>
      <c r="Q44" s="578" t="str">
        <f>Q34</f>
        <v>6.3.2</v>
      </c>
      <c r="R44" s="586" t="str">
        <f>R34</f>
        <v>6.3.3</v>
      </c>
      <c r="S44" s="282"/>
      <c r="T44" s="592" t="str">
        <f>T34</f>
        <v>6.4.1*</v>
      </c>
      <c r="U44" s="578" t="str">
        <f>U34</f>
        <v>6.4.2</v>
      </c>
      <c r="V44" s="585" t="str">
        <f>V34</f>
        <v>6.4.3*</v>
      </c>
      <c r="W44" s="578" t="str">
        <f>W34</f>
        <v>6.4.4</v>
      </c>
      <c r="X44" s="586" t="str">
        <f>X34</f>
        <v>6.4.5</v>
      </c>
      <c r="Z44" s="576" t="str">
        <f>Z34</f>
        <v>6.5.1</v>
      </c>
      <c r="AA44" s="578" t="str">
        <f>AA34</f>
        <v>6.5.2</v>
      </c>
      <c r="AB44" s="585" t="str">
        <f>AB34</f>
        <v>6.5.3*</v>
      </c>
      <c r="AC44" s="586" t="str">
        <f>AC34</f>
        <v>6.5.4</v>
      </c>
      <c r="AD44" s="283"/>
      <c r="AE44" s="576" t="str">
        <f>AE34</f>
        <v>6.6.1</v>
      </c>
      <c r="AF44" s="578" t="str">
        <f>AF34</f>
        <v>6.6.2</v>
      </c>
      <c r="AG44" s="578" t="str">
        <f>AG34</f>
        <v>6.6.3</v>
      </c>
      <c r="AH44" s="579" t="str">
        <f>AH34</f>
        <v>6.6.4*</v>
      </c>
      <c r="AN44" s="477"/>
      <c r="AO44" s="477"/>
      <c r="AP44" s="477"/>
      <c r="AQ44" s="21"/>
      <c r="AR44"/>
      <c r="AS44"/>
      <c r="AT44"/>
      <c r="AU44"/>
      <c r="AX44" s="595" t="str">
        <f t="shared" ref="AX44:BE44" si="1">AX34</f>
        <v>6.1.2</v>
      </c>
      <c r="AY44" s="596" t="str">
        <f t="shared" si="1"/>
        <v>6.1.3</v>
      </c>
      <c r="AZ44" s="596" t="str">
        <f t="shared" si="1"/>
        <v>6.1.4</v>
      </c>
      <c r="BA44" s="596" t="str">
        <f t="shared" si="1"/>
        <v>6.2.4</v>
      </c>
      <c r="BB44" s="596" t="str">
        <f t="shared" si="1"/>
        <v>6.2.5</v>
      </c>
      <c r="BC44" s="596" t="str">
        <f t="shared" si="1"/>
        <v>6.6.1</v>
      </c>
      <c r="BD44" s="596" t="str">
        <f t="shared" si="1"/>
        <v>6.6.2</v>
      </c>
      <c r="BE44" s="597" t="str">
        <f t="shared" si="1"/>
        <v>6.6.3</v>
      </c>
      <c r="BF44"/>
      <c r="BG44"/>
      <c r="BH44"/>
      <c r="BI44" s="36"/>
      <c r="BJ44"/>
      <c r="BL44" s="477" t="e">
        <f>#REF!</f>
        <v>#REF!</v>
      </c>
      <c r="BM44" s="477" t="e">
        <f>#REF!</f>
        <v>#REF!</v>
      </c>
      <c r="BN44" s="477" t="e">
        <f>#REF!</f>
        <v>#REF!</v>
      </c>
      <c r="BO44" s="477" t="e">
        <f>#REF!</f>
        <v>#REF!</v>
      </c>
      <c r="BP44" s="477" t="e">
        <f>#REF!</f>
        <v>#REF!</v>
      </c>
    </row>
    <row r="45" spans="1:68" ht="15.75" thickBot="1">
      <c r="B45" s="33"/>
      <c r="C45" s="25"/>
      <c r="D45" s="507" t="e">
        <f>IF(ISERROR(AVERAGE(D36:D40)),$BL$35,ROUND(AVERAGE(D36:D40),2))</f>
        <v>#REF!</v>
      </c>
      <c r="E45" s="486" t="e">
        <f>IF(ISERROR(AVERAGE(E36:E40)),$BL$35,ROUND(AVERAGE(E36:E40),2))</f>
        <v>#REF!</v>
      </c>
      <c r="F45" s="486" t="e">
        <f>IF(ISERROR(AVERAGE(F36:F40)),$BL$35,ROUND(AVERAGE(F36:F40),2))</f>
        <v>#REF!</v>
      </c>
      <c r="G45" s="486" t="e">
        <f>IF(ISERROR(AVERAGE(G36:G40)),$BL$35,ROUND(AVERAGE(G36:G40),2))</f>
        <v>#REF!</v>
      </c>
      <c r="H45" s="508" t="e">
        <f>IF(ISERROR(AVERAGE(H36:H40)),$BL$35,ROUND(AVERAGE(H36:H40),2))</f>
        <v>#REF!</v>
      </c>
      <c r="I45" s="184"/>
      <c r="J45" s="507" t="e">
        <f>IF(ISERROR(AVERAGE(J36:J40)),$BL$35,ROUND(AVERAGE(J36:J40),2))</f>
        <v>#REF!</v>
      </c>
      <c r="K45" s="486" t="e">
        <f>IF(ISERROR(AVERAGE(K36:K40)),$BL$35,ROUND(AVERAGE(K36:K40),2))</f>
        <v>#REF!</v>
      </c>
      <c r="L45" s="509" t="e">
        <f>IF(ISERROR(AVERAGE(L36:L40)),$BL$35,ROUND(AVERAGE(L36:L40),2))</f>
        <v>#REF!</v>
      </c>
      <c r="M45" s="509" t="e">
        <f>IF(ISERROR(AVERAGE(M36:M40)),$BL$35,ROUND(AVERAGE(M36:M40),2))</f>
        <v>#REF!</v>
      </c>
      <c r="N45" s="510" t="e">
        <f>IF(ISERROR(AVERAGE(N36:N40)),$BL$35,ROUND(AVERAGE(N36:N40),2))</f>
        <v>#REF!</v>
      </c>
      <c r="O45" s="904"/>
      <c r="P45" s="903" t="e">
        <f>IF(ISERROR(AVERAGE(P36:P40)),$BL$35,ROUND(AVERAGE(P36:P40),2))</f>
        <v>#REF!</v>
      </c>
      <c r="Q45" s="486" t="e">
        <f>IF(ISERROR(AVERAGE(Q36:Q40)),$BL$35,ROUND(AVERAGE(Q36:Q40),2))</f>
        <v>#REF!</v>
      </c>
      <c r="R45" s="510" t="e">
        <f>IF(ISERROR(AVERAGE(R36:R40)),$BL$35,ROUND(AVERAGE(R36:R40),2))</f>
        <v>#REF!</v>
      </c>
      <c r="S45" s="185"/>
      <c r="T45" s="511" t="e">
        <f>IF(ISERROR(AVERAGE(T36:T40)),$BL$35,ROUND(AVERAGE(T36:T40),2))</f>
        <v>#REF!</v>
      </c>
      <c r="U45" s="486" t="e">
        <f>IF(ISERROR(AVERAGE(U36:U40)),$BL$35,ROUND(AVERAGE(U36:U40),2))</f>
        <v>#REF!</v>
      </c>
      <c r="V45" s="509" t="e">
        <f>IF(ISERROR(AVERAGE(V36:V40)),$BL$35,ROUND(AVERAGE(V36:V40),2))</f>
        <v>#REF!</v>
      </c>
      <c r="W45" s="486" t="e">
        <f>IF(ISERROR(AVERAGE(W36:W40)),$BL$35,ROUND(AVERAGE(W36:W40),2))</f>
        <v>#REF!</v>
      </c>
      <c r="X45" s="510" t="e">
        <f>IF(ISERROR(AVERAGE(X36:X40)),$BL$35,ROUND(AVERAGE(X36:X40),2))</f>
        <v>#REF!</v>
      </c>
      <c r="Z45" s="507" t="e">
        <f>IF(ISERROR(AVERAGE(Z36:Z40)),$BL$35,ROUND(AVERAGE(Z36:Z40),2))</f>
        <v>#REF!</v>
      </c>
      <c r="AA45" s="486" t="e">
        <f>IF(ISERROR(AVERAGE(AA36:AA40)),$BL$35,ROUND(AVERAGE(AA36:AA40),2))</f>
        <v>#REF!</v>
      </c>
      <c r="AB45" s="509" t="e">
        <f>IF(ISERROR(AVERAGE(AB36:AB40)),$BL$35,ROUND(AVERAGE(AB36:AB40),2))</f>
        <v>#REF!</v>
      </c>
      <c r="AC45" s="510" t="e">
        <f>IF(ISERROR(AVERAGE(AC36:AC40)),$BL$35,ROUND(AVERAGE(AC36:AC40),2))</f>
        <v>#REF!</v>
      </c>
      <c r="AD45" s="185"/>
      <c r="AE45" s="507" t="e">
        <f>IF(ISERROR(AVERAGE(AE36:AE40)),$BL$35,ROUND(AVERAGE(AE36:AE40),2))</f>
        <v>#REF!</v>
      </c>
      <c r="AF45" s="486" t="e">
        <f>IF(ISERROR(AVERAGE(AF36:AF40)),$BL$35,ROUND(AVERAGE(AF36:AF40),2))</f>
        <v>#REF!</v>
      </c>
      <c r="AG45" s="486" t="e">
        <f>IF(ISERROR(AVERAGE(AG36:AG40)),$BL$35,ROUND(AVERAGE(AG36:AG40),2))</f>
        <v>#REF!</v>
      </c>
      <c r="AH45" s="508" t="e">
        <f>IF(ISERROR(AVERAGE(AH36:AH40)),$BL$35,ROUND(AVERAGE(AH36:AH40),2))</f>
        <v>#REF!</v>
      </c>
      <c r="AN45" s="477"/>
      <c r="AO45" s="477"/>
      <c r="AP45" s="477"/>
      <c r="AQ45" s="162"/>
      <c r="AR45" s="279" t="s">
        <v>498</v>
      </c>
      <c r="AS45" s="1197" t="e">
        <f>IF(COUNTIF(AS36:AT40,$BL$35)&gt;0,$BL$35,ROUND(BP45/BO45,2))</f>
        <v>#REF!</v>
      </c>
      <c r="AT45" s="1198"/>
      <c r="AU45"/>
      <c r="AX45" s="551" t="e">
        <f t="shared" ref="AX45:BE45" si="2">IF(ISERROR(AVERAGE(AX36:AX40)),$BL$35,ROUND(AVERAGE(AX36:AX40),2))</f>
        <v>#REF!</v>
      </c>
      <c r="AY45" s="510" t="e">
        <f t="shared" si="2"/>
        <v>#REF!</v>
      </c>
      <c r="AZ45" s="510" t="e">
        <f t="shared" si="2"/>
        <v>#REF!</v>
      </c>
      <c r="BA45" s="510" t="e">
        <f t="shared" si="2"/>
        <v>#REF!</v>
      </c>
      <c r="BB45" s="510" t="e">
        <f t="shared" si="2"/>
        <v>#REF!</v>
      </c>
      <c r="BC45" s="510" t="e">
        <f t="shared" si="2"/>
        <v>#REF!</v>
      </c>
      <c r="BD45" s="510" t="e">
        <f t="shared" si="2"/>
        <v>#REF!</v>
      </c>
      <c r="BE45" s="510" t="e">
        <f t="shared" si="2"/>
        <v>#REF!</v>
      </c>
      <c r="BF45"/>
      <c r="BG45"/>
      <c r="BH45"/>
      <c r="BI45" s="36"/>
      <c r="BJ45"/>
      <c r="BL45" s="575">
        <f>SUM(BL36:BL40)</f>
        <v>0</v>
      </c>
      <c r="BM45" s="575">
        <f>SUM(BM36:BM40)</f>
        <v>0</v>
      </c>
      <c r="BN45" s="575">
        <f>SUM(F47,L47,P47,V47,AA47,AF47)</f>
        <v>0</v>
      </c>
      <c r="BO45" s="575">
        <f>COUNT(D45:AH45)*10</f>
        <v>0</v>
      </c>
      <c r="BP45" s="575" t="e">
        <f>SUM(D45:AH45)</f>
        <v>#REF!</v>
      </c>
    </row>
    <row r="46" spans="1:68" ht="15" hidden="1" thickBot="1">
      <c r="B46" s="33"/>
      <c r="C46" s="22"/>
      <c r="D46" s="33"/>
      <c r="E46" s="477" t="e">
        <f>$BM$7</f>
        <v>#REF!</v>
      </c>
      <c r="F46" s="477" t="e">
        <f>$BN$7</f>
        <v>#REF!</v>
      </c>
      <c r="G46" s="477" t="s">
        <v>444</v>
      </c>
      <c r="H46" s="580" t="s">
        <v>305</v>
      </c>
      <c r="J46" s="587"/>
      <c r="K46" s="477" t="e">
        <f>$BM$7</f>
        <v>#REF!</v>
      </c>
      <c r="L46" s="477" t="e">
        <f>$BN$7</f>
        <v>#REF!</v>
      </c>
      <c r="M46" s="477" t="s">
        <v>444</v>
      </c>
      <c r="N46" s="580" t="s">
        <v>305</v>
      </c>
      <c r="O46" s="905" t="e">
        <f>$BM$7</f>
        <v>#REF!</v>
      </c>
      <c r="P46" s="477" t="e">
        <f>$BN$7</f>
        <v>#REF!</v>
      </c>
      <c r="Q46" s="477" t="s">
        <v>444</v>
      </c>
      <c r="R46" s="580" t="s">
        <v>305</v>
      </c>
      <c r="T46" s="587"/>
      <c r="U46" s="477" t="e">
        <f>$BM$7</f>
        <v>#REF!</v>
      </c>
      <c r="V46" s="477" t="e">
        <f>$BN$7</f>
        <v>#REF!</v>
      </c>
      <c r="W46" s="477" t="s">
        <v>444</v>
      </c>
      <c r="X46" s="580" t="s">
        <v>305</v>
      </c>
      <c r="Y46" s="22"/>
      <c r="Z46" s="589" t="e">
        <f>$BM$7</f>
        <v>#REF!</v>
      </c>
      <c r="AA46" s="477" t="e">
        <f>$BN$7</f>
        <v>#REF!</v>
      </c>
      <c r="AB46" s="477" t="s">
        <v>444</v>
      </c>
      <c r="AC46" s="580" t="s">
        <v>305</v>
      </c>
      <c r="AD46" s="22"/>
      <c r="AE46" s="589" t="e">
        <f>$BM$7</f>
        <v>#REF!</v>
      </c>
      <c r="AF46" s="477" t="e">
        <f>$BN$7</f>
        <v>#REF!</v>
      </c>
      <c r="AG46" s="477" t="s">
        <v>444</v>
      </c>
      <c r="AH46" s="580" t="s">
        <v>305</v>
      </c>
      <c r="AI46" s="22"/>
      <c r="AJ46" s="22"/>
      <c r="AK46" s="22"/>
      <c r="AL46" s="22"/>
      <c r="AM46" s="183"/>
      <c r="AN46" s="477"/>
      <c r="AO46" s="477"/>
      <c r="AP46" s="477"/>
      <c r="AQ46" s="183"/>
      <c r="AR46" s="183"/>
      <c r="AS46" s="183"/>
      <c r="AT46" s="183"/>
      <c r="AU46" s="183"/>
      <c r="AX46" s="900" t="e">
        <f>$BL$7</f>
        <v>#REF!</v>
      </c>
      <c r="AY46" s="901" t="e">
        <f>$BM$7</f>
        <v>#REF!</v>
      </c>
      <c r="AZ46" s="901" t="e">
        <f>$BN$7</f>
        <v>#REF!</v>
      </c>
      <c r="BA46" s="901" t="e">
        <f>$BO$7</f>
        <v>#REF!</v>
      </c>
      <c r="BB46" s="901" t="e">
        <f>$BP$7</f>
        <v>#REF!</v>
      </c>
      <c r="BC46" s="333"/>
      <c r="BD46" s="333"/>
      <c r="BE46" s="902"/>
      <c r="BF46"/>
      <c r="BG46"/>
      <c r="BH46"/>
      <c r="BI46" s="37"/>
      <c r="BJ46" s="183"/>
    </row>
    <row r="47" spans="1:68" ht="15.75" hidden="1" thickBot="1">
      <c r="B47" s="33"/>
      <c r="D47" s="33"/>
      <c r="E47" s="575">
        <f>COUNT(D36:H40)</f>
        <v>0</v>
      </c>
      <c r="F47" s="575">
        <f>ROUNDUP(COUNTIF($C$36:$C$40,"X")*5/3*2,0)</f>
        <v>0</v>
      </c>
      <c r="G47" s="575" t="e">
        <f>IF(AND($A31,E47&gt;=F47),E47*10,"--")</f>
        <v>#REF!</v>
      </c>
      <c r="H47" s="581" t="e">
        <f>IF(AND($A31,E47&gt;=F47),SUM(D36:H40),"--")</f>
        <v>#REF!</v>
      </c>
      <c r="J47" s="33"/>
      <c r="K47" s="575">
        <f>COUNT(J36:N40)</f>
        <v>0</v>
      </c>
      <c r="L47" s="575">
        <f>ROUNDUP(COUNTIF($C$36:$C$40,"X")*5/3*2,0)</f>
        <v>0</v>
      </c>
      <c r="M47" s="575" t="e">
        <f>IF(AND($A31,K47&gt;=L47),K47*10,"--")</f>
        <v>#REF!</v>
      </c>
      <c r="N47" s="581" t="e">
        <f>IF(AND($A31,K47&gt;=L47),SUM(J36:N40),"--")</f>
        <v>#REF!</v>
      </c>
      <c r="O47" s="906">
        <f>COUNT(P36:R40)</f>
        <v>0</v>
      </c>
      <c r="P47" s="575">
        <f>ROUNDUP(COUNTIF($C$36:$C$40,"X")*3/3*2,0)</f>
        <v>0</v>
      </c>
      <c r="Q47" s="575" t="e">
        <f>IF(AND($A31,O47&gt;=P47),O47*10,"--")</f>
        <v>#REF!</v>
      </c>
      <c r="R47" s="581" t="e">
        <f>IF(AND($A31,O47&gt;=P47),SUM(P36:R40),"--")</f>
        <v>#REF!</v>
      </c>
      <c r="T47" s="33"/>
      <c r="U47" s="575">
        <f>COUNT(T36:X40)</f>
        <v>0</v>
      </c>
      <c r="V47" s="575">
        <f>ROUNDUP(COUNTIF($C$36:$C$40,"X")*5/3*2,0)</f>
        <v>0</v>
      </c>
      <c r="W47" s="575" t="e">
        <f>IF(AND($A31,U47&gt;=V47),U47*10,"--")</f>
        <v>#REF!</v>
      </c>
      <c r="X47" s="581" t="e">
        <f>IF(AND($A31,U47&gt;=V47),SUM(T36:X40),"--")</f>
        <v>#REF!</v>
      </c>
      <c r="Z47" s="600">
        <f>COUNT(Z36:AC40)</f>
        <v>0</v>
      </c>
      <c r="AA47" s="575">
        <f>ROUNDUP(COUNTIF($C$36:$C$40,"X")*4/3*2,0)</f>
        <v>0</v>
      </c>
      <c r="AB47" s="575" t="e">
        <f>IF(AND($A31,Z47&gt;=AA47),Z47*10,"--")</f>
        <v>#REF!</v>
      </c>
      <c r="AC47" s="581" t="e">
        <f>IF(AND($A31,Z47&gt;=AA47),SUM(Z36:AC40),"--")</f>
        <v>#REF!</v>
      </c>
      <c r="AD47" s="30"/>
      <c r="AE47" s="600">
        <f>COUNT(AE36:AH40)</f>
        <v>0</v>
      </c>
      <c r="AF47" s="575">
        <f>ROUNDUP(COUNTIF($C$36:$C$40,"X")*4/3*2,0)</f>
        <v>0</v>
      </c>
      <c r="AG47" s="575" t="e">
        <f>IF(AND($A31,AE47&gt;=AF47),AE47*10,"--")</f>
        <v>#REF!</v>
      </c>
      <c r="AH47" s="581" t="e">
        <f>IF(AND($A31,AE47&gt;=AF47),SUM(AE36:AH40),"--")</f>
        <v>#REF!</v>
      </c>
      <c r="AS47" s="164"/>
      <c r="AT47" s="276"/>
      <c r="AX47" s="600">
        <f>COUNTIF(AX45:BE45,"&gt;-")</f>
        <v>0</v>
      </c>
      <c r="AY47" s="575">
        <f>COUNT(AX36:BE40)</f>
        <v>0</v>
      </c>
      <c r="AZ47" s="575">
        <f>ROUNDUP(COUNTIF($C$36:$C$40,"X")*8/3*2,0)</f>
        <v>0</v>
      </c>
      <c r="BA47" s="575">
        <f>IF(AND($B48,AY47&gt;=AZ47),COUNTIF(AX45:BE45,"&lt;&gt;"&amp;AX46)*10,"--")</f>
        <v>80</v>
      </c>
      <c r="BB47" s="575" t="e">
        <f>IF(AND($B48,AY47&gt;=AZ47),SUM(AX45:BE45),"--")</f>
        <v>#REF!</v>
      </c>
      <c r="BC47" s="164"/>
      <c r="BD47" s="164"/>
      <c r="BE47" s="598"/>
      <c r="BF47"/>
      <c r="BG47"/>
      <c r="BH47"/>
      <c r="BI47" s="39"/>
    </row>
    <row r="48" spans="1:68" ht="15.75" thickBot="1">
      <c r="B48" s="33"/>
      <c r="C48" s="30"/>
      <c r="D48" s="582"/>
      <c r="E48" s="583"/>
      <c r="F48" s="584" t="s">
        <v>88</v>
      </c>
      <c r="G48" s="1177" t="e">
        <f>IF(OR($A$31=FALSE,F47&gt;E47),$BL$35,IFERROR(ROUND(H47/G47,2),$BL$35))</f>
        <v>#REF!</v>
      </c>
      <c r="H48" s="1178"/>
      <c r="I48"/>
      <c r="J48" s="582"/>
      <c r="K48" s="583"/>
      <c r="L48" s="588" t="s">
        <v>87</v>
      </c>
      <c r="M48" s="1177" t="e">
        <f>IF(OR($A$31=FALSE,L47&gt;K47),$BL$35,IFERROR(ROUND(N47/M47,2),$BL$35))</f>
        <v>#REF!</v>
      </c>
      <c r="N48" s="1178"/>
      <c r="O48" s="904"/>
      <c r="P48" s="591" t="s">
        <v>86</v>
      </c>
      <c r="Q48" s="1177" t="e">
        <f>IF(OR($A$31=FALSE,P47&gt;O47),$BL$35,IFERROR(ROUND(R47/Q47,2),$BL$35))</f>
        <v>#REF!</v>
      </c>
      <c r="R48" s="1178"/>
      <c r="S48"/>
      <c r="T48" s="593"/>
      <c r="U48" s="594"/>
      <c r="V48" s="591" t="s">
        <v>85</v>
      </c>
      <c r="W48" s="1177" t="e">
        <f>IF(OR($A$31=FALSE,V47&gt;U47),$BL$35,IFERROR(ROUND(X47/W47,2),$BL$35))</f>
        <v>#REF!</v>
      </c>
      <c r="X48" s="1178"/>
      <c r="Y48"/>
      <c r="Z48" s="582"/>
      <c r="AA48" s="584" t="s">
        <v>84</v>
      </c>
      <c r="AB48" s="1177" t="e">
        <f>IF(OR($A$31=FALSE,AA47&gt;Z47),$BL$35,IFERROR(ROUND(AC47/AB47,2),$BL$35))</f>
        <v>#REF!</v>
      </c>
      <c r="AC48" s="1178"/>
      <c r="AD48"/>
      <c r="AE48" s="582"/>
      <c r="AF48" s="588" t="s">
        <v>83</v>
      </c>
      <c r="AG48" s="1177" t="e">
        <f>IF(OR($A$31=FALSE,AF47&gt;AE47),$BL$35,IFERROR(ROUND(AH47/AG47,2),$BL$35))</f>
        <v>#REF!</v>
      </c>
      <c r="AH48" s="1178"/>
      <c r="AI48"/>
      <c r="AM48" s="153"/>
      <c r="AN48" s="153"/>
      <c r="AO48" s="153"/>
      <c r="AP48" s="153"/>
      <c r="AQ48" s="153"/>
      <c r="AS48" s="164"/>
      <c r="AT48" s="277"/>
      <c r="AU48" s="164"/>
      <c r="AX48" s="79"/>
      <c r="AY48" s="594"/>
      <c r="AZ48" s="594"/>
      <c r="BA48" s="594"/>
      <c r="BB48" s="594"/>
      <c r="BC48" s="599" t="s">
        <v>82</v>
      </c>
      <c r="BD48" s="1195" t="e">
        <f>IF(A31=FALSE,AX46,IF(AY47&gt;=AZ47,ROUND(BB47/BA47,2),$BL$35))</f>
        <v>#REF!</v>
      </c>
      <c r="BE48" s="1196"/>
      <c r="BF48"/>
      <c r="BG48"/>
      <c r="BH48"/>
      <c r="BI48" s="39"/>
    </row>
    <row r="49" spans="1:68" ht="15">
      <c r="B49" s="33"/>
      <c r="C49" s="30"/>
      <c r="D49" s="163"/>
      <c r="E49" s="30"/>
      <c r="G49" s="153"/>
      <c r="H49" s="153"/>
      <c r="I49"/>
      <c r="J49" s="163"/>
      <c r="K49" s="30"/>
      <c r="M49" s="30"/>
      <c r="N49" s="153"/>
      <c r="O49" s="153"/>
      <c r="P49"/>
      <c r="Q49" s="163"/>
      <c r="R49" s="30"/>
      <c r="S49" s="30"/>
      <c r="T49" s="153"/>
      <c r="U49" s="153"/>
      <c r="V49" s="163"/>
      <c r="X49" s="153"/>
      <c r="Y49" s="153"/>
      <c r="Z49" s="163"/>
      <c r="AC49" s="153"/>
      <c r="AD49" s="153"/>
      <c r="AE49" s="163"/>
      <c r="AF49" s="30"/>
      <c r="AG49" s="30"/>
      <c r="AH49" s="30"/>
      <c r="AM49" s="153"/>
      <c r="AN49" s="153"/>
      <c r="AO49" s="153"/>
      <c r="AP49" s="153"/>
      <c r="AQ49" s="153"/>
      <c r="AS49" s="164"/>
      <c r="AT49" s="163"/>
      <c r="AU49" s="164"/>
      <c r="AW49" s="164"/>
      <c r="AX49" s="164"/>
      <c r="AY49" s="164"/>
      <c r="AZ49" s="164"/>
      <c r="BA49" s="164"/>
      <c r="BB49" s="164"/>
      <c r="BE49" s="165"/>
      <c r="BF49"/>
      <c r="BG49"/>
      <c r="BH49"/>
      <c r="BI49" s="39"/>
    </row>
    <row r="50" spans="1:68" ht="15">
      <c r="B50" s="33"/>
      <c r="C50" s="22"/>
      <c r="D50" s="22"/>
      <c r="E50" s="22"/>
      <c r="F50" s="22"/>
      <c r="G50" s="22"/>
      <c r="H50" s="22"/>
      <c r="I50" s="22"/>
      <c r="J50" s="22"/>
      <c r="K50" s="22"/>
      <c r="L50" s="22"/>
      <c r="M50" s="22"/>
      <c r="N50" s="22"/>
      <c r="O50" s="25"/>
      <c r="P50" s="22"/>
      <c r="Q50" s="22"/>
      <c r="R50" s="22"/>
      <c r="S50" s="22"/>
      <c r="T50" s="22"/>
      <c r="U50" s="22"/>
      <c r="V50" s="22"/>
      <c r="W50" s="22"/>
      <c r="X50" s="22"/>
      <c r="Y50" s="22"/>
      <c r="Z50" s="22"/>
      <c r="AA50" s="22"/>
      <c r="AB50" s="22"/>
      <c r="AC50" s="22"/>
      <c r="AD50" s="22"/>
      <c r="AE50" s="22"/>
      <c r="AF50" s="22"/>
      <c r="AG50" s="22"/>
      <c r="AH50" s="22"/>
      <c r="AI50" s="22"/>
      <c r="AJ50" s="22"/>
      <c r="AK50" s="22"/>
      <c r="AL50" s="22"/>
      <c r="AM50" s="22"/>
      <c r="AN50" s="22"/>
      <c r="AO50" s="22"/>
      <c r="AP50" s="22"/>
      <c r="AQ50" s="22"/>
      <c r="AR50" s="22"/>
      <c r="AS50" s="22"/>
      <c r="AT50" s="22"/>
      <c r="AU50" s="22"/>
      <c r="AV50" s="22"/>
      <c r="AW50" s="22"/>
      <c r="AX50" s="22"/>
      <c r="AY50" s="22"/>
      <c r="AZ50" s="22"/>
      <c r="BA50" s="22"/>
      <c r="BB50" s="22"/>
      <c r="BC50" s="22"/>
      <c r="BD50" s="22"/>
      <c r="BE50"/>
      <c r="BF50"/>
      <c r="BG50"/>
      <c r="BH50"/>
      <c r="BI50" s="34"/>
      <c r="BJ50" s="22"/>
    </row>
    <row r="51" spans="1:68" ht="15" thickBot="1">
      <c r="A51" s="199" t="s">
        <v>384</v>
      </c>
      <c r="B51" s="33"/>
      <c r="C51" s="22"/>
      <c r="D51" s="22"/>
      <c r="E51" s="22"/>
      <c r="F51" s="22"/>
      <c r="G51" s="148"/>
      <c r="H51" s="22"/>
      <c r="I51" s="22"/>
      <c r="J51" s="22"/>
      <c r="K51" s="22"/>
      <c r="L51" s="22"/>
      <c r="M51" s="22"/>
      <c r="N51" s="148"/>
      <c r="O51" s="22"/>
      <c r="P51" s="22"/>
      <c r="Q51" s="22"/>
      <c r="R51" s="148"/>
      <c r="S51"/>
      <c r="T51"/>
      <c r="U51" s="321" t="s">
        <v>180</v>
      </c>
      <c r="V51" s="321" t="s">
        <v>181</v>
      </c>
      <c r="W51" s="465" t="s">
        <v>311</v>
      </c>
      <c r="X51" s="465" t="s">
        <v>353</v>
      </c>
      <c r="Y51" s="321" t="s">
        <v>185</v>
      </c>
      <c r="AQ51" s="183"/>
      <c r="AR51" s="183"/>
      <c r="AS51" s="183"/>
      <c r="AT51" s="183"/>
      <c r="AU51" s="183"/>
      <c r="AV51" s="183"/>
      <c r="AW51" s="183"/>
      <c r="AX51" s="183"/>
      <c r="AY51" s="183"/>
      <c r="AZ51" s="183"/>
      <c r="BA51" s="183"/>
      <c r="BB51" s="183"/>
      <c r="BC51" s="183"/>
      <c r="BD51" s="183"/>
      <c r="BE51"/>
      <c r="BF51"/>
      <c r="BG51"/>
      <c r="BH51"/>
      <c r="BI51" s="37"/>
      <c r="BJ51" s="183"/>
      <c r="BL51" s="477" t="e">
        <f>#REF!</f>
        <v>#REF!</v>
      </c>
      <c r="BM51" s="477" t="e">
        <f>#REF!</f>
        <v>#REF!</v>
      </c>
      <c r="BN51" s="477" t="e">
        <f>#REF!</f>
        <v>#REF!</v>
      </c>
      <c r="BO51" s="477" t="e">
        <f>#REF!</f>
        <v>#REF!</v>
      </c>
      <c r="BP51" s="477" t="e">
        <f>#REF!</f>
        <v>#REF!</v>
      </c>
    </row>
    <row r="52" spans="1:68" ht="16.5" thickBot="1">
      <c r="A52" s="198" t="e">
        <f>IF(COUNT(U52:Y52)=0,BL51,IF(MIN(U52:Y52)=0,"B","A"))</f>
        <v>#REF!</v>
      </c>
      <c r="B52" s="33"/>
      <c r="C52" s="53" t="s">
        <v>143</v>
      </c>
      <c r="D52" s="54" t="str">
        <f>Questions!C360</f>
        <v>Customer care / customer satisfaction / service</v>
      </c>
      <c r="E52" s="22"/>
      <c r="F52" s="22"/>
      <c r="G52" s="22"/>
      <c r="H52" s="22"/>
      <c r="I52" s="22"/>
      <c r="J52" s="22"/>
      <c r="K52" s="22"/>
      <c r="L52" s="22"/>
      <c r="M52" s="22"/>
      <c r="N52" s="22"/>
      <c r="O52" s="25"/>
      <c r="P52" s="22"/>
      <c r="Q52" s="22"/>
      <c r="R52" s="22"/>
      <c r="S52"/>
      <c r="T52"/>
      <c r="U52" s="189" t="e">
        <f>IF($A$53=FALSE,$BL$51,IF(ISBLANK(Questions!D$361),"--",Questions!D$361))</f>
        <v>#REF!</v>
      </c>
      <c r="V52" s="189" t="e">
        <f>IF($A$53=FALSE,$BL$51,IF(ISBLANK(Questions!D$362),"--",Questions!D$362))</f>
        <v>#REF!</v>
      </c>
      <c r="W52" s="470" t="e">
        <f>IF($A$53=FALSE,$BL$51,IF(ISBLANK(Questions!D$363),"--",Questions!D$363))</f>
        <v>#REF!</v>
      </c>
      <c r="X52" s="470" t="e">
        <f>IF($A$53=FALSE,$BL$51,IF(ISBLANK(Questions!D$364),"--",Questions!D$364))</f>
        <v>#REF!</v>
      </c>
      <c r="Y52" s="189" t="e">
        <f>IF($A$53=FALSE,$BL$51,IF(ISBLANK(Questions!D$365),"--",Questions!D$365))</f>
        <v>#REF!</v>
      </c>
      <c r="AR52" s="166" t="s">
        <v>726</v>
      </c>
      <c r="AS52" s="1195" t="e">
        <f>IF(A53=FALSE,BL51,IF(BM52&gt;=BN52,ROUND(BP52/BO52,2),$BL$35))</f>
        <v>#REF!</v>
      </c>
      <c r="AT52" s="1196"/>
      <c r="AU52"/>
      <c r="AV52" s="153"/>
      <c r="AW52" s="153"/>
      <c r="AX52" s="153"/>
      <c r="AY52" s="153"/>
      <c r="AZ52" s="153"/>
      <c r="BA52" s="153"/>
      <c r="BB52" s="153"/>
      <c r="BC52" s="153"/>
      <c r="BD52" s="153"/>
      <c r="BE52"/>
      <c r="BF52"/>
      <c r="BG52"/>
      <c r="BH52"/>
      <c r="BI52" s="34"/>
      <c r="BJ52" s="22"/>
      <c r="BL52" s="575">
        <f>COUNTIF(U52:Y52,"&gt;-")</f>
        <v>0</v>
      </c>
      <c r="BM52" s="575">
        <f>COUNT(U52:Y52)</f>
        <v>0</v>
      </c>
      <c r="BN52" s="575">
        <v>4</v>
      </c>
      <c r="BO52" s="575" t="e">
        <f>IF(AND($A53,BM52&gt;=BN52),BM52*10,"--")</f>
        <v>#REF!</v>
      </c>
      <c r="BP52" s="575" t="e">
        <f>IF(AND($A53,BM52&gt;=BN52),SUM(U52:Y52),"--")</f>
        <v>#REF!</v>
      </c>
    </row>
    <row r="53" spans="1:68">
      <c r="A53" s="757" t="e">
        <f>#REF!</f>
        <v>#REF!</v>
      </c>
      <c r="B53" s="472"/>
      <c r="C53" s="225"/>
      <c r="D53" s="359"/>
      <c r="E53" s="359"/>
      <c r="F53" s="359"/>
      <c r="G53" s="359"/>
      <c r="H53" s="359"/>
      <c r="I53" s="22"/>
      <c r="J53"/>
      <c r="K53"/>
      <c r="L53"/>
      <c r="M53"/>
      <c r="N53"/>
      <c r="O53"/>
      <c r="P53"/>
      <c r="Q53"/>
      <c r="R53"/>
      <c r="S53" s="22"/>
      <c r="T53" s="22"/>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s="36"/>
      <c r="BJ53"/>
    </row>
    <row r="54" spans="1:68">
      <c r="B54" s="982"/>
      <c r="C54" s="983"/>
      <c r="D54" s="983"/>
      <c r="E54" s="983"/>
      <c r="F54" s="983"/>
      <c r="G54" s="983"/>
      <c r="H54" s="983"/>
      <c r="I54" s="983"/>
      <c r="J54" s="983"/>
      <c r="K54" s="983"/>
      <c r="L54" s="983"/>
      <c r="M54" s="983"/>
      <c r="N54" s="983"/>
      <c r="O54" s="983"/>
      <c r="P54" s="983"/>
      <c r="Q54" s="983"/>
      <c r="R54" s="983"/>
      <c r="S54" s="983"/>
      <c r="T54" s="983"/>
      <c r="U54" s="983"/>
      <c r="V54" s="983"/>
      <c r="W54" s="983"/>
      <c r="X54" s="983"/>
      <c r="Y54" s="983"/>
      <c r="Z54" s="983"/>
      <c r="AA54" s="983"/>
      <c r="AB54" s="983"/>
      <c r="AC54" s="983"/>
      <c r="AD54" s="983"/>
      <c r="AE54" s="983"/>
      <c r="AF54" s="983"/>
      <c r="AG54" s="983"/>
      <c r="AH54" s="983"/>
      <c r="AI54" s="983"/>
      <c r="AJ54" s="983"/>
      <c r="AK54" s="983"/>
      <c r="AL54" s="983"/>
      <c r="AM54" s="983"/>
      <c r="AN54" s="983"/>
      <c r="AO54" s="983"/>
      <c r="AP54" s="983"/>
      <c r="AQ54" s="983"/>
      <c r="AR54" s="983"/>
      <c r="AS54" s="983"/>
      <c r="AT54" s="983"/>
      <c r="AU54" s="983"/>
      <c r="AV54" s="983"/>
      <c r="AW54" s="983"/>
      <c r="AX54" s="983"/>
      <c r="AY54" s="983"/>
      <c r="AZ54" s="983"/>
      <c r="BA54" s="983"/>
      <c r="BB54" s="983"/>
      <c r="BC54" s="983"/>
      <c r="BD54" s="983"/>
      <c r="BE54" s="983"/>
      <c r="BF54" s="983"/>
      <c r="BG54" s="983"/>
      <c r="BH54" s="983"/>
      <c r="BI54" s="984"/>
      <c r="BJ54" s="22"/>
    </row>
    <row r="55" spans="1:68">
      <c r="A55" s="199"/>
      <c r="B55" s="33"/>
      <c r="C55" s="421"/>
      <c r="D55" s="422"/>
      <c r="E55" s="422"/>
      <c r="F55" s="422"/>
      <c r="G55" s="422"/>
      <c r="H55" s="422"/>
      <c r="I55" s="422"/>
      <c r="J55" s="422"/>
      <c r="K55" s="422"/>
      <c r="L55" s="422"/>
      <c r="M55" s="422"/>
      <c r="N55" s="422"/>
      <c r="O55" s="422"/>
      <c r="P55" s="422"/>
      <c r="Q55" s="422"/>
      <c r="R55" s="422"/>
      <c r="S55" s="422"/>
      <c r="T55" s="422"/>
      <c r="U55" s="422"/>
      <c r="V55" s="422"/>
      <c r="W55" s="422"/>
      <c r="X55" s="422"/>
      <c r="Y55" s="422"/>
      <c r="Z55" s="422"/>
      <c r="AA55" s="422"/>
      <c r="AB55" s="422"/>
      <c r="AC55" s="422"/>
      <c r="AD55" s="422"/>
      <c r="AE55" s="422"/>
      <c r="AF55" s="422"/>
      <c r="AG55" s="422"/>
      <c r="AH55" s="422"/>
      <c r="AI55" s="423"/>
      <c r="AJ55" s="423"/>
      <c r="AK55" s="423"/>
      <c r="AL55" s="423"/>
      <c r="AM55" s="423"/>
      <c r="AN55" s="423"/>
      <c r="AO55" s="423"/>
      <c r="AP55" s="423"/>
      <c r="AQ55" s="423"/>
      <c r="AR55" s="423"/>
      <c r="AS55" s="423"/>
      <c r="AT55" s="423"/>
      <c r="AU55" s="423"/>
      <c r="AV55" s="423"/>
      <c r="AW55" s="423"/>
      <c r="AX55" s="423"/>
      <c r="AY55" s="423"/>
      <c r="AZ55" s="423"/>
      <c r="BA55" s="423"/>
      <c r="BB55" s="423"/>
      <c r="BC55" s="423"/>
      <c r="BD55" s="423"/>
      <c r="BE55" s="423"/>
      <c r="BF55" s="423"/>
      <c r="BG55" s="423"/>
      <c r="BH55" s="423"/>
      <c r="BI55" s="424"/>
      <c r="BJ55" s="423"/>
    </row>
    <row r="56" spans="1:68">
      <c r="B56" s="33"/>
      <c r="C56" s="422"/>
      <c r="D56" s="422"/>
      <c r="E56" s="422"/>
      <c r="F56" s="422"/>
      <c r="G56" s="422"/>
      <c r="H56" s="422"/>
      <c r="I56" s="422"/>
      <c r="J56" s="422"/>
      <c r="K56" s="422"/>
      <c r="L56" s="422"/>
      <c r="M56" s="422"/>
      <c r="N56" s="422"/>
      <c r="O56" s="422"/>
      <c r="P56" s="422"/>
      <c r="Q56" s="422"/>
      <c r="R56" s="422"/>
      <c r="S56" s="422"/>
      <c r="T56" s="422"/>
      <c r="U56" s="422"/>
      <c r="V56" s="422"/>
      <c r="W56" s="422"/>
      <c r="X56" s="422"/>
      <c r="Y56" s="422"/>
      <c r="Z56" s="422"/>
      <c r="AA56" s="422"/>
      <c r="AB56" s="422"/>
      <c r="AC56" s="422"/>
      <c r="AD56" s="422"/>
      <c r="AE56" s="422"/>
      <c r="AF56" s="422"/>
      <c r="AG56" s="422"/>
      <c r="AH56" s="422"/>
      <c r="AI56" s="423"/>
      <c r="AJ56" s="423"/>
      <c r="AK56" s="423"/>
      <c r="AL56" s="423"/>
      <c r="AM56" s="423"/>
      <c r="AN56" s="423"/>
      <c r="AO56" s="423"/>
      <c r="AP56" s="423"/>
      <c r="AQ56" s="423"/>
      <c r="AR56" s="423"/>
      <c r="AS56" s="423"/>
      <c r="AT56" s="423"/>
      <c r="AU56" s="423"/>
      <c r="AV56" s="423"/>
      <c r="BE56" s="423"/>
      <c r="BF56" s="423"/>
      <c r="BG56" s="423"/>
      <c r="BH56" s="423"/>
      <c r="BI56" s="424"/>
      <c r="BJ56" s="423"/>
    </row>
    <row r="57" spans="1:68" s="183" customFormat="1" ht="18">
      <c r="A57" s="197"/>
      <c r="B57" s="425"/>
      <c r="D57" s="426" t="e">
        <f>#REF!</f>
        <v>#REF!</v>
      </c>
      <c r="E57" s="427"/>
      <c r="F57" s="427"/>
      <c r="H57" s="427"/>
      <c r="I57" s="428"/>
      <c r="J57" s="428"/>
      <c r="K57" s="428"/>
      <c r="L57" s="428"/>
      <c r="M57" s="1202"/>
      <c r="N57" s="1202"/>
      <c r="O57" s="1202"/>
      <c r="P57" s="1202"/>
      <c r="Q57" s="428"/>
      <c r="R57" s="428"/>
      <c r="S57" s="428"/>
      <c r="T57"/>
      <c r="U57"/>
      <c r="V57"/>
      <c r="W57"/>
      <c r="X57"/>
      <c r="Y57"/>
      <c r="Z57"/>
      <c r="AA57"/>
      <c r="AB57"/>
      <c r="AC57"/>
      <c r="AD57"/>
      <c r="AE57"/>
      <c r="AF57"/>
      <c r="AG57" s="422"/>
      <c r="AH57" s="422"/>
      <c r="AI57" s="429"/>
      <c r="AJ57" s="429"/>
      <c r="AK57" s="429"/>
      <c r="AL57" s="429"/>
      <c r="AM57" s="429"/>
      <c r="AN57" s="1223">
        <f>'Input Form'!C34</f>
        <v>0</v>
      </c>
      <c r="AO57" s="1223"/>
      <c r="AP57" s="1223"/>
      <c r="AQ57" s="1223"/>
      <c r="AR57" s="1223"/>
      <c r="AS57" s="1223"/>
      <c r="AT57" s="1223"/>
      <c r="AU57" s="430" t="e">
        <f>#REF!</f>
        <v>#REF!</v>
      </c>
      <c r="AV57" s="431"/>
      <c r="AW57" s="432"/>
      <c r="AX57" s="432"/>
      <c r="AY57" s="432"/>
      <c r="AZ57" s="432"/>
      <c r="BA57" s="432"/>
      <c r="BB57" s="432"/>
      <c r="BC57" s="432"/>
      <c r="BD57" s="432"/>
      <c r="BE57" s="423"/>
      <c r="BF57" s="423"/>
      <c r="BG57" s="423"/>
      <c r="BH57" s="423"/>
      <c r="BI57" s="433"/>
      <c r="BJ57" s="434"/>
    </row>
    <row r="58" spans="1:68" ht="16.5" thickBot="1">
      <c r="B58" s="33"/>
      <c r="C58" s="422"/>
      <c r="D58" s="1203"/>
      <c r="E58" s="1203"/>
      <c r="F58" s="1203"/>
      <c r="G58" s="1203"/>
      <c r="H58" s="1203"/>
      <c r="I58" s="1204"/>
      <c r="J58" s="1204"/>
      <c r="K58" s="1204"/>
      <c r="L58" s="1204"/>
      <c r="M58" s="1204"/>
      <c r="N58" s="1204"/>
      <c r="O58" s="1204"/>
      <c r="P58" s="1204"/>
      <c r="Q58" s="550"/>
      <c r="R58" s="550"/>
      <c r="S58" s="550"/>
      <c r="T58"/>
      <c r="U58"/>
      <c r="V58"/>
      <c r="W58"/>
      <c r="X58"/>
      <c r="Y58"/>
      <c r="Z58"/>
      <c r="AA58"/>
      <c r="AB58"/>
      <c r="AC58"/>
      <c r="AD58"/>
      <c r="AE58"/>
      <c r="AF58"/>
      <c r="AG58" s="422"/>
      <c r="AH58" s="422"/>
      <c r="AI58" s="429"/>
      <c r="AJ58" s="429"/>
      <c r="AK58" s="429"/>
      <c r="AL58" s="429"/>
      <c r="AM58" s="429"/>
      <c r="AN58" s="429"/>
      <c r="AO58" s="429"/>
      <c r="AP58" s="429"/>
      <c r="AQ58" s="429"/>
      <c r="AR58" s="429"/>
      <c r="AS58" s="429"/>
      <c r="AT58" s="429"/>
      <c r="AW58" s="432"/>
      <c r="AX58" s="432"/>
      <c r="AY58" s="432"/>
      <c r="AZ58" s="432"/>
      <c r="BA58" s="432"/>
      <c r="BB58" s="432"/>
      <c r="BC58" s="432"/>
      <c r="BD58" s="432"/>
      <c r="BE58" s="423"/>
      <c r="BF58" s="423"/>
      <c r="BG58" s="423"/>
      <c r="BH58" s="423"/>
      <c r="BI58" s="424"/>
      <c r="BJ58" s="423"/>
    </row>
    <row r="59" spans="1:68" ht="15.75">
      <c r="B59" s="33"/>
      <c r="D59" s="435" t="e">
        <f>+IF(K149="n.b.","n.b.",+IF(K149&lt;80%,"C",+IF(K149&lt;90%,"B","A")))</f>
        <v>#REF!</v>
      </c>
      <c r="E59" s="436" t="e">
        <f>#REF!</f>
        <v>#REF!</v>
      </c>
      <c r="F59" s="437"/>
      <c r="G59" s="437"/>
      <c r="H59" s="437"/>
      <c r="I59" s="437"/>
      <c r="J59" s="437"/>
      <c r="K59" s="437"/>
      <c r="L59" s="437"/>
      <c r="M59" s="438"/>
      <c r="N59" s="438"/>
      <c r="O59" s="439"/>
      <c r="P59" s="439"/>
      <c r="Q59" s="439"/>
      <c r="R59" s="440"/>
      <c r="T59"/>
      <c r="U59"/>
      <c r="V59"/>
      <c r="W59"/>
      <c r="X59"/>
      <c r="Y59"/>
      <c r="Z59"/>
      <c r="AA59"/>
      <c r="AB59"/>
      <c r="AC59"/>
      <c r="AD59"/>
      <c r="AE59"/>
      <c r="AF59"/>
      <c r="AG59" s="422"/>
      <c r="AH59" s="422"/>
      <c r="AI59" s="429"/>
      <c r="AJ59" s="429"/>
      <c r="AK59" s="429"/>
      <c r="AL59" s="429"/>
      <c r="AM59" s="429"/>
      <c r="AN59" s="429"/>
      <c r="AO59" s="429"/>
      <c r="AP59" s="429"/>
      <c r="AQ59" s="429"/>
      <c r="AR59" s="429"/>
      <c r="AS59" s="429"/>
      <c r="AT59" s="429"/>
      <c r="AU59" s="423"/>
      <c r="AV59" s="423"/>
      <c r="AW59" s="432"/>
      <c r="AX59" s="432"/>
      <c r="AY59" s="432"/>
      <c r="AZ59" s="432"/>
      <c r="BA59" s="432"/>
      <c r="BB59" s="432"/>
      <c r="BC59" s="432"/>
      <c r="BD59" s="432"/>
      <c r="BE59" s="423"/>
      <c r="BF59" s="423"/>
      <c r="BG59" s="423"/>
      <c r="BH59" s="423"/>
      <c r="BI59" s="424"/>
      <c r="BJ59" s="423"/>
    </row>
    <row r="60" spans="1:68" ht="18">
      <c r="B60" s="33"/>
      <c r="D60" s="441" t="str">
        <f>+E146</f>
        <v>A</v>
      </c>
      <c r="E60" s="442" t="e">
        <f>#REF!</f>
        <v>#REF!</v>
      </c>
      <c r="F60" s="443"/>
      <c r="G60" s="443"/>
      <c r="H60" s="443"/>
      <c r="I60" s="443"/>
      <c r="J60" s="443"/>
      <c r="K60" s="443"/>
      <c r="L60" s="443"/>
      <c r="M60" s="218"/>
      <c r="N60" s="218"/>
      <c r="O60" s="444"/>
      <c r="P60" s="444"/>
      <c r="Q60" s="444"/>
      <c r="R60" s="445"/>
      <c r="T60"/>
      <c r="U60"/>
      <c r="V60"/>
      <c r="W60"/>
      <c r="X60"/>
      <c r="Y60"/>
      <c r="Z60"/>
      <c r="AA60"/>
      <c r="AB60"/>
      <c r="AC60"/>
      <c r="AD60"/>
      <c r="AE60"/>
      <c r="AF60"/>
      <c r="AG60" s="422"/>
      <c r="AH60" s="422"/>
      <c r="AI60" s="211"/>
      <c r="AJ60" s="211"/>
      <c r="AK60" s="211"/>
      <c r="AL60" s="211"/>
      <c r="AM60" s="422"/>
      <c r="AN60" s="422"/>
      <c r="AO60" s="422"/>
      <c r="AP60" s="422"/>
      <c r="AS60" s="430"/>
      <c r="AT60" s="430"/>
      <c r="AU60" s="430"/>
      <c r="AV60" s="430"/>
      <c r="AW60" s="430"/>
      <c r="AX60" s="430"/>
      <c r="AY60" s="430"/>
      <c r="AZ60" s="430"/>
      <c r="BA60" s="430"/>
      <c r="BB60" s="430"/>
      <c r="BC60" s="430"/>
      <c r="BD60" s="423"/>
      <c r="BE60" s="446"/>
      <c r="BF60" s="423"/>
      <c r="BG60" s="423"/>
      <c r="BH60" s="423"/>
      <c r="BI60" s="424"/>
      <c r="BJ60" s="423"/>
    </row>
    <row r="61" spans="1:68" ht="16.5" thickBot="1">
      <c r="B61" s="33"/>
      <c r="D61" s="447" t="str">
        <f>IF(COUNTIF(A8:A52,BL51)=16,BL51,+IF(COUNTIF((A8:A52),"C")&gt;=1,"C",+IF(+COUNTIF((A8:A52),"B")&gt;=1,"B","A")))</f>
        <v>A</v>
      </c>
      <c r="E61" s="442" t="e">
        <f>#REF!</f>
        <v>#REF!</v>
      </c>
      <c r="F61" s="443"/>
      <c r="G61" s="443"/>
      <c r="H61" s="443"/>
      <c r="I61" s="443"/>
      <c r="J61" s="443"/>
      <c r="K61" s="443"/>
      <c r="L61" s="443"/>
      <c r="M61" s="218"/>
      <c r="N61" s="218"/>
      <c r="O61" s="444"/>
      <c r="P61" s="444"/>
      <c r="Q61" s="444"/>
      <c r="R61" s="445"/>
      <c r="T61"/>
      <c r="U61"/>
      <c r="V61"/>
      <c r="W61"/>
      <c r="X61"/>
      <c r="Y61"/>
      <c r="Z61"/>
      <c r="AA61"/>
      <c r="AB61"/>
      <c r="AC61"/>
      <c r="AD61"/>
      <c r="AE61"/>
      <c r="AF61"/>
      <c r="AG61" s="422"/>
      <c r="AH61" s="422"/>
      <c r="AI61" s="448"/>
      <c r="AJ61" s="448"/>
      <c r="AK61" s="448"/>
      <c r="AL61" s="1221" t="e">
        <f>#REF!</f>
        <v>#REF!</v>
      </c>
      <c r="AM61" s="1221" t="e">
        <f>#REF!</f>
        <v>#REF!</v>
      </c>
      <c r="AN61" s="1221" t="e">
        <f>#REF!</f>
        <v>#REF!</v>
      </c>
      <c r="AO61" s="1221" t="e">
        <f>#REF!</f>
        <v>#REF!</v>
      </c>
      <c r="AP61" s="1221" t="e">
        <f>#REF!</f>
        <v>#REF!</v>
      </c>
      <c r="AQ61" s="1221" t="e">
        <f>#REF!</f>
        <v>#REF!</v>
      </c>
      <c r="AR61" s="1221" t="e">
        <f>#REF!</f>
        <v>#REF!</v>
      </c>
      <c r="AS61" s="1221" t="e">
        <f>#REF!</f>
        <v>#REF!</v>
      </c>
      <c r="AT61" s="1221" t="e">
        <f>#REF!</f>
        <v>#REF!</v>
      </c>
      <c r="AU61" s="1221" t="e">
        <f>#REF!</f>
        <v>#REF!</v>
      </c>
      <c r="AV61" s="1221" t="e">
        <f>#REF!</f>
        <v>#REF!</v>
      </c>
      <c r="AW61" s="1221" t="e">
        <f>#REF!</f>
        <v>#REF!</v>
      </c>
      <c r="AX61" s="1221" t="e">
        <f>#REF!</f>
        <v>#REF!</v>
      </c>
      <c r="AY61" s="1222" t="e">
        <f>SUM(BP8,CB14,CB22,BP29,BP45,BP52)</f>
        <v>#REF!</v>
      </c>
      <c r="AZ61" s="1222"/>
      <c r="BA61" s="565"/>
      <c r="BB61" s="1205" t="s">
        <v>439</v>
      </c>
      <c r="BC61" s="1205"/>
      <c r="BD61" s="1205"/>
      <c r="BE61" s="1205" t="e">
        <f>#REF!</f>
        <v>#REF!</v>
      </c>
      <c r="BF61" s="1205" t="e">
        <f>#REF!</f>
        <v>#REF!</v>
      </c>
      <c r="BG61" s="449"/>
      <c r="BH61" s="423"/>
      <c r="BI61" s="424"/>
      <c r="BJ61" s="423"/>
    </row>
    <row r="62" spans="1:68" ht="15.75">
      <c r="B62" s="33"/>
      <c r="D62" s="441" t="e">
        <f>+AD152</f>
        <v>#REF!</v>
      </c>
      <c r="E62" s="442" t="e">
        <f>#REF!</f>
        <v>#REF!</v>
      </c>
      <c r="F62" s="443"/>
      <c r="G62" s="443"/>
      <c r="H62" s="443"/>
      <c r="I62" s="443"/>
      <c r="J62" s="443"/>
      <c r="K62" s="443"/>
      <c r="L62" s="443"/>
      <c r="M62" s="218"/>
      <c r="N62" s="218"/>
      <c r="O62" s="444"/>
      <c r="P62" s="444"/>
      <c r="Q62" s="444"/>
      <c r="R62" s="445"/>
      <c r="T62"/>
      <c r="U62"/>
      <c r="V62"/>
      <c r="W62"/>
      <c r="X62"/>
      <c r="Y62"/>
      <c r="Z62"/>
      <c r="AA62"/>
      <c r="AB62"/>
      <c r="AC62"/>
      <c r="AD62"/>
      <c r="AE62"/>
      <c r="AF62"/>
      <c r="AG62" s="422"/>
      <c r="AH62" s="422"/>
      <c r="AI62" s="448"/>
      <c r="AJ62" s="448"/>
      <c r="AK62" s="448"/>
      <c r="AL62" s="1221" t="e">
        <f>#REF!</f>
        <v>#REF!</v>
      </c>
      <c r="AM62" s="1221" t="e">
        <f>#REF!</f>
        <v>#REF!</v>
      </c>
      <c r="AN62" s="1221" t="e">
        <f>#REF!</f>
        <v>#REF!</v>
      </c>
      <c r="AO62" s="1221" t="e">
        <f>#REF!</f>
        <v>#REF!</v>
      </c>
      <c r="AP62" s="1221" t="e">
        <f>#REF!</f>
        <v>#REF!</v>
      </c>
      <c r="AQ62" s="1221" t="e">
        <f>#REF!</f>
        <v>#REF!</v>
      </c>
      <c r="AR62" s="1221" t="e">
        <f>#REF!</f>
        <v>#REF!</v>
      </c>
      <c r="AS62" s="1221" t="e">
        <f>#REF!</f>
        <v>#REF!</v>
      </c>
      <c r="AT62" s="1221" t="e">
        <f>#REF!</f>
        <v>#REF!</v>
      </c>
      <c r="AU62" s="1221" t="e">
        <f>#REF!</f>
        <v>#REF!</v>
      </c>
      <c r="AV62" s="1221" t="e">
        <f>#REF!</f>
        <v>#REF!</v>
      </c>
      <c r="AW62" s="1221" t="e">
        <f>#REF!</f>
        <v>#REF!</v>
      </c>
      <c r="AX62" s="1221" t="e">
        <f>#REF!</f>
        <v>#REF!</v>
      </c>
      <c r="AY62" s="1222"/>
      <c r="AZ62" s="1222"/>
      <c r="BA62" s="565"/>
      <c r="BB62" s="1206" t="e">
        <f>IF(OR(AN57=0,ISERROR(AVERAGE(epm,epp,epr,ez,epg,ek))),$BL$35,ROUND(AY61/AY64,2))</f>
        <v>#REF!</v>
      </c>
      <c r="BC62" s="1207"/>
      <c r="BD62" s="1208"/>
      <c r="BE62" s="1215" t="e">
        <f>+IF(BB62=$BL$35,$BL$35,+D65)</f>
        <v>#REF!</v>
      </c>
      <c r="BF62" s="1216"/>
      <c r="BG62" s="449"/>
      <c r="BI62" s="424"/>
      <c r="BJ62" s="423"/>
    </row>
    <row r="63" spans="1:68" ht="30">
      <c r="B63" s="33"/>
      <c r="D63" s="441" t="e">
        <f>+AD167</f>
        <v>#REF!</v>
      </c>
      <c r="E63" s="442" t="e">
        <f>#REF!</f>
        <v>#REF!</v>
      </c>
      <c r="F63" s="443"/>
      <c r="G63" s="443"/>
      <c r="H63" s="443"/>
      <c r="I63" s="443"/>
      <c r="J63" s="443"/>
      <c r="K63" s="443"/>
      <c r="L63" s="443"/>
      <c r="M63" s="218"/>
      <c r="N63" s="218"/>
      <c r="O63" s="444"/>
      <c r="P63" s="444"/>
      <c r="Q63" s="444"/>
      <c r="R63" s="445"/>
      <c r="T63"/>
      <c r="U63"/>
      <c r="V63"/>
      <c r="W63"/>
      <c r="X63"/>
      <c r="Y63"/>
      <c r="Z63"/>
      <c r="AA63"/>
      <c r="AB63"/>
      <c r="AC63"/>
      <c r="AD63"/>
      <c r="AE63"/>
      <c r="AF63"/>
      <c r="AG63" s="422"/>
      <c r="AH63" s="422"/>
      <c r="AI63" s="448"/>
      <c r="AJ63" s="448"/>
      <c r="AK63" s="448"/>
      <c r="AL63" s="355" t="s">
        <v>443</v>
      </c>
      <c r="AM63" s="355"/>
      <c r="AN63" s="355"/>
      <c r="AO63" s="355"/>
      <c r="AP63" s="355"/>
      <c r="AQ63" s="355"/>
      <c r="AR63" s="355"/>
      <c r="AS63" s="355"/>
      <c r="AT63" s="355"/>
      <c r="AU63" s="355"/>
      <c r="AV63" s="355"/>
      <c r="AW63" s="355"/>
      <c r="AX63" s="355"/>
      <c r="AY63" s="355"/>
      <c r="AZ63" s="355"/>
      <c r="BA63" s="355"/>
      <c r="BB63" s="1209"/>
      <c r="BC63" s="1210"/>
      <c r="BD63" s="1211"/>
      <c r="BE63" s="1217"/>
      <c r="BF63" s="1218"/>
      <c r="BG63" s="450"/>
      <c r="BH63" s="450"/>
      <c r="BI63" s="424"/>
      <c r="BJ63" s="423"/>
    </row>
    <row r="64" spans="1:68" ht="30.75" thickBot="1">
      <c r="B64" s="33"/>
      <c r="D64" s="441" t="e">
        <f>++IF(K149=$BL$35,$BL$35,+IF(MIN(epm,ede,epe,elm,ek,epg)&lt;70%,"C",+IF(MIN(epm,ede,epe,elm,ek,epg)&lt;80%,"B","A")))</f>
        <v>#REF!</v>
      </c>
      <c r="E64" s="442" t="e">
        <f>#REF!</f>
        <v>#REF!</v>
      </c>
      <c r="F64" s="443"/>
      <c r="G64" s="443"/>
      <c r="H64" s="443"/>
      <c r="I64" s="443"/>
      <c r="J64" s="443"/>
      <c r="K64" s="443"/>
      <c r="L64" s="443"/>
      <c r="M64" s="218"/>
      <c r="N64" s="218"/>
      <c r="O64" s="444"/>
      <c r="P64" s="444"/>
      <c r="Q64" s="444"/>
      <c r="R64" s="445"/>
      <c r="T64"/>
      <c r="U64"/>
      <c r="V64"/>
      <c r="W64"/>
      <c r="X64"/>
      <c r="Y64"/>
      <c r="Z64"/>
      <c r="AA64"/>
      <c r="AB64"/>
      <c r="AC64"/>
      <c r="AD64"/>
      <c r="AE64"/>
      <c r="AF64"/>
      <c r="AG64" s="422"/>
      <c r="AH64" s="422"/>
      <c r="AI64" s="448"/>
      <c r="AJ64" s="448"/>
      <c r="AK64" s="448"/>
      <c r="AL64" s="1221" t="e">
        <f>#REF!</f>
        <v>#REF!</v>
      </c>
      <c r="AM64" s="1221" t="e">
        <f>#REF!</f>
        <v>#REF!</v>
      </c>
      <c r="AN64" s="1221" t="e">
        <f>#REF!</f>
        <v>#REF!</v>
      </c>
      <c r="AO64" s="1221" t="e">
        <f>#REF!</f>
        <v>#REF!</v>
      </c>
      <c r="AP64" s="1221" t="e">
        <f>#REF!</f>
        <v>#REF!</v>
      </c>
      <c r="AQ64" s="1221" t="e">
        <f>#REF!</f>
        <v>#REF!</v>
      </c>
      <c r="AR64" s="1221" t="e">
        <f>#REF!</f>
        <v>#REF!</v>
      </c>
      <c r="AS64" s="1221" t="e">
        <f>#REF!</f>
        <v>#REF!</v>
      </c>
      <c r="AT64" s="1221" t="e">
        <f>#REF!</f>
        <v>#REF!</v>
      </c>
      <c r="AU64" s="1221" t="e">
        <f>#REF!</f>
        <v>#REF!</v>
      </c>
      <c r="AV64" s="1221" t="e">
        <f>#REF!</f>
        <v>#REF!</v>
      </c>
      <c r="AW64" s="1221" t="e">
        <f>#REF!</f>
        <v>#REF!</v>
      </c>
      <c r="AX64" s="1221" t="e">
        <f>#REF!</f>
        <v>#REF!</v>
      </c>
      <c r="AY64" s="1222" t="e">
        <f>SUM(BO8,CA14,CA22,BO29,BO45,BO52)</f>
        <v>#REF!</v>
      </c>
      <c r="AZ64" s="1222"/>
      <c r="BA64" s="565"/>
      <c r="BB64" s="1212"/>
      <c r="BC64" s="1213"/>
      <c r="BD64" s="1214"/>
      <c r="BE64" s="1219"/>
      <c r="BF64" s="1220"/>
      <c r="BG64" s="450"/>
      <c r="BI64" s="424"/>
      <c r="BJ64" s="423"/>
    </row>
    <row r="65" spans="2:62" ht="30.75" thickBot="1">
      <c r="B65" s="33"/>
      <c r="D65" s="451" t="str">
        <f>IF(COUNTIF(D59:D64,"n.b.")=6,"n.b.",IF(COUNTIF(D59:D64,"C")&gt;=1,"C",IF(COUNTIF(D59:D64,"B")&gt;=1,"B","A")))</f>
        <v>A</v>
      </c>
      <c r="E65" s="452" t="e">
        <f>#REF!</f>
        <v>#REF!</v>
      </c>
      <c r="F65" s="453"/>
      <c r="G65" s="453"/>
      <c r="H65" s="453"/>
      <c r="I65" s="453"/>
      <c r="J65" s="453"/>
      <c r="K65" s="453"/>
      <c r="L65" s="453"/>
      <c r="M65" s="454"/>
      <c r="N65" s="454"/>
      <c r="O65" s="455"/>
      <c r="P65" s="455"/>
      <c r="Q65" s="455"/>
      <c r="R65" s="456"/>
      <c r="T65"/>
      <c r="U65"/>
      <c r="V65"/>
      <c r="W65"/>
      <c r="X65"/>
      <c r="Y65"/>
      <c r="Z65"/>
      <c r="AA65"/>
      <c r="AB65"/>
      <c r="AC65"/>
      <c r="AD65"/>
      <c r="AE65"/>
      <c r="AF65"/>
      <c r="AG65" s="422"/>
      <c r="AH65" s="422"/>
      <c r="AI65" s="448"/>
      <c r="AJ65" s="448"/>
      <c r="AK65" s="448"/>
      <c r="AL65" s="1221" t="e">
        <f>#REF!</f>
        <v>#REF!</v>
      </c>
      <c r="AM65" s="1221" t="e">
        <f>#REF!</f>
        <v>#REF!</v>
      </c>
      <c r="AN65" s="1221" t="e">
        <f>#REF!</f>
        <v>#REF!</v>
      </c>
      <c r="AO65" s="1221" t="e">
        <f>#REF!</f>
        <v>#REF!</v>
      </c>
      <c r="AP65" s="1221" t="e">
        <f>#REF!</f>
        <v>#REF!</v>
      </c>
      <c r="AQ65" s="1221" t="e">
        <f>#REF!</f>
        <v>#REF!</v>
      </c>
      <c r="AR65" s="1221" t="e">
        <f>#REF!</f>
        <v>#REF!</v>
      </c>
      <c r="AS65" s="1221" t="e">
        <f>#REF!</f>
        <v>#REF!</v>
      </c>
      <c r="AT65" s="1221" t="e">
        <f>#REF!</f>
        <v>#REF!</v>
      </c>
      <c r="AU65" s="1221" t="e">
        <f>#REF!</f>
        <v>#REF!</v>
      </c>
      <c r="AV65" s="1221" t="e">
        <f>#REF!</f>
        <v>#REF!</v>
      </c>
      <c r="AW65" s="1221" t="e">
        <f>#REF!</f>
        <v>#REF!</v>
      </c>
      <c r="AX65" s="1221" t="e">
        <f>#REF!</f>
        <v>#REF!</v>
      </c>
      <c r="AY65" s="1222"/>
      <c r="AZ65" s="1222"/>
      <c r="BA65" s="565"/>
      <c r="BB65" s="355"/>
      <c r="BG65" s="450"/>
      <c r="BI65" s="424"/>
      <c r="BJ65" s="423"/>
    </row>
    <row r="66" spans="2:62" ht="19.5" customHeight="1">
      <c r="B66" s="33"/>
      <c r="C66" s="423"/>
      <c r="D66" s="444"/>
      <c r="E66" s="444"/>
      <c r="F66" s="444"/>
      <c r="G66" s="444"/>
      <c r="H66" s="444"/>
      <c r="I66" s="444"/>
      <c r="J66" s="444"/>
      <c r="K66" s="444"/>
      <c r="L66" s="444"/>
      <c r="M66" s="444"/>
      <c r="N66" s="444"/>
      <c r="O66" s="444"/>
      <c r="P66" s="444"/>
      <c r="Q66" s="444"/>
      <c r="R66" s="444"/>
      <c r="S66" s="444"/>
      <c r="T66" s="423"/>
      <c r="U66" s="422"/>
      <c r="V66" s="422"/>
      <c r="W66" s="422"/>
      <c r="X66" s="422"/>
      <c r="Y66" s="422"/>
      <c r="Z66" s="422"/>
      <c r="AA66" s="422"/>
      <c r="AB66" s="422"/>
      <c r="AC66" s="422"/>
      <c r="AD66" s="422"/>
      <c r="AE66" s="422"/>
      <c r="AF66" s="422"/>
      <c r="AG66" s="422"/>
      <c r="AH66" s="422"/>
      <c r="AI66" s="448"/>
      <c r="AJ66" s="448"/>
      <c r="AK66" s="448"/>
      <c r="AL66" s="448"/>
      <c r="AM66" s="448"/>
      <c r="AN66" s="448"/>
      <c r="AO66" s="448"/>
      <c r="AP66" s="448"/>
      <c r="AQ66" s="448"/>
      <c r="AR66" s="448"/>
      <c r="AS66" s="448"/>
      <c r="AT66" s="448"/>
      <c r="AU66" s="448"/>
      <c r="AV66" s="448"/>
      <c r="AW66" s="448"/>
      <c r="AX66" s="448"/>
      <c r="AY66" s="448"/>
      <c r="BD66" s="450"/>
      <c r="BI66" s="424"/>
      <c r="BJ66" s="423"/>
    </row>
    <row r="67" spans="2:62" ht="15" customHeight="1">
      <c r="B67" s="33"/>
      <c r="D67" s="444"/>
      <c r="E67" s="444"/>
      <c r="F67" s="444"/>
      <c r="G67" s="444"/>
      <c r="H67" s="444"/>
      <c r="I67" s="444"/>
      <c r="J67" s="444"/>
      <c r="K67" s="444"/>
      <c r="L67" s="444"/>
      <c r="M67" s="444"/>
      <c r="N67" s="444"/>
      <c r="O67" s="444"/>
      <c r="P67" s="444"/>
      <c r="Q67" s="444"/>
      <c r="R67" s="444"/>
      <c r="S67" s="444"/>
      <c r="T67" s="22"/>
      <c r="U67" s="422"/>
      <c r="W67" s="422"/>
      <c r="X67" s="422"/>
      <c r="Y67" s="422"/>
      <c r="Z67" s="422"/>
      <c r="AA67" s="422"/>
      <c r="AB67" s="422"/>
      <c r="AC67" s="422"/>
      <c r="AD67" s="422"/>
      <c r="AE67" s="422"/>
      <c r="AF67" s="422"/>
      <c r="AG67" s="422"/>
      <c r="AH67" s="422"/>
      <c r="AI67" s="1228"/>
      <c r="AJ67" s="1228"/>
      <c r="AK67" s="1228"/>
      <c r="AL67" s="1228"/>
      <c r="AM67" s="1228"/>
      <c r="AN67" s="1228"/>
      <c r="AO67" s="1228"/>
      <c r="AP67" s="1228"/>
      <c r="AQ67" s="1229"/>
      <c r="AR67" s="356"/>
      <c r="AS67" s="356"/>
      <c r="AT67" s="753"/>
      <c r="AX67" s="457"/>
      <c r="AY67" s="457"/>
      <c r="BE67" s="446"/>
      <c r="BF67" s="457"/>
      <c r="BG67" s="457"/>
      <c r="BH67" s="457"/>
      <c r="BI67" s="458"/>
      <c r="BJ67" s="22"/>
    </row>
    <row r="68" spans="2:62" ht="14.25" customHeight="1">
      <c r="B68" s="33"/>
      <c r="C68" s="22"/>
      <c r="D68" s="22"/>
      <c r="E68" s="22"/>
      <c r="F68" s="22"/>
      <c r="G68" s="22"/>
      <c r="H68" s="22"/>
      <c r="I68" s="22"/>
      <c r="J68" s="22"/>
      <c r="K68" s="22"/>
      <c r="L68" s="22"/>
      <c r="M68" s="22"/>
      <c r="N68" s="22"/>
      <c r="O68" s="149"/>
      <c r="P68" s="22"/>
      <c r="Q68" s="22"/>
      <c r="R68" s="22"/>
      <c r="S68" s="22"/>
      <c r="T68" s="22"/>
      <c r="U68" s="22"/>
      <c r="V68" s="754"/>
      <c r="W68" s="754"/>
      <c r="X68" s="754"/>
      <c r="Y68" s="446"/>
      <c r="Z68" s="174"/>
      <c r="AA68" s="174"/>
      <c r="AB68" s="22"/>
      <c r="AC68" s="22"/>
      <c r="AD68" s="22"/>
      <c r="AE68" s="459"/>
      <c r="AF68" s="434"/>
      <c r="AG68" s="755"/>
      <c r="AH68" s="434"/>
      <c r="AI68" s="175"/>
      <c r="AJ68" s="175"/>
      <c r="AK68" s="175"/>
      <c r="AL68" s="175"/>
      <c r="AM68" s="175"/>
      <c r="AN68" s="175"/>
      <c r="AO68" s="175"/>
      <c r="AP68" s="175"/>
      <c r="AQ68" s="434"/>
      <c r="AR68" s="174"/>
      <c r="AS68" s="174"/>
      <c r="AT68" s="754"/>
      <c r="AX68" s="457"/>
      <c r="AY68" s="457"/>
      <c r="BF68" s="457"/>
      <c r="BG68" s="457"/>
      <c r="BH68" s="457"/>
      <c r="BI68" s="458"/>
      <c r="BJ68" s="22"/>
    </row>
    <row r="69" spans="2:62" ht="15" customHeight="1">
      <c r="B69" s="33"/>
      <c r="C69" s="460" t="e">
        <f>#REF!</f>
        <v>#REF!</v>
      </c>
      <c r="D69" s="423"/>
      <c r="E69" s="423"/>
      <c r="F69" s="423"/>
      <c r="G69" s="423"/>
      <c r="H69" s="423"/>
      <c r="I69" s="22"/>
      <c r="J69" s="423"/>
      <c r="K69" s="423"/>
      <c r="L69" s="423"/>
      <c r="M69" s="423"/>
      <c r="N69" s="422"/>
      <c r="O69" s="461"/>
      <c r="P69" s="422"/>
      <c r="Q69" s="422"/>
      <c r="R69" s="422"/>
      <c r="S69" s="218"/>
      <c r="T69" s="218"/>
      <c r="U69" s="422"/>
      <c r="V69" s="422"/>
      <c r="X69" s="422"/>
      <c r="Y69" s="422"/>
      <c r="Z69" s="422"/>
      <c r="AA69" s="423"/>
      <c r="AB69" s="423"/>
      <c r="AC69" s="423"/>
      <c r="AD69" s="423"/>
      <c r="AG69" s="23" t="e">
        <f>#REF!</f>
        <v>#REF!</v>
      </c>
      <c r="AX69" s="457"/>
      <c r="AY69" s="457"/>
      <c r="AZ69" s="457"/>
      <c r="BA69" s="457"/>
      <c r="BB69" s="457"/>
      <c r="BC69" s="457"/>
      <c r="BD69" s="457"/>
      <c r="BE69" s="457"/>
      <c r="BF69" s="457"/>
      <c r="BG69" s="457"/>
      <c r="BH69" s="457"/>
      <c r="BI69" s="424"/>
      <c r="BJ69" s="423"/>
    </row>
    <row r="70" spans="2:62" ht="7.15" customHeight="1" thickBot="1">
      <c r="B70" s="79"/>
      <c r="C70" s="462"/>
      <c r="D70" s="463"/>
      <c r="E70" s="463"/>
      <c r="F70" s="463"/>
      <c r="G70" s="463"/>
      <c r="H70" s="463"/>
      <c r="I70" s="463"/>
      <c r="J70" s="463"/>
      <c r="K70" s="463"/>
      <c r="L70" s="463"/>
      <c r="M70" s="463"/>
      <c r="N70" s="463"/>
      <c r="O70" s="463"/>
      <c r="P70" s="463"/>
      <c r="Q70" s="463"/>
      <c r="R70" s="463"/>
      <c r="S70" s="463"/>
      <c r="T70" s="463"/>
      <c r="U70" s="463"/>
      <c r="V70" s="463"/>
      <c r="W70" s="463"/>
      <c r="X70" s="463"/>
      <c r="Y70" s="463"/>
      <c r="Z70" s="463"/>
      <c r="AA70" s="463"/>
      <c r="AB70" s="463"/>
      <c r="AC70" s="463"/>
      <c r="AD70" s="463"/>
      <c r="AE70" s="463"/>
      <c r="AF70" s="463"/>
      <c r="AG70" s="463"/>
      <c r="AH70" s="463"/>
      <c r="AI70" s="463"/>
      <c r="AJ70" s="463"/>
      <c r="AK70" s="463"/>
      <c r="AL70" s="463"/>
      <c r="AM70" s="463"/>
      <c r="AN70" s="463"/>
      <c r="AO70" s="463"/>
      <c r="AP70" s="463"/>
      <c r="AQ70" s="463"/>
      <c r="AR70" s="463"/>
      <c r="AS70" s="463"/>
      <c r="AT70" s="463"/>
      <c r="AU70" s="463"/>
      <c r="AV70" s="463"/>
      <c r="AW70" s="463"/>
      <c r="AX70" s="463"/>
      <c r="AY70" s="463"/>
      <c r="AZ70" s="463"/>
      <c r="BA70" s="463"/>
      <c r="BB70" s="463"/>
      <c r="BC70" s="463"/>
      <c r="BD70" s="463"/>
      <c r="BE70" s="463"/>
      <c r="BF70" s="463"/>
      <c r="BG70" s="463"/>
      <c r="BH70" s="463"/>
      <c r="BI70" s="464"/>
      <c r="BJ70" s="423"/>
    </row>
    <row r="71" spans="2:62" ht="10.5" customHeight="1">
      <c r="C71" s="176"/>
      <c r="D71" s="177"/>
      <c r="E71" s="177"/>
      <c r="F71" s="177"/>
      <c r="G71" s="177"/>
      <c r="H71" s="177"/>
      <c r="I71" s="177"/>
      <c r="J71" s="177"/>
      <c r="K71" s="177"/>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row>
    <row r="72" spans="2:62" ht="21" customHeight="1">
      <c r="T72" s="237"/>
      <c r="U72" s="237"/>
      <c r="V72" s="237"/>
      <c r="W72" s="237"/>
      <c r="X72" s="237"/>
      <c r="Y72" s="237"/>
      <c r="Z72" s="237"/>
      <c r="AA72" s="237"/>
      <c r="AB72" s="237"/>
      <c r="AC72" s="237"/>
      <c r="AD72" s="237"/>
      <c r="AE72" s="237"/>
      <c r="AF72" s="237"/>
      <c r="AG72" s="237"/>
      <c r="AH72" s="237"/>
      <c r="AI72" s="237"/>
      <c r="AJ72" s="237"/>
      <c r="AK72" s="237"/>
      <c r="AL72" s="237"/>
      <c r="AM72" s="237"/>
      <c r="AN72" s="237"/>
      <c r="AO72" s="237"/>
      <c r="AP72" s="237"/>
      <c r="AQ72" s="237"/>
      <c r="AR72" s="237"/>
      <c r="AS72" s="237"/>
      <c r="AT72" s="237"/>
      <c r="AU72" s="237"/>
      <c r="AV72" s="237"/>
      <c r="AW72" s="1226"/>
      <c r="AX72" s="1226"/>
      <c r="AY72" s="1226"/>
      <c r="AZ72" s="1226"/>
      <c r="BA72" s="1226"/>
      <c r="BB72" s="1226"/>
      <c r="BC72" s="1226"/>
      <c r="BD72" s="1226"/>
      <c r="BE72" s="1226"/>
      <c r="BF72" s="1226"/>
      <c r="BG72" s="1226"/>
      <c r="BH72" s="1226"/>
      <c r="BI72" s="1226"/>
    </row>
    <row r="73" spans="2:62" ht="138" customHeight="1">
      <c r="D73" s="256" t="s">
        <v>110</v>
      </c>
      <c r="E73" s="257" t="s">
        <v>211</v>
      </c>
      <c r="F73" s="257"/>
      <c r="G73" s="223"/>
      <c r="H73" s="257" t="s">
        <v>217</v>
      </c>
      <c r="I73" s="258" t="s">
        <v>218</v>
      </c>
      <c r="J73" s="236"/>
      <c r="K73" s="236"/>
      <c r="L73" s="236"/>
      <c r="T73" s="237"/>
      <c r="U73" s="237"/>
      <c r="V73" s="237"/>
      <c r="W73" s="237"/>
      <c r="X73" s="237"/>
      <c r="Y73" s="237"/>
      <c r="Z73" s="237"/>
      <c r="AA73" s="237"/>
      <c r="AB73" s="237"/>
      <c r="AC73" s="237"/>
      <c r="AD73" s="237"/>
      <c r="AE73" s="237"/>
      <c r="AF73" s="236"/>
      <c r="AG73" s="236"/>
      <c r="AH73" s="236"/>
      <c r="AI73" s="236"/>
      <c r="AJ73" s="236"/>
      <c r="AK73" s="236"/>
      <c r="AL73" s="236"/>
      <c r="AM73" s="237"/>
      <c r="AN73" s="237"/>
      <c r="AO73" s="237"/>
      <c r="AP73" s="237"/>
      <c r="AQ73" s="237"/>
      <c r="AR73" s="237"/>
      <c r="AS73" s="237"/>
      <c r="AT73" s="237"/>
      <c r="AU73" s="237"/>
      <c r="AV73" s="237"/>
      <c r="AW73" s="1226"/>
      <c r="AX73" s="1226"/>
      <c r="AY73" s="1226"/>
      <c r="AZ73" s="1226"/>
      <c r="BA73" s="1226"/>
      <c r="BB73" s="1226"/>
      <c r="BC73" s="1226"/>
      <c r="BD73" s="1226"/>
      <c r="BE73" s="1226"/>
      <c r="BF73" s="1226"/>
      <c r="BG73" s="1226"/>
      <c r="BH73" s="1226"/>
      <c r="BI73" s="1226"/>
    </row>
    <row r="74" spans="2:62" ht="15.75">
      <c r="D74" s="259" t="s">
        <v>138</v>
      </c>
      <c r="I74" s="224"/>
      <c r="T74" s="237"/>
      <c r="U74" s="237"/>
      <c r="V74" s="237"/>
      <c r="W74" s="237"/>
      <c r="X74" s="237"/>
      <c r="Y74" s="237"/>
      <c r="Z74" s="237"/>
      <c r="AA74" s="237"/>
      <c r="AB74" s="237"/>
      <c r="AC74" s="237"/>
      <c r="AD74" s="237"/>
      <c r="AE74" s="237"/>
      <c r="AM74" s="237"/>
      <c r="AN74" s="237"/>
      <c r="AO74" s="237"/>
      <c r="AP74" s="237"/>
      <c r="AQ74" s="237"/>
      <c r="AR74" s="237"/>
      <c r="AS74" s="237"/>
      <c r="AT74" s="237"/>
      <c r="AU74" s="237"/>
      <c r="AV74" s="237"/>
      <c r="AW74" s="1230"/>
      <c r="AX74" s="1230"/>
      <c r="AY74" s="1230"/>
      <c r="AZ74" s="1230"/>
      <c r="BA74" s="1230"/>
      <c r="BB74" s="1230"/>
      <c r="BC74" s="1230"/>
      <c r="BD74" s="1230"/>
      <c r="BE74" s="1230"/>
      <c r="BF74" s="1230"/>
      <c r="BG74" s="1230"/>
      <c r="BH74" s="1230"/>
      <c r="BI74" s="1230"/>
    </row>
    <row r="75" spans="2:62" ht="15">
      <c r="D75" s="260" t="str">
        <f>+Questions!$A13</f>
        <v>2.1</v>
      </c>
      <c r="I75" s="224"/>
      <c r="T75" s="237"/>
      <c r="U75" s="237"/>
      <c r="V75" s="237"/>
      <c r="W75" s="237"/>
      <c r="X75" s="237"/>
      <c r="Y75" s="237"/>
      <c r="Z75" s="237"/>
      <c r="AA75" s="237"/>
      <c r="AB75" s="237"/>
      <c r="AC75" s="237"/>
      <c r="AD75" s="237"/>
      <c r="AE75" s="237"/>
      <c r="AM75" s="237"/>
      <c r="AN75" s="237"/>
      <c r="AO75" s="237"/>
      <c r="AP75" s="237"/>
      <c r="AQ75" s="237"/>
      <c r="AR75" s="237"/>
      <c r="AS75" s="237"/>
      <c r="AT75" s="237"/>
      <c r="AU75" s="237"/>
      <c r="AV75" s="237"/>
      <c r="AW75" s="1230"/>
      <c r="AX75" s="1230"/>
      <c r="AY75" s="1230"/>
      <c r="AZ75" s="1230"/>
      <c r="BA75" s="1230"/>
      <c r="BB75" s="1230"/>
      <c r="BC75" s="1230"/>
      <c r="BD75" s="1230"/>
      <c r="BE75" s="1230"/>
      <c r="BF75" s="1230"/>
      <c r="BG75" s="1230"/>
      <c r="BH75" s="1230"/>
      <c r="BI75" s="1230"/>
    </row>
    <row r="76" spans="2:62" ht="15">
      <c r="D76" s="260" t="str">
        <f>+Questions!$A14</f>
        <v>2.2</v>
      </c>
      <c r="I76" s="224"/>
      <c r="T76" s="237"/>
      <c r="U76" s="568"/>
      <c r="V76" s="568"/>
      <c r="W76" s="238"/>
      <c r="X76" s="568"/>
      <c r="Y76" s="568"/>
      <c r="Z76" s="568"/>
      <c r="AA76" s="568"/>
      <c r="AB76" s="568"/>
      <c r="AC76" s="568"/>
      <c r="AD76" s="568"/>
      <c r="AE76" s="568"/>
      <c r="AF76" s="568"/>
      <c r="AG76" s="568"/>
      <c r="AH76" s="568"/>
      <c r="AI76" s="568"/>
      <c r="AJ76" s="568"/>
      <c r="AK76" s="568"/>
      <c r="AL76" s="568"/>
      <c r="AM76" s="568"/>
      <c r="AN76" s="568"/>
      <c r="AO76" s="568"/>
      <c r="AP76" s="568"/>
      <c r="AQ76" s="568"/>
      <c r="AR76" s="568"/>
      <c r="AS76" s="568"/>
      <c r="AT76" s="568"/>
      <c r="AU76" s="568"/>
      <c r="AV76" s="568"/>
      <c r="AW76" s="1226"/>
      <c r="AX76" s="1226"/>
      <c r="AY76" s="1226"/>
      <c r="AZ76" s="1226"/>
      <c r="BA76" s="1226"/>
      <c r="BB76" s="1226"/>
      <c r="BC76" s="1226"/>
      <c r="BD76" s="1226"/>
      <c r="BE76" s="1226"/>
      <c r="BF76" s="1226"/>
      <c r="BG76" s="1226"/>
      <c r="BH76" s="1226"/>
      <c r="BI76" s="1226"/>
    </row>
    <row r="77" spans="2:62" ht="15">
      <c r="D77" s="260" t="str">
        <f>+Questions!$A15</f>
        <v>2.3</v>
      </c>
      <c r="I77" s="224"/>
      <c r="T77" s="237"/>
      <c r="U77" s="568"/>
      <c r="V77" s="568"/>
      <c r="W77" s="568"/>
      <c r="X77" s="568"/>
      <c r="Y77" s="568"/>
      <c r="Z77" s="568"/>
      <c r="AA77" s="568"/>
      <c r="AB77" s="568"/>
      <c r="AC77" s="568"/>
      <c r="AD77" s="568"/>
      <c r="AE77" s="568"/>
      <c r="AF77" s="568"/>
      <c r="AG77" s="568"/>
      <c r="AH77" s="568"/>
      <c r="AI77" s="568"/>
      <c r="AJ77" s="568"/>
      <c r="AK77" s="568"/>
      <c r="AL77" s="568"/>
      <c r="AM77" s="568"/>
      <c r="AN77" s="568"/>
      <c r="AO77" s="568"/>
      <c r="AP77" s="568"/>
      <c r="AQ77" s="568"/>
      <c r="AR77" s="568"/>
      <c r="AS77" s="568"/>
      <c r="AT77" s="568"/>
      <c r="AU77" s="568"/>
      <c r="AV77" s="568"/>
      <c r="AW77" s="1226"/>
      <c r="AX77" s="1226"/>
      <c r="AY77" s="1226"/>
      <c r="AZ77" s="1226"/>
      <c r="BA77" s="1226"/>
      <c r="BB77" s="1226"/>
      <c r="BC77" s="1226"/>
      <c r="BD77" s="1226"/>
      <c r="BE77" s="1226"/>
      <c r="BF77" s="1226"/>
      <c r="BG77" s="1226"/>
      <c r="BH77" s="1226"/>
      <c r="BI77" s="1226"/>
    </row>
    <row r="78" spans="2:62" ht="15">
      <c r="D78" s="260" t="str">
        <f>+Questions!$A16</f>
        <v>2.4</v>
      </c>
      <c r="I78" s="224"/>
      <c r="T78" s="237"/>
      <c r="U78" s="568"/>
      <c r="V78" s="568"/>
      <c r="W78" s="1231"/>
      <c r="X78" s="1232"/>
      <c r="Y78" s="1232"/>
      <c r="Z78" s="1232"/>
      <c r="AA78" s="1232"/>
      <c r="AB78" s="1232"/>
      <c r="AC78" s="1232"/>
      <c r="AD78" s="1232"/>
      <c r="AE78" s="1232"/>
      <c r="AF78" s="1232"/>
      <c r="AG78" s="1232"/>
      <c r="AH78" s="1232"/>
      <c r="AI78" s="1232"/>
      <c r="AJ78" s="1232"/>
      <c r="AK78" s="1232"/>
      <c r="AL78" s="1232"/>
      <c r="AM78" s="1232"/>
      <c r="AN78" s="1232"/>
      <c r="AO78" s="1232"/>
      <c r="AP78" s="1232"/>
      <c r="AQ78" s="1232"/>
      <c r="AR78" s="1232"/>
      <c r="AS78" s="1232"/>
      <c r="AT78" s="1232"/>
      <c r="AU78" s="1232"/>
      <c r="AV78" s="1232"/>
      <c r="AW78" s="1226"/>
      <c r="AX78" s="1226"/>
      <c r="AY78" s="1226"/>
      <c r="AZ78" s="1226"/>
      <c r="BA78" s="1226"/>
      <c r="BB78" s="1226"/>
      <c r="BC78" s="1226"/>
      <c r="BD78" s="1226"/>
      <c r="BE78" s="1226"/>
      <c r="BF78" s="1226"/>
      <c r="BG78" s="1226"/>
      <c r="BH78" s="1226"/>
      <c r="BI78" s="1226"/>
    </row>
    <row r="79" spans="2:62" ht="15">
      <c r="D79" s="260" t="str">
        <f>+Questions!$A17</f>
        <v>2.5</v>
      </c>
      <c r="E79" s="23" t="e">
        <f>H8</f>
        <v>#REF!</v>
      </c>
      <c r="I79" s="224"/>
      <c r="T79" s="237"/>
      <c r="U79" s="568"/>
      <c r="V79" s="568"/>
      <c r="W79" s="1232"/>
      <c r="X79" s="1232"/>
      <c r="Y79" s="1232"/>
      <c r="Z79" s="1232"/>
      <c r="AA79" s="1232"/>
      <c r="AB79" s="1232"/>
      <c r="AC79" s="1232"/>
      <c r="AD79" s="1232"/>
      <c r="AE79" s="1232"/>
      <c r="AF79" s="1232"/>
      <c r="AG79" s="1232"/>
      <c r="AH79" s="1232"/>
      <c r="AI79" s="1232"/>
      <c r="AJ79" s="1232"/>
      <c r="AK79" s="1232"/>
      <c r="AL79" s="1232"/>
      <c r="AM79" s="1232"/>
      <c r="AN79" s="1232"/>
      <c r="AO79" s="1232"/>
      <c r="AP79" s="1232"/>
      <c r="AQ79" s="1232"/>
      <c r="AR79" s="1232"/>
      <c r="AS79" s="1232"/>
      <c r="AT79" s="1232"/>
      <c r="AU79" s="1232"/>
      <c r="AV79" s="1232"/>
      <c r="AW79" s="1226"/>
      <c r="AX79" s="1226"/>
      <c r="AY79" s="1226"/>
      <c r="AZ79" s="1226"/>
      <c r="BA79" s="1226"/>
      <c r="BB79" s="1226"/>
      <c r="BC79" s="1226"/>
      <c r="BD79" s="1226"/>
      <c r="BE79" s="1226"/>
      <c r="BF79" s="1226"/>
      <c r="BG79" s="1226"/>
      <c r="BH79" s="1226"/>
      <c r="BI79" s="1226"/>
    </row>
    <row r="80" spans="2:62" ht="15">
      <c r="D80" s="260" t="str">
        <f>+Questions!$A18</f>
        <v>2.6</v>
      </c>
      <c r="E80" s="23" t="e">
        <f>I8</f>
        <v>#REF!</v>
      </c>
      <c r="I80" s="224"/>
      <c r="T80" s="237"/>
      <c r="U80" s="568"/>
      <c r="V80" s="568"/>
      <c r="W80" s="1224"/>
      <c r="X80" s="1225"/>
      <c r="Y80" s="1225"/>
      <c r="Z80" s="1225"/>
      <c r="AA80" s="1225"/>
      <c r="AB80" s="1225"/>
      <c r="AC80" s="1225"/>
      <c r="AD80" s="1225"/>
      <c r="AE80" s="1225"/>
      <c r="AF80" s="1225"/>
      <c r="AG80" s="1225"/>
      <c r="AH80" s="1225"/>
      <c r="AI80" s="1225"/>
      <c r="AJ80" s="1225"/>
      <c r="AK80" s="1225"/>
      <c r="AL80" s="1225"/>
      <c r="AM80" s="1225"/>
      <c r="AN80" s="1225"/>
      <c r="AO80" s="1225"/>
      <c r="AP80" s="1225"/>
      <c r="AQ80" s="1225"/>
      <c r="AR80" s="1225"/>
      <c r="AS80" s="1225"/>
      <c r="AT80" s="1225"/>
      <c r="AU80" s="1225"/>
      <c r="AV80" s="1225"/>
      <c r="AW80" s="1226"/>
      <c r="AX80" s="1226"/>
      <c r="AY80" s="1226"/>
      <c r="AZ80" s="1226"/>
      <c r="BA80" s="1226"/>
      <c r="BB80" s="1226"/>
      <c r="BC80" s="1226"/>
      <c r="BD80" s="1226"/>
      <c r="BE80" s="1226"/>
      <c r="BF80" s="1226"/>
      <c r="BG80" s="1226"/>
      <c r="BH80" s="1226"/>
      <c r="BI80" s="1226"/>
    </row>
    <row r="81" spans="4:61" ht="15">
      <c r="D81" s="260" t="str">
        <f>+Questions!$A19</f>
        <v>2.7</v>
      </c>
      <c r="I81" s="224"/>
      <c r="T81" s="237"/>
      <c r="U81" s="568"/>
      <c r="V81" s="568"/>
      <c r="W81" s="1225"/>
      <c r="X81" s="1225"/>
      <c r="Y81" s="1225"/>
      <c r="Z81" s="1225"/>
      <c r="AA81" s="1225"/>
      <c r="AB81" s="1225"/>
      <c r="AC81" s="1225"/>
      <c r="AD81" s="1225"/>
      <c r="AE81" s="1225"/>
      <c r="AF81" s="1225"/>
      <c r="AG81" s="1225"/>
      <c r="AH81" s="1225"/>
      <c r="AI81" s="1225"/>
      <c r="AJ81" s="1225"/>
      <c r="AK81" s="1225"/>
      <c r="AL81" s="1225"/>
      <c r="AM81" s="1225"/>
      <c r="AN81" s="1225"/>
      <c r="AO81" s="1225"/>
      <c r="AP81" s="1225"/>
      <c r="AQ81" s="1225"/>
      <c r="AR81" s="1225"/>
      <c r="AS81" s="1225"/>
      <c r="AT81" s="1225"/>
      <c r="AU81" s="1225"/>
      <c r="AV81" s="1225"/>
      <c r="AW81" s="1226"/>
      <c r="AX81" s="1226"/>
      <c r="AY81" s="1226"/>
      <c r="AZ81" s="1226"/>
      <c r="BA81" s="1226"/>
      <c r="BB81" s="1226"/>
      <c r="BC81" s="1226"/>
      <c r="BD81" s="1226"/>
      <c r="BE81" s="1226"/>
      <c r="BF81" s="1226"/>
      <c r="BG81" s="1226"/>
      <c r="BH81" s="1226"/>
      <c r="BI81" s="1226"/>
    </row>
    <row r="82" spans="4:61" ht="15.75">
      <c r="D82" s="261" t="str">
        <f>+Questions!$A20</f>
        <v>P3</v>
      </c>
      <c r="G82" s="23" t="s">
        <v>138</v>
      </c>
      <c r="H82" s="23" t="str">
        <f>+IF(COUNT(E75:E81)=0,"n.b.",+IF(MIN(E75:E81)=0,"C",+IF(MIN(E75:E81)=4,"B","A")))</f>
        <v>n.b.</v>
      </c>
      <c r="I82" s="224" t="e">
        <f>+A8</f>
        <v>#REF!</v>
      </c>
      <c r="T82" s="237"/>
      <c r="U82" s="568"/>
      <c r="V82" s="568"/>
      <c r="W82" s="1225"/>
      <c r="X82" s="1225"/>
      <c r="Y82" s="1225"/>
      <c r="Z82" s="1225"/>
      <c r="AA82" s="1225"/>
      <c r="AB82" s="1225"/>
      <c r="AC82" s="1225"/>
      <c r="AD82" s="1225"/>
      <c r="AE82" s="1225"/>
      <c r="AF82" s="1225"/>
      <c r="AG82" s="1225"/>
      <c r="AH82" s="1225"/>
      <c r="AI82" s="1225"/>
      <c r="AJ82" s="1225"/>
      <c r="AK82" s="1225"/>
      <c r="AL82" s="1225"/>
      <c r="AM82" s="1225"/>
      <c r="AN82" s="1225"/>
      <c r="AO82" s="1225"/>
      <c r="AP82" s="1225"/>
      <c r="AQ82" s="1225"/>
      <c r="AR82" s="1225"/>
      <c r="AS82" s="1225"/>
      <c r="AT82" s="1225"/>
      <c r="AU82" s="1225"/>
      <c r="AV82" s="1225"/>
      <c r="AW82" s="1227"/>
      <c r="AX82" s="1227"/>
      <c r="AY82" s="1227"/>
      <c r="AZ82" s="1227"/>
      <c r="BA82" s="1227"/>
      <c r="BB82" s="1227"/>
      <c r="BC82" s="1227"/>
      <c r="BD82" s="1227"/>
      <c r="BE82" s="1227"/>
      <c r="BF82" s="1227"/>
      <c r="BG82" s="1227"/>
      <c r="BH82" s="1227"/>
      <c r="BI82" s="1227"/>
    </row>
    <row r="83" spans="4:61" ht="15">
      <c r="D83" s="260" t="str">
        <f>+Questions!$A22</f>
        <v>3.1</v>
      </c>
      <c r="I83" s="224"/>
      <c r="T83" s="237"/>
      <c r="U83" s="568"/>
      <c r="V83" s="568"/>
      <c r="W83" s="1224"/>
      <c r="X83" s="1225"/>
      <c r="Y83" s="1225"/>
      <c r="Z83" s="1225"/>
      <c r="AA83" s="1225"/>
      <c r="AB83" s="1225"/>
      <c r="AC83" s="1225"/>
      <c r="AD83" s="1225"/>
      <c r="AE83" s="1225"/>
      <c r="AF83" s="1225"/>
      <c r="AG83" s="1225"/>
      <c r="AH83" s="1225"/>
      <c r="AI83" s="1225"/>
      <c r="AJ83" s="1225"/>
      <c r="AK83" s="1225"/>
      <c r="AL83" s="1225"/>
      <c r="AM83" s="1225"/>
      <c r="AN83" s="1225"/>
      <c r="AO83" s="1225"/>
      <c r="AP83" s="1225"/>
      <c r="AQ83" s="1225"/>
      <c r="AR83" s="1225"/>
      <c r="AS83" s="1225"/>
      <c r="AT83" s="1225"/>
      <c r="AU83" s="1225"/>
      <c r="AV83" s="1225"/>
      <c r="AW83" s="1227"/>
      <c r="AX83" s="1227"/>
      <c r="AY83" s="1227"/>
      <c r="AZ83" s="1227"/>
      <c r="BA83" s="1227"/>
      <c r="BB83" s="1227"/>
      <c r="BC83" s="1227"/>
      <c r="BD83" s="1227"/>
      <c r="BE83" s="1227"/>
      <c r="BF83" s="1227"/>
      <c r="BG83" s="1227"/>
      <c r="BH83" s="1227"/>
      <c r="BI83" s="1227"/>
    </row>
    <row r="84" spans="4:61" ht="15">
      <c r="D84" s="260" t="str">
        <f>+Questions!$A25</f>
        <v>3.2</v>
      </c>
      <c r="E84" s="23" t="str">
        <f>IF(COUNT(J84:K84)&gt;0,MIN(J84:K84),"n.b")</f>
        <v>n.b</v>
      </c>
      <c r="I84" s="224"/>
      <c r="J84" s="142" t="e">
        <f>E14</f>
        <v>#REF!</v>
      </c>
      <c r="K84" s="142" t="e">
        <f>P14</f>
        <v>#REF!</v>
      </c>
      <c r="T84" s="237"/>
      <c r="U84" s="568"/>
      <c r="V84" s="568"/>
      <c r="W84" s="1225"/>
      <c r="X84" s="1225"/>
      <c r="Y84" s="1225"/>
      <c r="Z84" s="1225"/>
      <c r="AA84" s="1225"/>
      <c r="AB84" s="1225"/>
      <c r="AC84" s="1225"/>
      <c r="AD84" s="1225"/>
      <c r="AE84" s="1225"/>
      <c r="AF84" s="1225"/>
      <c r="AG84" s="1225"/>
      <c r="AH84" s="1225"/>
      <c r="AI84" s="1225"/>
      <c r="AJ84" s="1225"/>
      <c r="AK84" s="1225"/>
      <c r="AL84" s="1225"/>
      <c r="AM84" s="1225"/>
      <c r="AN84" s="1225"/>
      <c r="AO84" s="1225"/>
      <c r="AP84" s="1225"/>
      <c r="AQ84" s="1225"/>
      <c r="AR84" s="1225"/>
      <c r="AS84" s="1225"/>
      <c r="AT84" s="1225"/>
      <c r="AU84" s="1225"/>
      <c r="AV84" s="1225"/>
      <c r="AW84" s="1227"/>
      <c r="AX84" s="1227"/>
      <c r="AY84" s="1227"/>
      <c r="AZ84" s="1227"/>
      <c r="BA84" s="1227"/>
      <c r="BB84" s="1227"/>
      <c r="BC84" s="1227"/>
      <c r="BD84" s="1227"/>
      <c r="BE84" s="1227"/>
      <c r="BF84" s="1227"/>
      <c r="BG84" s="1227"/>
      <c r="BH84" s="1227"/>
      <c r="BI84" s="1227"/>
    </row>
    <row r="85" spans="4:61" ht="15">
      <c r="D85" s="260" t="str">
        <f>+Questions!$A28</f>
        <v>3.3</v>
      </c>
      <c r="I85" s="224"/>
      <c r="J85" s="142"/>
      <c r="K85" s="142"/>
      <c r="T85" s="237"/>
      <c r="U85" s="568"/>
      <c r="V85" s="568"/>
      <c r="W85" s="1234"/>
      <c r="X85" s="1234"/>
      <c r="Y85" s="1234"/>
      <c r="Z85" s="1234"/>
      <c r="AA85" s="1234"/>
      <c r="AB85" s="1234"/>
      <c r="AC85" s="1234"/>
      <c r="AD85" s="1234"/>
      <c r="AE85" s="1234"/>
      <c r="AF85" s="1234"/>
      <c r="AG85" s="1234"/>
      <c r="AH85" s="1234"/>
      <c r="AI85" s="1234"/>
      <c r="AJ85" s="1234"/>
      <c r="AK85" s="1234"/>
      <c r="AL85" s="1234"/>
      <c r="AM85" s="1234"/>
      <c r="AN85" s="1234"/>
      <c r="AO85" s="1234"/>
      <c r="AP85" s="1234"/>
      <c r="AQ85" s="1234"/>
      <c r="AR85" s="1234"/>
      <c r="AS85" s="1234"/>
      <c r="AT85" s="1234"/>
      <c r="AU85" s="1234"/>
      <c r="AV85" s="1234"/>
      <c r="AW85" s="1227"/>
      <c r="AX85" s="1227"/>
      <c r="AY85" s="1227"/>
      <c r="AZ85" s="1227"/>
      <c r="BA85" s="1227"/>
      <c r="BB85" s="1227"/>
      <c r="BC85" s="1227"/>
      <c r="BD85" s="1227"/>
      <c r="BE85" s="1227"/>
      <c r="BF85" s="1227"/>
      <c r="BG85" s="1227"/>
      <c r="BH85" s="1227"/>
      <c r="BI85" s="1227"/>
    </row>
    <row r="86" spans="4:61" ht="15">
      <c r="D86" s="260" t="str">
        <f>+Questions!$A31</f>
        <v>3.4</v>
      </c>
      <c r="I86" s="224"/>
      <c r="J86" s="142"/>
      <c r="K86" s="142"/>
      <c r="T86" s="237"/>
      <c r="U86" s="568"/>
      <c r="V86" s="568"/>
      <c r="W86" s="1234"/>
      <c r="X86" s="1234"/>
      <c r="Y86" s="1234"/>
      <c r="Z86" s="1234"/>
      <c r="AA86" s="1234"/>
      <c r="AB86" s="1234"/>
      <c r="AC86" s="1234"/>
      <c r="AD86" s="1234"/>
      <c r="AE86" s="1234"/>
      <c r="AF86" s="1234"/>
      <c r="AG86" s="1234"/>
      <c r="AH86" s="1234"/>
      <c r="AI86" s="1234"/>
      <c r="AJ86" s="1234"/>
      <c r="AK86" s="1234"/>
      <c r="AL86" s="1234"/>
      <c r="AM86" s="1234"/>
      <c r="AN86" s="1234"/>
      <c r="AO86" s="1234"/>
      <c r="AP86" s="1234"/>
      <c r="AQ86" s="1234"/>
      <c r="AR86" s="1234"/>
      <c r="AS86" s="1234"/>
      <c r="AT86" s="1234"/>
      <c r="AU86" s="1234"/>
      <c r="AV86" s="1234"/>
      <c r="AW86" s="1227"/>
      <c r="AX86" s="1227"/>
      <c r="AY86" s="1227"/>
      <c r="AZ86" s="1227"/>
      <c r="BA86" s="1227"/>
      <c r="BB86" s="1227"/>
      <c r="BC86" s="1227"/>
      <c r="BD86" s="1227"/>
      <c r="BE86" s="1227"/>
      <c r="BF86" s="1227"/>
      <c r="BG86" s="1227"/>
      <c r="BH86" s="1227"/>
      <c r="BI86" s="1227"/>
    </row>
    <row r="87" spans="4:61">
      <c r="D87" s="260" t="str">
        <f>+Questions!$A34</f>
        <v>3.5</v>
      </c>
      <c r="I87" s="224"/>
      <c r="J87" s="142"/>
      <c r="K87" s="142"/>
      <c r="T87" s="211"/>
      <c r="U87" s="1233"/>
      <c r="V87" s="1233"/>
      <c r="W87" s="1233"/>
      <c r="X87" s="1233"/>
      <c r="Y87" s="1233"/>
      <c r="Z87" s="1233"/>
      <c r="AA87" s="1233"/>
      <c r="AB87" s="1233"/>
      <c r="AC87" s="1233"/>
      <c r="AD87" s="1233"/>
      <c r="AE87" s="1233"/>
      <c r="AF87" s="1233"/>
      <c r="AG87" s="1233"/>
      <c r="AH87" s="1233"/>
      <c r="AI87" s="1233"/>
      <c r="AJ87" s="1233"/>
      <c r="AK87" s="1233"/>
      <c r="AL87" s="1233"/>
      <c r="AM87" s="1233"/>
      <c r="AN87" s="1233"/>
      <c r="AO87" s="1233"/>
      <c r="AP87" s="1233"/>
      <c r="AQ87" s="1233"/>
      <c r="AR87" s="1233"/>
      <c r="AS87" s="1233"/>
      <c r="AT87" s="1233"/>
      <c r="AU87" s="1233"/>
      <c r="AV87" s="1233"/>
      <c r="AW87" s="1227"/>
      <c r="AX87" s="1227"/>
      <c r="AY87" s="1227"/>
      <c r="AZ87" s="1227"/>
      <c r="BA87" s="1227"/>
      <c r="BB87" s="1227"/>
      <c r="BC87" s="1227"/>
      <c r="BD87" s="1227"/>
      <c r="BE87" s="1227"/>
      <c r="BF87" s="1227"/>
      <c r="BG87" s="1227"/>
      <c r="BH87" s="1227"/>
      <c r="BI87" s="1227"/>
    </row>
    <row r="88" spans="4:61" ht="15">
      <c r="D88" s="261" t="str">
        <f>+Questions!$A37</f>
        <v>P4</v>
      </c>
      <c r="G88" s="23" t="s">
        <v>139</v>
      </c>
      <c r="H88" s="23" t="str">
        <f>+IF(COUNT(E82:E87)=0,"n.b.",+IF(MIN(E82:E87)=0,"C",+IF(MIN(E82:E87)=4,"B","A")))</f>
        <v>n.b.</v>
      </c>
      <c r="I88" s="224" t="e">
        <f>+A14</f>
        <v>#REF!</v>
      </c>
      <c r="J88" s="142"/>
      <c r="K88" s="142"/>
      <c r="T88" s="211"/>
      <c r="U88" s="1233"/>
      <c r="V88" s="1233"/>
      <c r="W88" s="1233"/>
      <c r="X88" s="1233"/>
      <c r="Y88" s="1233"/>
      <c r="Z88" s="1233"/>
      <c r="AA88" s="1233"/>
      <c r="AB88" s="1233"/>
      <c r="AC88" s="1233"/>
      <c r="AD88" s="1233"/>
      <c r="AE88" s="1233"/>
      <c r="AF88" s="1233"/>
      <c r="AG88" s="1233"/>
      <c r="AH88" s="1233"/>
      <c r="AI88" s="1233"/>
      <c r="AJ88" s="1233"/>
      <c r="AK88" s="1233"/>
      <c r="AL88" s="1233"/>
      <c r="AM88" s="1233"/>
      <c r="AN88" s="1233"/>
      <c r="AO88" s="1233"/>
      <c r="AP88" s="1233"/>
      <c r="AQ88" s="1233"/>
      <c r="AR88" s="1233"/>
      <c r="AS88" s="1233"/>
      <c r="AT88" s="1233"/>
      <c r="AU88" s="1233"/>
      <c r="AV88" s="1233"/>
      <c r="AW88" s="1227"/>
      <c r="AX88" s="1227"/>
      <c r="AY88" s="1227"/>
      <c r="AZ88" s="1227"/>
      <c r="BA88" s="1227"/>
      <c r="BB88" s="1227"/>
      <c r="BC88" s="1227"/>
      <c r="BD88" s="1227"/>
      <c r="BE88" s="1227"/>
      <c r="BF88" s="1227"/>
      <c r="BG88" s="1227"/>
      <c r="BH88" s="1227"/>
      <c r="BI88" s="1227"/>
    </row>
    <row r="89" spans="4:61">
      <c r="D89" s="260" t="str">
        <f>+Questions!$A39</f>
        <v>4.1</v>
      </c>
      <c r="E89" s="23" t="str">
        <f>IF(COUNT(J89:K89)&gt;0,MIN(J89:K89),"n.b")</f>
        <v>n.b</v>
      </c>
      <c r="I89" s="224"/>
      <c r="J89" s="142" t="e">
        <f>D22</f>
        <v>#REF!</v>
      </c>
      <c r="K89" s="142" t="e">
        <f>Q22</f>
        <v>#REF!</v>
      </c>
      <c r="T89" s="211"/>
      <c r="U89" s="1233"/>
      <c r="V89" s="1233"/>
      <c r="W89" s="1233"/>
      <c r="X89" s="1233"/>
      <c r="Y89" s="1233"/>
      <c r="Z89" s="1233"/>
      <c r="AA89" s="1233"/>
      <c r="AB89" s="1233"/>
      <c r="AC89" s="1233"/>
      <c r="AD89" s="1233"/>
      <c r="AE89" s="1233"/>
      <c r="AF89" s="1233"/>
      <c r="AG89" s="1233"/>
      <c r="AH89" s="1233"/>
      <c r="AI89" s="1233"/>
      <c r="AJ89" s="1233"/>
      <c r="AK89" s="1233"/>
      <c r="AL89" s="1233"/>
      <c r="AM89" s="1233"/>
      <c r="AN89" s="1233"/>
      <c r="AO89" s="1233"/>
      <c r="AP89" s="1233"/>
      <c r="AQ89" s="1233"/>
      <c r="AR89" s="1233"/>
      <c r="AS89" s="1233"/>
      <c r="AT89" s="1233"/>
      <c r="AU89" s="1233"/>
      <c r="AV89" s="1233"/>
      <c r="AW89" s="1227"/>
      <c r="AX89" s="1227"/>
      <c r="AY89" s="1227"/>
      <c r="AZ89" s="1227"/>
      <c r="BA89" s="1227"/>
      <c r="BB89" s="1227"/>
      <c r="BC89" s="1227"/>
      <c r="BD89" s="1227"/>
      <c r="BE89" s="1227"/>
      <c r="BF89" s="1227"/>
      <c r="BG89" s="1227"/>
      <c r="BH89" s="1227"/>
      <c r="BI89" s="1227"/>
    </row>
    <row r="90" spans="4:61">
      <c r="D90" s="260" t="str">
        <f>+Questions!$A42</f>
        <v>4.2</v>
      </c>
      <c r="I90" s="224"/>
      <c r="J90" s="142"/>
      <c r="K90" s="142"/>
      <c r="T90" s="211"/>
      <c r="U90" s="1233"/>
      <c r="V90" s="1233"/>
      <c r="W90" s="1233"/>
      <c r="X90" s="1233"/>
      <c r="Y90" s="1233"/>
      <c r="Z90" s="1233"/>
      <c r="AA90" s="1233"/>
      <c r="AB90" s="1233"/>
      <c r="AC90" s="1233"/>
      <c r="AD90" s="1233"/>
      <c r="AE90" s="1233"/>
      <c r="AF90" s="1233"/>
      <c r="AG90" s="1233"/>
      <c r="AH90" s="1233"/>
      <c r="AI90" s="1233"/>
      <c r="AJ90" s="1233"/>
      <c r="AK90" s="1233"/>
      <c r="AL90" s="1233"/>
      <c r="AM90" s="1233"/>
      <c r="AN90" s="1233"/>
      <c r="AO90" s="1233"/>
      <c r="AP90" s="1233"/>
      <c r="AQ90" s="1233"/>
      <c r="AR90" s="1233"/>
      <c r="AS90" s="1233"/>
      <c r="AT90" s="1233"/>
      <c r="AU90" s="1233"/>
      <c r="AV90" s="1233"/>
      <c r="AW90" s="1227"/>
      <c r="AX90" s="1227"/>
      <c r="AY90" s="1227"/>
      <c r="AZ90" s="1227"/>
      <c r="BA90" s="1227"/>
      <c r="BB90" s="1227"/>
      <c r="BC90" s="1227"/>
      <c r="BD90" s="1227"/>
      <c r="BE90" s="1227"/>
      <c r="BF90" s="1227"/>
      <c r="BG90" s="1227"/>
      <c r="BH90" s="1227"/>
      <c r="BI90" s="1227"/>
    </row>
    <row r="91" spans="4:61">
      <c r="D91" s="260" t="str">
        <f>+Questions!$A45</f>
        <v>4.3</v>
      </c>
      <c r="I91" s="224"/>
      <c r="J91" s="142"/>
      <c r="K91" s="142"/>
      <c r="T91" s="211"/>
      <c r="U91" s="1233"/>
      <c r="V91" s="1233"/>
      <c r="W91" s="1233"/>
      <c r="X91" s="1233"/>
      <c r="Y91" s="1233"/>
      <c r="Z91" s="1233"/>
      <c r="AA91" s="1233"/>
      <c r="AB91" s="1233"/>
      <c r="AC91" s="1233"/>
      <c r="AD91" s="1233"/>
      <c r="AE91" s="1233"/>
      <c r="AF91" s="1233"/>
      <c r="AG91" s="1233"/>
      <c r="AH91" s="1233"/>
      <c r="AI91" s="1233"/>
      <c r="AJ91" s="1233"/>
      <c r="AK91" s="1233"/>
      <c r="AL91" s="1233"/>
      <c r="AM91" s="1233"/>
      <c r="AN91" s="1233"/>
      <c r="AO91" s="1233"/>
      <c r="AP91" s="1233"/>
      <c r="AQ91" s="1233"/>
      <c r="AR91" s="1233"/>
      <c r="AS91" s="1233"/>
      <c r="AT91" s="1233"/>
      <c r="AU91" s="1233"/>
      <c r="AV91" s="1233"/>
      <c r="AW91" s="1227"/>
      <c r="AX91" s="1227"/>
      <c r="AY91" s="1227"/>
      <c r="AZ91" s="1227"/>
      <c r="BA91" s="1227"/>
      <c r="BB91" s="1227"/>
      <c r="BC91" s="1227"/>
      <c r="BD91" s="1227"/>
      <c r="BE91" s="1227"/>
      <c r="BF91" s="1227"/>
      <c r="BG91" s="1227"/>
      <c r="BH91" s="1227"/>
      <c r="BI91" s="1227"/>
    </row>
    <row r="92" spans="4:61">
      <c r="D92" s="260" t="str">
        <f>+Questions!$A48</f>
        <v>4.4</v>
      </c>
      <c r="E92" s="23" t="str">
        <f>IF(COUNT(J92:K92)&gt;0,MIN(J92:K92),"n.b")</f>
        <v>n.b</v>
      </c>
      <c r="I92" s="224"/>
      <c r="J92" s="142" t="e">
        <f>G22</f>
        <v>#REF!</v>
      </c>
      <c r="K92" s="142" t="e">
        <f>T22</f>
        <v>#REF!</v>
      </c>
      <c r="T92" s="211"/>
      <c r="U92" s="1233"/>
      <c r="V92" s="1233"/>
      <c r="W92" s="1233"/>
      <c r="X92" s="1233"/>
      <c r="Y92" s="1233"/>
      <c r="Z92" s="1233"/>
      <c r="AA92" s="1233"/>
      <c r="AB92" s="1233"/>
      <c r="AC92" s="1233"/>
      <c r="AD92" s="1233"/>
      <c r="AE92" s="1233"/>
      <c r="AF92" s="1233"/>
      <c r="AG92" s="1233"/>
      <c r="AH92" s="1233"/>
      <c r="AI92" s="1233"/>
      <c r="AJ92" s="1233"/>
      <c r="AK92" s="1233"/>
      <c r="AL92" s="1233"/>
      <c r="AM92" s="1233"/>
      <c r="AN92" s="1233"/>
      <c r="AO92" s="1233"/>
      <c r="AP92" s="1233"/>
      <c r="AQ92" s="1233"/>
      <c r="AR92" s="1233"/>
      <c r="AS92" s="1233"/>
      <c r="AT92" s="1233"/>
      <c r="AU92" s="1233"/>
      <c r="AV92" s="1233"/>
      <c r="AW92" s="1227"/>
      <c r="AX92" s="1227"/>
      <c r="AY92" s="1227"/>
      <c r="AZ92" s="1227"/>
      <c r="BA92" s="1227"/>
      <c r="BB92" s="1227"/>
      <c r="BC92" s="1227"/>
      <c r="BD92" s="1227"/>
      <c r="BE92" s="1227"/>
      <c r="BF92" s="1227"/>
      <c r="BG92" s="1227"/>
      <c r="BH92" s="1227"/>
      <c r="BI92" s="1227"/>
    </row>
    <row r="93" spans="4:61">
      <c r="D93" s="260" t="str">
        <f>+Questions!$A51</f>
        <v>4.5</v>
      </c>
      <c r="I93" s="224"/>
      <c r="J93" s="142"/>
      <c r="K93" s="142"/>
      <c r="T93" s="211"/>
      <c r="U93" s="1233"/>
      <c r="V93" s="1233"/>
      <c r="W93" s="1233"/>
      <c r="X93" s="1233"/>
      <c r="Y93" s="1233"/>
      <c r="Z93" s="1233"/>
      <c r="AA93" s="1233"/>
      <c r="AB93" s="1233"/>
      <c r="AC93" s="1233"/>
      <c r="AD93" s="1233"/>
      <c r="AE93" s="1233"/>
      <c r="AF93" s="1233"/>
      <c r="AG93" s="1233"/>
      <c r="AH93" s="1233"/>
      <c r="AI93" s="1233"/>
      <c r="AJ93" s="1233"/>
      <c r="AK93" s="1233"/>
      <c r="AL93" s="1233"/>
      <c r="AM93" s="1233"/>
      <c r="AN93" s="1233"/>
      <c r="AO93" s="1233"/>
      <c r="AP93" s="1233"/>
      <c r="AQ93" s="1233"/>
      <c r="AR93" s="1233"/>
      <c r="AS93" s="1233"/>
      <c r="AT93" s="1233"/>
      <c r="AU93" s="1233"/>
      <c r="AV93" s="1233"/>
      <c r="AW93" s="1227"/>
      <c r="AX93" s="1227"/>
      <c r="AY93" s="1227"/>
      <c r="AZ93" s="1227"/>
      <c r="BA93" s="1227"/>
      <c r="BB93" s="1227"/>
      <c r="BC93" s="1227"/>
      <c r="BD93" s="1227"/>
      <c r="BE93" s="1227"/>
      <c r="BF93" s="1227"/>
      <c r="BG93" s="1227"/>
      <c r="BH93" s="1227"/>
      <c r="BI93" s="1227"/>
    </row>
    <row r="94" spans="4:61">
      <c r="D94" s="260" t="str">
        <f>+Questions!$A54</f>
        <v>4.6</v>
      </c>
      <c r="I94" s="224"/>
      <c r="J94" s="142"/>
      <c r="K94" s="142"/>
      <c r="T94" s="211"/>
      <c r="U94" s="1233"/>
      <c r="V94" s="1233"/>
      <c r="W94" s="1233"/>
      <c r="X94" s="1233"/>
      <c r="Y94" s="1233"/>
      <c r="Z94" s="1233"/>
      <c r="AA94" s="1233"/>
      <c r="AB94" s="1233"/>
      <c r="AC94" s="1233"/>
      <c r="AD94" s="1233"/>
      <c r="AE94" s="1233"/>
      <c r="AF94" s="1233"/>
      <c r="AG94" s="1233"/>
      <c r="AH94" s="1233"/>
      <c r="AI94" s="1233"/>
      <c r="AJ94" s="1233"/>
      <c r="AK94" s="1233"/>
      <c r="AL94" s="1233"/>
      <c r="AM94" s="1233"/>
      <c r="AN94" s="1233"/>
      <c r="AO94" s="1233"/>
      <c r="AP94" s="1233"/>
      <c r="AQ94" s="1233"/>
      <c r="AR94" s="1233"/>
      <c r="AS94" s="1233"/>
      <c r="AT94" s="1233"/>
      <c r="AU94" s="1233"/>
      <c r="AV94" s="1233"/>
      <c r="AW94" s="1227"/>
      <c r="AX94" s="1227"/>
      <c r="AY94" s="1227"/>
      <c r="AZ94" s="1227"/>
      <c r="BA94" s="1227"/>
      <c r="BB94" s="1227"/>
      <c r="BC94" s="1227"/>
      <c r="BD94" s="1227"/>
      <c r="BE94" s="1227"/>
      <c r="BF94" s="1227"/>
      <c r="BG94" s="1227"/>
      <c r="BH94" s="1227"/>
      <c r="BI94" s="1227"/>
    </row>
    <row r="95" spans="4:61" ht="15">
      <c r="D95" s="331" t="str">
        <f>+Questions!$A56</f>
        <v>4.7</v>
      </c>
      <c r="I95" s="224"/>
      <c r="J95" s="142"/>
      <c r="K95" s="142"/>
      <c r="T95" s="211"/>
      <c r="U95" s="568"/>
      <c r="V95" s="568"/>
      <c r="W95" s="568"/>
      <c r="X95" s="568"/>
      <c r="Y95" s="568"/>
      <c r="Z95" s="568"/>
      <c r="AA95" s="568"/>
      <c r="AB95" s="568"/>
      <c r="AC95" s="568"/>
      <c r="AD95" s="568"/>
      <c r="AE95" s="568"/>
      <c r="AF95" s="568"/>
      <c r="AG95" s="568"/>
      <c r="AH95" s="568"/>
      <c r="AI95" s="568"/>
      <c r="AJ95" s="568"/>
      <c r="AK95" s="568"/>
      <c r="AL95" s="568"/>
      <c r="AM95" s="568"/>
      <c r="AN95" s="568"/>
      <c r="AO95" s="568"/>
      <c r="AP95" s="568"/>
      <c r="AQ95" s="568"/>
      <c r="AR95" s="568"/>
      <c r="AS95" s="568"/>
      <c r="AT95" s="568"/>
      <c r="AU95" s="568"/>
      <c r="AV95" s="568"/>
      <c r="AW95" s="803"/>
      <c r="AX95" s="803"/>
      <c r="AY95" s="803"/>
      <c r="AZ95" s="803"/>
      <c r="BA95" s="803"/>
      <c r="BB95" s="803"/>
      <c r="BC95" s="803"/>
      <c r="BD95" s="803"/>
      <c r="BE95" s="803"/>
      <c r="BF95" s="803"/>
      <c r="BG95" s="803"/>
      <c r="BH95" s="803"/>
      <c r="BI95" s="803"/>
    </row>
    <row r="96" spans="4:61" ht="15">
      <c r="D96" s="260" t="str">
        <f>+Questions!$A58</f>
        <v>4.8</v>
      </c>
      <c r="E96" s="23" t="str">
        <f>IF(COUNT(J96:K96)&gt;0,MIN(J96:K96),"n.b")</f>
        <v>n.b</v>
      </c>
      <c r="I96" s="224"/>
      <c r="J96" s="142" t="e">
        <f>K22</f>
        <v>#REF!</v>
      </c>
      <c r="K96" s="142" t="e">
        <f>X22</f>
        <v>#REF!</v>
      </c>
      <c r="T96" s="211"/>
      <c r="U96" s="1233"/>
      <c r="V96" s="1233"/>
      <c r="W96" s="1233"/>
      <c r="X96" s="1233"/>
      <c r="Y96" s="1233"/>
      <c r="Z96" s="1233"/>
      <c r="AA96" s="1233"/>
      <c r="AB96" s="1233"/>
      <c r="AC96" s="1233"/>
      <c r="AD96" s="1233"/>
      <c r="AE96" s="1233"/>
      <c r="AF96" s="1233"/>
      <c r="AG96" s="1233"/>
      <c r="AH96" s="1233"/>
      <c r="AI96" s="1233"/>
      <c r="AJ96" s="1233"/>
      <c r="AK96" s="1233"/>
      <c r="AL96" s="1233"/>
      <c r="AM96" s="1233"/>
      <c r="AN96" s="1233"/>
      <c r="AO96" s="1233"/>
      <c r="AP96" s="1233"/>
      <c r="AQ96" s="1233"/>
      <c r="AR96" s="1233"/>
      <c r="AS96" s="1233"/>
      <c r="AT96" s="1233"/>
      <c r="AU96" s="1233"/>
      <c r="AV96" s="1233"/>
      <c r="AW96" s="1227"/>
      <c r="AX96" s="1227"/>
      <c r="AY96" s="1227"/>
      <c r="AZ96" s="1227"/>
      <c r="BA96" s="1227"/>
      <c r="BB96" s="1227"/>
      <c r="BC96" s="1227"/>
      <c r="BD96" s="1227"/>
      <c r="BE96" s="1227"/>
      <c r="BF96" s="1227"/>
      <c r="BG96" s="1227"/>
      <c r="BH96" s="1227"/>
      <c r="BI96" s="1227"/>
    </row>
    <row r="97" spans="4:20" ht="15">
      <c r="D97" s="261" t="str">
        <f>+Questions!$A61</f>
        <v>P5</v>
      </c>
      <c r="G97" s="23" t="s">
        <v>140</v>
      </c>
      <c r="H97" s="23" t="str">
        <f>+IF(COUNT(E89:E96)=0,"n.b.",+IF(MIN(E89:E96)=0,"C",+IF(MIN(E89:E96)=4,"B","A")))</f>
        <v>n.b.</v>
      </c>
      <c r="I97" s="224" t="e">
        <f>+A22</f>
        <v>#REF!</v>
      </c>
    </row>
    <row r="98" spans="4:20">
      <c r="D98" s="260" t="str">
        <f>+Questions!$A62</f>
        <v>5.1</v>
      </c>
      <c r="I98" s="224"/>
    </row>
    <row r="99" spans="4:20">
      <c r="D99" s="260" t="str">
        <f>+Questions!$A63</f>
        <v>5.2</v>
      </c>
      <c r="I99" s="224"/>
    </row>
    <row r="100" spans="4:20">
      <c r="D100" s="260" t="str">
        <f>+Questions!$A64</f>
        <v>5.3</v>
      </c>
      <c r="I100" s="224"/>
    </row>
    <row r="101" spans="4:20">
      <c r="D101" s="260" t="str">
        <f>+Questions!$A65</f>
        <v>5.4</v>
      </c>
      <c r="E101" s="23" t="e">
        <f>O29</f>
        <v>#REF!</v>
      </c>
      <c r="I101" s="224"/>
    </row>
    <row r="102" spans="4:20">
      <c r="D102" s="260" t="str">
        <f>+Questions!$A66</f>
        <v>5.5</v>
      </c>
      <c r="E102" s="23" t="e">
        <f>P29</f>
        <v>#REF!</v>
      </c>
      <c r="I102" s="224"/>
    </row>
    <row r="103" spans="4:20">
      <c r="D103" s="260" t="str">
        <f>+Questions!$A67</f>
        <v>5.6</v>
      </c>
      <c r="I103" s="224"/>
    </row>
    <row r="104" spans="4:20">
      <c r="D104" s="260" t="str">
        <f>+Questions!$A68</f>
        <v>5.7</v>
      </c>
      <c r="G104" s="23" t="s">
        <v>141</v>
      </c>
      <c r="H104" s="23" t="str">
        <f>+IF(COUNT(E98:E104)=0,"n.b.",+IF(MIN(E98:E104)=0,"C",+IF(MIN(E98:E104)=4,"B","A")))</f>
        <v>n.b.</v>
      </c>
      <c r="I104" s="224" t="e">
        <f>+A29</f>
        <v>#REF!</v>
      </c>
    </row>
    <row r="105" spans="4:20" ht="15">
      <c r="D105" s="261" t="str">
        <f>+Questions!$A69</f>
        <v>P6</v>
      </c>
      <c r="E105" s="23" t="s">
        <v>227</v>
      </c>
      <c r="I105" s="224"/>
      <c r="J105" s="23">
        <f>'Input Form'!C53</f>
        <v>0</v>
      </c>
      <c r="K105" s="23">
        <f>'Input Form'!C54</f>
        <v>0</v>
      </c>
      <c r="L105" s="23">
        <f>'Input Form'!C55</f>
        <v>0</v>
      </c>
      <c r="T105" s="23" t="s">
        <v>503</v>
      </c>
    </row>
    <row r="106" spans="4:20">
      <c r="D106" s="260" t="str">
        <f>+Questions!$A70</f>
        <v>6.1</v>
      </c>
      <c r="E106" s="23" t="s">
        <v>227</v>
      </c>
      <c r="I106" s="224"/>
      <c r="J106" s="23" t="s">
        <v>279</v>
      </c>
      <c r="K106" s="23" t="s">
        <v>280</v>
      </c>
      <c r="L106" s="23" t="s">
        <v>281</v>
      </c>
    </row>
    <row r="107" spans="4:20">
      <c r="D107" s="260" t="str">
        <f>+Questions!$A71</f>
        <v>6.1.1</v>
      </c>
      <c r="E107" s="23" t="s">
        <v>332</v>
      </c>
      <c r="I107" s="224"/>
    </row>
    <row r="108" spans="4:20">
      <c r="D108" s="260" t="str">
        <f>+Questions!$A82</f>
        <v>6.1.2</v>
      </c>
      <c r="E108" s="23" t="str">
        <f>+IF(Questions!B82&lt;&gt;"x","kein *",+IF(ISERROR(AVERAGE(Questions!D83:D85)),"n.b.",+MIN(Questions!D83:D85)))</f>
        <v>kein *</v>
      </c>
      <c r="I108" s="224"/>
    </row>
    <row r="109" spans="4:20">
      <c r="D109" s="260" t="str">
        <f>+Questions!$A93</f>
        <v>6.1.3</v>
      </c>
      <c r="E109" s="23" t="str">
        <f>+IF(Questions!B93&lt;&gt;"x","kein *",+IF(ISERROR(AVERAGE(Questions!D94:D98)),"n.b.",+MIN(Questions!D94:D98)))</f>
        <v>kein *</v>
      </c>
      <c r="I109" s="224"/>
    </row>
    <row r="110" spans="4:20">
      <c r="D110" s="260" t="str">
        <f>+Questions!$A104</f>
        <v>6.1.4</v>
      </c>
      <c r="E110" s="23" t="str">
        <f>+IF(Questions!B104&lt;&gt;"x","kein *",+IF(ISERROR(AVERAGE(Questions!D105:D107)),"n.b.",+MIN(Questions!D105:D107)))</f>
        <v>kein *</v>
      </c>
      <c r="I110" s="224"/>
    </row>
    <row r="111" spans="4:20">
      <c r="D111" s="260" t="str">
        <f>+Questions!$A115</f>
        <v>6.1.5</v>
      </c>
      <c r="E111" s="23" t="str">
        <f>IF(COUNT(J111:S111)&gt;0,MIN(J111:S111),"n.b")</f>
        <v>n.b</v>
      </c>
      <c r="I111" s="224"/>
      <c r="J111" s="23" t="str">
        <f>IF(OR(J$105=0,ISBLANK(Questions!$D$116)),"--",Questions!$D$116)</f>
        <v>--</v>
      </c>
      <c r="K111" s="23" t="str">
        <f>IF(OR(K$105=0,ISBLANK(Questions!$D$117)),"--",Questions!$D$117)</f>
        <v>--</v>
      </c>
      <c r="L111" s="23" t="str">
        <f>IF(OR(L$105=0,ISBLANK(Questions!$D$118)),"--",Questions!$D$118)</f>
        <v>--</v>
      </c>
    </row>
    <row r="112" spans="4:20">
      <c r="D112" s="260" t="str">
        <f>+Questions!$A126</f>
        <v>6.2</v>
      </c>
      <c r="E112" s="23" t="s">
        <v>227</v>
      </c>
      <c r="I112" s="224"/>
    </row>
    <row r="113" spans="4:12">
      <c r="D113" s="260" t="str">
        <f>+Questions!$A127</f>
        <v>6.2.1</v>
      </c>
      <c r="E113" s="23" t="s">
        <v>332</v>
      </c>
      <c r="I113" s="224"/>
    </row>
    <row r="114" spans="4:12">
      <c r="D114" s="260" t="str">
        <f>+Questions!$A138</f>
        <v>6.2.2</v>
      </c>
      <c r="E114" s="23" t="s">
        <v>332</v>
      </c>
      <c r="I114" s="224"/>
    </row>
    <row r="115" spans="4:12">
      <c r="D115" s="260" t="str">
        <f>+Questions!$A149</f>
        <v>6.2.3</v>
      </c>
      <c r="E115" s="23" t="str">
        <f>IF(COUNT(J115:S115)&gt;0,MIN(J115:S115),"n.b")</f>
        <v>n.b</v>
      </c>
      <c r="I115" s="224"/>
      <c r="J115" s="23" t="str">
        <f>IF(OR(J$105=0,ISBLANK(Questions!$D$150)),"--",Questions!$D$150)</f>
        <v>--</v>
      </c>
      <c r="K115" s="23" t="str">
        <f>IF(OR(K$105=0,ISBLANK(Questions!$D$151)),"--",Questions!$D$151)</f>
        <v>--</v>
      </c>
      <c r="L115" s="23" t="str">
        <f>IF(OR(L$105=0,ISBLANK(Questions!$D$152)),"--",Questions!$D$152)</f>
        <v>--</v>
      </c>
    </row>
    <row r="116" spans="4:12">
      <c r="D116" s="260" t="str">
        <f>+Questions!$A160</f>
        <v>6.2.4</v>
      </c>
      <c r="E116" s="23" t="str">
        <f>IF(COUNT(J116:S116)&gt;0,MIN(J116:S116),"n.b")</f>
        <v>n.b</v>
      </c>
      <c r="I116" s="224"/>
      <c r="J116" s="23" t="str">
        <f>IF(OR(J$105=0,ISBLANK(Questions!$D$161)),"--",Questions!$D$161)</f>
        <v>--</v>
      </c>
      <c r="K116" s="23" t="str">
        <f>IF(OR(K$105=0,ISBLANK(Questions!$D$162)),"--",Questions!$D$162)</f>
        <v>--</v>
      </c>
      <c r="L116" s="23" t="str">
        <f>IF(OR(L$105=0,ISBLANK(Questions!$D$163)),"--",Questions!$D$163)</f>
        <v>--</v>
      </c>
    </row>
    <row r="117" spans="4:12">
      <c r="D117" s="260" t="str">
        <f>+Questions!$A171</f>
        <v>6.2.5</v>
      </c>
      <c r="E117" s="23" t="str">
        <f>+IF(Questions!B171&lt;&gt;"x","kein *",+IF(ISERROR(AVERAGE(Questions!D172:D174)),"n.b.",+MIN(Questions!D172:D174)))</f>
        <v>kein *</v>
      </c>
      <c r="I117" s="224"/>
    </row>
    <row r="118" spans="4:12">
      <c r="D118" s="260" t="str">
        <f>+Questions!$A180</f>
        <v>6.3</v>
      </c>
      <c r="E118" s="23" t="s">
        <v>227</v>
      </c>
      <c r="I118" s="224"/>
    </row>
    <row r="119" spans="4:12">
      <c r="D119" s="260" t="str">
        <f>+Questions!$A181</f>
        <v>6.3.1</v>
      </c>
      <c r="E119" s="23" t="str">
        <f>IF(COUNT(J119:S119)&gt;0,MIN(J119:S119),"n.b")</f>
        <v>n.b</v>
      </c>
      <c r="I119" s="224"/>
      <c r="J119" s="23" t="str">
        <f>IF(OR(J$105=0,ISBLANK(Questions!$D$182)),"--",Questions!$D$182)</f>
        <v>--</v>
      </c>
      <c r="K119" s="23" t="str">
        <f>IF(OR(K$105=0,ISBLANK(Questions!$D$183)),"--",Questions!$D$183)</f>
        <v>--</v>
      </c>
      <c r="L119" s="23" t="str">
        <f>IF(OR(L$105=0,ISBLANK(Questions!$D$184)),"--",Questions!$D$184)</f>
        <v>--</v>
      </c>
    </row>
    <row r="120" spans="4:12">
      <c r="D120" s="260" t="str">
        <f>+Questions!$A192</f>
        <v>6.3.2</v>
      </c>
      <c r="E120" s="23" t="s">
        <v>332</v>
      </c>
      <c r="I120" s="224"/>
    </row>
    <row r="121" spans="4:12">
      <c r="D121" s="260" t="str">
        <f>+Questions!$A203</f>
        <v>6.3.3</v>
      </c>
      <c r="E121" s="23" t="str">
        <f>+IF(Questions!B203&lt;&gt;"x","kein *",+IF(ISERROR(AVERAGE(Questions!D204:D206)),"n.b.",+MIN(Questions!D204:D206)))</f>
        <v>kein *</v>
      </c>
      <c r="I121" s="224"/>
    </row>
    <row r="122" spans="4:12">
      <c r="D122" s="260" t="str">
        <f>+Questions!$A214</f>
        <v>6.4</v>
      </c>
      <c r="E122" s="23" t="s">
        <v>227</v>
      </c>
      <c r="I122" s="224"/>
    </row>
    <row r="123" spans="4:12">
      <c r="D123" s="260" t="str">
        <f>+Questions!$A215</f>
        <v>6.4.1</v>
      </c>
      <c r="E123" s="23" t="str">
        <f>IF(COUNT(J123:S123)&gt;0,MIN(J123:S123),"n.b")</f>
        <v>n.b</v>
      </c>
      <c r="I123" s="224"/>
      <c r="J123" s="23" t="str">
        <f>IF(OR(J$105=0,ISBLANK(Questions!$D$216)),"--",Questions!$D$216)</f>
        <v>--</v>
      </c>
      <c r="K123" s="23" t="str">
        <f>IF(OR(K$105=0,ISBLANK(Questions!$D$217)),"--",Questions!$D$217)</f>
        <v>--</v>
      </c>
      <c r="L123" s="23" t="str">
        <f>IF(OR(L$105=0,ISBLANK(Questions!$D$218)),"--",Questions!$D$218)</f>
        <v>--</v>
      </c>
    </row>
    <row r="124" spans="4:12">
      <c r="D124" s="260" t="str">
        <f>+Questions!$A226</f>
        <v>6.4.2</v>
      </c>
      <c r="E124" s="23" t="s">
        <v>332</v>
      </c>
      <c r="I124" s="224"/>
    </row>
    <row r="125" spans="4:12">
      <c r="D125" s="260" t="str">
        <f>+Questions!$A237</f>
        <v>6.4.3</v>
      </c>
      <c r="E125" s="23" t="str">
        <f>IF(COUNT(J125:S125)&gt;0,MIN(J125:S125),"n.b")</f>
        <v>n.b</v>
      </c>
      <c r="I125" s="224"/>
      <c r="J125" s="23" t="str">
        <f>IF(OR(J$105=0,ISBLANK(Questions!$D$238)),"--",Questions!$D$238)</f>
        <v>--</v>
      </c>
      <c r="K125" s="23" t="str">
        <f>IF(OR(K$105=0,ISBLANK(Questions!$D$239)),"--",Questions!$D$239)</f>
        <v>--</v>
      </c>
      <c r="L125" s="23" t="str">
        <f>IF(OR(L$105=0,ISBLANK(Questions!$D$240)),"--",Questions!$D$240)</f>
        <v>--</v>
      </c>
    </row>
    <row r="126" spans="4:12">
      <c r="D126" s="260" t="str">
        <f>+Questions!$A248</f>
        <v>6.4.4</v>
      </c>
      <c r="E126" s="23" t="str">
        <f>+IF(Questions!B248&lt;&gt;"x","kein *",+IF(ISERROR(AVERAGE(Questions!D249:D251)),"n.b.",+MIN(Questions!D249:D251)))</f>
        <v>kein *</v>
      </c>
      <c r="I126" s="224"/>
    </row>
    <row r="127" spans="4:12">
      <c r="D127" s="331" t="str">
        <f>Questions!A259</f>
        <v>6.4.5</v>
      </c>
      <c r="E127" s="23" t="s">
        <v>332</v>
      </c>
      <c r="I127" s="224"/>
    </row>
    <row r="128" spans="4:12">
      <c r="D128" s="260" t="str">
        <f>+Questions!$A270</f>
        <v>6.5</v>
      </c>
      <c r="E128" s="23" t="s">
        <v>227</v>
      </c>
      <c r="I128" s="224"/>
    </row>
    <row r="129" spans="4:12">
      <c r="D129" s="260" t="str">
        <f>+Questions!$A271</f>
        <v>6.5.1</v>
      </c>
      <c r="E129" s="23" t="str">
        <f>+IF(Questions!B271&lt;&gt;"x","kein *",+IF(ISERROR(AVERAGE(Questions!D272:D274)),"n.b.",+MIN(Questions!D272:D274)))</f>
        <v>kein *</v>
      </c>
      <c r="I129" s="224"/>
    </row>
    <row r="130" spans="4:12">
      <c r="D130" s="260" t="str">
        <f>+Questions!$A282</f>
        <v>6.5.2</v>
      </c>
      <c r="E130" s="23" t="str">
        <f>+IF(Questions!B282&lt;&gt;"x","kein *",+IF(ISERROR(AVERAGE(Questions!D283:D285)),"n.b.",+MIN(Questions!D283:D285)))</f>
        <v>kein *</v>
      </c>
      <c r="I130" s="224"/>
    </row>
    <row r="131" spans="4:12">
      <c r="D131" s="260" t="str">
        <f>+Questions!$A293</f>
        <v>6.5.3</v>
      </c>
      <c r="E131" s="23">
        <f>IF(COUNT(J131:S131)&gt;0,MIN(J131:S131),"n.b")</f>
        <v>6</v>
      </c>
      <c r="I131" s="224"/>
      <c r="J131" s="23">
        <f>IF(Questions!$B293&lt;&gt;"x","kein *",IF(ISBLANK(Questions!D294),"--",Questions!D294))</f>
        <v>10</v>
      </c>
      <c r="K131" s="23">
        <f>IF(Questions!$B293&lt;&gt;"x","kein *",IF(ISBLANK(Questions!D295),"--",Questions!D295))</f>
        <v>6</v>
      </c>
      <c r="L131" s="23">
        <f>IF(Questions!$B293&lt;&gt;"x","kein *",IF(ISBLANK(Questions!D296),"--",Questions!D296))</f>
        <v>10</v>
      </c>
    </row>
    <row r="132" spans="4:12">
      <c r="D132" s="260" t="str">
        <f>+Questions!$A304</f>
        <v>6.5.4</v>
      </c>
      <c r="E132" s="23" t="s">
        <v>332</v>
      </c>
      <c r="I132" s="224"/>
    </row>
    <row r="133" spans="4:12">
      <c r="D133" s="260" t="str">
        <f>+Questions!$A315</f>
        <v>6.6</v>
      </c>
      <c r="E133" s="23" t="s">
        <v>227</v>
      </c>
      <c r="I133" s="224"/>
    </row>
    <row r="134" spans="4:12">
      <c r="D134" s="260" t="str">
        <f>+Questions!$A316</f>
        <v>6.6.1</v>
      </c>
      <c r="E134" s="23" t="s">
        <v>332</v>
      </c>
      <c r="I134" s="224"/>
    </row>
    <row r="135" spans="4:12">
      <c r="D135" s="260" t="str">
        <f>+Questions!$A327</f>
        <v>6.6.2</v>
      </c>
      <c r="E135" s="23" t="str">
        <f>+IF(Questions!B327&lt;&gt;"x","kein *",+IF(ISERROR(AVERAGE(Questions!D328:D330)),"n.b.",+MIN(Questions!D328:D330)))</f>
        <v>kein *</v>
      </c>
      <c r="I135" s="224"/>
    </row>
    <row r="136" spans="4:12">
      <c r="D136" s="260" t="str">
        <f>+Questions!$A338</f>
        <v>6.6.3</v>
      </c>
      <c r="E136" s="23" t="str">
        <f>+IF(Questions!B338&lt;&gt;"x","kein *",+IF(ISERROR(AVERAGE(Questions!D339:D341)),"n.b.",+MIN(Questions!D339:D341)))</f>
        <v>kein *</v>
      </c>
      <c r="I136" s="224"/>
    </row>
    <row r="137" spans="4:12">
      <c r="D137" s="260" t="str">
        <f>+Questions!$A349</f>
        <v>6.6.4</v>
      </c>
      <c r="E137" s="23" t="str">
        <f>IF(COUNT(J137:S137)&gt;0,MIN(J137:S137),"n.b")</f>
        <v>n.b</v>
      </c>
      <c r="I137" s="224"/>
      <c r="J137" s="23" t="str">
        <f>IF(OR(J$105=0,ISBLANK(Questions!$D$350)),"--",Questions!$D$350)</f>
        <v>--</v>
      </c>
      <c r="K137" s="23" t="str">
        <f>IF(OR(K$105=0,ISBLANK(Questions!$D$351)),"--",Questions!$D$351)</f>
        <v>--</v>
      </c>
      <c r="L137" s="23" t="str">
        <f>IF(OR(L$105=0,ISBLANK(Questions!$D$352)),"--",Questions!$D$352)</f>
        <v>--</v>
      </c>
    </row>
    <row r="138" spans="4:12" ht="15">
      <c r="D138" s="261" t="str">
        <f>+Questions!$A360</f>
        <v>P7</v>
      </c>
      <c r="E138" s="23" t="s">
        <v>227</v>
      </c>
      <c r="G138" s="23" t="s">
        <v>142</v>
      </c>
      <c r="H138" s="552" t="str">
        <f>IF(COUNT(E106:E137)=0,"n.b.",IF(MIN(E106:E137)=0,"C",IF(MIN(E106:E137)=4,"B","A")))</f>
        <v>A</v>
      </c>
      <c r="I138" s="553" t="str">
        <f>+A42</f>
        <v>A</v>
      </c>
      <c r="J138" s="552" t="str">
        <f>+IF(COUNTIFS(Questions!$A$72:$A$352,J106,Questions!$D$72:$D$352,"n.b.")=26,"n.b.",+IF(MIN(J107:J137)=0,"C",+IF(MIN(J107:J137)=4,"B","A")))</f>
        <v>A</v>
      </c>
      <c r="K138" s="552" t="str">
        <f>+IF(COUNTIFS(Questions!$A$72:$A$352,K106,Questions!$D$72:$D$352,"n.b.")=26,"n.b.",+IF(MIN(K107:K137)=0,"C",+IF(MIN(K107:K137)=4,"B","A")))</f>
        <v>A</v>
      </c>
      <c r="L138" s="552" t="str">
        <f>+IF(COUNTIFS(Questions!$A$72:$A$352,L106,Questions!$D$72:$D$352,"n.b.")=26,"n.b.",+IF(MIN(L107:L137)=0,"C",+IF(MIN(L107:L137)=4,"B","A")))</f>
        <v>A</v>
      </c>
    </row>
    <row r="139" spans="4:12">
      <c r="D139" s="260" t="str">
        <f>+Questions!$A361</f>
        <v>7.1</v>
      </c>
      <c r="I139" s="224"/>
      <c r="J139" s="23">
        <v>1</v>
      </c>
      <c r="K139" s="23">
        <v>2</v>
      </c>
      <c r="L139" s="23">
        <v>3</v>
      </c>
    </row>
    <row r="140" spans="4:12">
      <c r="D140" s="260" t="str">
        <f>+Questions!$A362</f>
        <v>7.2</v>
      </c>
      <c r="I140" s="224"/>
    </row>
    <row r="141" spans="4:12">
      <c r="D141" s="260" t="str">
        <f>+Questions!$A363</f>
        <v>7.3</v>
      </c>
      <c r="E141" s="23" t="e">
        <f>W52</f>
        <v>#REF!</v>
      </c>
      <c r="I141" s="224"/>
    </row>
    <row r="142" spans="4:12">
      <c r="D142" s="260" t="str">
        <f>+Questions!$A364</f>
        <v>7.4</v>
      </c>
      <c r="E142" s="23" t="e">
        <f>X52</f>
        <v>#REF!</v>
      </c>
      <c r="I142" s="224"/>
    </row>
    <row r="143" spans="4:12">
      <c r="D143" s="260" t="str">
        <f>+Questions!$A365</f>
        <v>7.5</v>
      </c>
      <c r="I143" s="224"/>
    </row>
    <row r="144" spans="4:12">
      <c r="D144" s="262"/>
      <c r="E144" s="225"/>
      <c r="F144" s="225"/>
      <c r="G144" s="225" t="s">
        <v>143</v>
      </c>
      <c r="H144" s="270" t="str">
        <f>IF(COUNT(E139:E143)=0,"n.b.",+IF(MIN(E139:E143)=0,"C",+IF(MIN(E139:E143)=4,"B","A")))</f>
        <v>n.b.</v>
      </c>
      <c r="I144" s="203" t="e">
        <f>+A52</f>
        <v>#REF!</v>
      </c>
    </row>
    <row r="145" spans="2:31" ht="15" thickBot="1">
      <c r="D145" s="251" t="s">
        <v>212</v>
      </c>
      <c r="E145" s="252">
        <f>+COUNT((E75:E143))</f>
        <v>1</v>
      </c>
      <c r="F145" s="252">
        <f>+COUNTIF(E75:E143,0)</f>
        <v>0</v>
      </c>
      <c r="G145" s="252" t="e">
        <f>+IF(COUNT(E75:E143)=0,"n.b.",+MIN(E75:E143))</f>
        <v>#REF!</v>
      </c>
      <c r="H145" s="252"/>
      <c r="I145" s="253"/>
      <c r="Z145" s="23" t="s">
        <v>237</v>
      </c>
      <c r="AA145" s="23" t="s">
        <v>504</v>
      </c>
      <c r="AB145" s="159" t="e">
        <f>+G48</f>
        <v>#REF!</v>
      </c>
    </row>
    <row r="146" spans="2:31" ht="15" thickBot="1">
      <c r="D146" s="254" t="s">
        <v>213</v>
      </c>
      <c r="E146" s="250" t="str">
        <f>+IF(E145=0,"n.b.",(+IF(F145&gt;=1,"C",(+IF(F146&gt;=1,"B","A")))))</f>
        <v>A</v>
      </c>
      <c r="F146" s="249">
        <f>+COUNTIF(E75:E143,4)</f>
        <v>0</v>
      </c>
      <c r="G146" s="249" t="e">
        <f>+IF(G145="n.b.","n.b.",+IF(G145=0,"C",+IF(G145=4,"B","A")))</f>
        <v>#REF!</v>
      </c>
      <c r="H146" s="249"/>
      <c r="I146" s="255"/>
      <c r="Z146" s="23" t="s">
        <v>238</v>
      </c>
      <c r="AA146" s="23" t="s">
        <v>505</v>
      </c>
      <c r="AB146" s="159" t="e">
        <f>+M48</f>
        <v>#REF!</v>
      </c>
    </row>
    <row r="147" spans="2:31" ht="18">
      <c r="D147" s="192"/>
      <c r="G147" s="231"/>
      <c r="H147" s="211"/>
      <c r="I147" s="211"/>
      <c r="J147" s="232"/>
      <c r="K147" s="230"/>
      <c r="L147" s="219"/>
      <c r="M147" s="263" t="s">
        <v>255</v>
      </c>
      <c r="N147" s="219"/>
      <c r="O147" s="219"/>
      <c r="P147" s="219"/>
      <c r="Q147" s="219"/>
      <c r="R147" s="219"/>
      <c r="S147" s="219"/>
      <c r="T147" s="219"/>
      <c r="U147" s="219"/>
      <c r="V147" s="220"/>
      <c r="Z147" s="23" t="s">
        <v>239</v>
      </c>
      <c r="AA147" s="23" t="s">
        <v>506</v>
      </c>
      <c r="AB147" s="159" t="e">
        <f>+Q48</f>
        <v>#REF!</v>
      </c>
    </row>
    <row r="148" spans="2:31">
      <c r="D148" s="192"/>
      <c r="G148" s="233"/>
      <c r="H148" s="211"/>
      <c r="I148" s="211"/>
      <c r="J148" s="232"/>
      <c r="K148" s="33"/>
      <c r="V148" s="39"/>
      <c r="Z148" s="23" t="s">
        <v>240</v>
      </c>
      <c r="AA148" s="23" t="s">
        <v>507</v>
      </c>
      <c r="AB148" s="159" t="e">
        <f>+W48</f>
        <v>#REF!</v>
      </c>
    </row>
    <row r="149" spans="2:31">
      <c r="D149" s="192"/>
      <c r="G149" s="211"/>
      <c r="H149" s="211"/>
      <c r="I149" s="211"/>
      <c r="J149" s="232"/>
      <c r="K149" s="227" t="e">
        <f>BB62</f>
        <v>#REF!</v>
      </c>
      <c r="L149" s="226" t="e">
        <f>+IF(K149="n.b.","n.b.",+IF(K149&lt;80%,"C",+IF(K149&lt;90%,"B","A")))</f>
        <v>#REF!</v>
      </c>
      <c r="M149" s="264" t="s">
        <v>253</v>
      </c>
      <c r="N149" s="264"/>
      <c r="O149" s="264"/>
      <c r="P149" s="264"/>
      <c r="Q149" s="264"/>
      <c r="R149" s="264"/>
      <c r="S149" s="264"/>
      <c r="T149" s="264"/>
      <c r="U149" s="211"/>
      <c r="V149" s="232"/>
      <c r="Z149" s="23" t="s">
        <v>241</v>
      </c>
      <c r="AA149" s="23" t="s">
        <v>508</v>
      </c>
      <c r="AB149" s="159" t="e">
        <f>+AB48</f>
        <v>#REF!</v>
      </c>
    </row>
    <row r="150" spans="2:31">
      <c r="B150"/>
      <c r="C150"/>
      <c r="D150"/>
      <c r="E150"/>
      <c r="F150"/>
      <c r="G150"/>
      <c r="H150" s="211"/>
      <c r="I150" s="211"/>
      <c r="J150" s="232"/>
      <c r="K150" s="228"/>
      <c r="L150" s="221" t="str">
        <f>+E146</f>
        <v>A</v>
      </c>
      <c r="M150" s="264" t="s">
        <v>254</v>
      </c>
      <c r="N150" s="264"/>
      <c r="O150" s="264"/>
      <c r="P150" s="264"/>
      <c r="Q150" s="264"/>
      <c r="R150" s="264"/>
      <c r="S150" s="264"/>
      <c r="T150" s="264"/>
      <c r="U150" s="211"/>
      <c r="V150" s="232"/>
      <c r="Z150" s="23" t="s">
        <v>242</v>
      </c>
      <c r="AA150" s="23" t="s">
        <v>509</v>
      </c>
      <c r="AB150" s="159" t="e">
        <f>+AG48</f>
        <v>#REF!</v>
      </c>
    </row>
    <row r="151" spans="2:31">
      <c r="B151"/>
      <c r="C151"/>
      <c r="D151"/>
      <c r="E151"/>
      <c r="F151"/>
      <c r="G151"/>
      <c r="H151" s="234"/>
      <c r="I151" s="211"/>
      <c r="J151" s="232"/>
      <c r="K151" s="228"/>
      <c r="L151" s="221" t="str">
        <f>IF(COUNT((A8:A52)=0),"n.b.",+IF(COUNTIF((A8:A52),"C")&gt;=1,"C",+IF(+COUNTIF((A8:A52),"B")&gt;=1,"B","A")))</f>
        <v>A</v>
      </c>
      <c r="M151" s="264" t="s">
        <v>257</v>
      </c>
      <c r="N151" s="264"/>
      <c r="O151" s="264"/>
      <c r="P151" s="264"/>
      <c r="Q151" s="264"/>
      <c r="R151" s="264"/>
      <c r="S151" s="264"/>
      <c r="T151" s="264"/>
      <c r="U151" s="211"/>
      <c r="V151" s="232"/>
      <c r="Z151" s="23" t="s">
        <v>243</v>
      </c>
      <c r="AA151" s="23" t="s">
        <v>510</v>
      </c>
      <c r="AB151" s="159" t="e">
        <f>+BD48</f>
        <v>#REF!</v>
      </c>
    </row>
    <row r="152" spans="2:31">
      <c r="B152"/>
      <c r="C152"/>
      <c r="D152"/>
      <c r="E152"/>
      <c r="F152"/>
      <c r="G152"/>
      <c r="H152" s="211"/>
      <c r="I152" s="211"/>
      <c r="J152" s="232"/>
      <c r="K152" s="228"/>
      <c r="L152" s="221" t="e">
        <f>+AD152</f>
        <v>#REF!</v>
      </c>
      <c r="M152" s="264" t="s">
        <v>638</v>
      </c>
      <c r="N152" s="264"/>
      <c r="O152" s="264"/>
      <c r="P152" s="264"/>
      <c r="Q152" s="264"/>
      <c r="R152" s="264"/>
      <c r="S152" s="264"/>
      <c r="T152" s="264"/>
      <c r="U152" s="211"/>
      <c r="V152" s="232"/>
      <c r="AB152" s="23">
        <f>+COUNTIF(AB145:AB151,"n.b.")</f>
        <v>0</v>
      </c>
      <c r="AD152" s="272" t="e">
        <f>+IF(AB152=7,$BL$35,+IF(MIN(G48,M48,Q48,W48,AB48,AG48,BD48)&lt;80%,"B","A"))</f>
        <v>#REF!</v>
      </c>
      <c r="AE152" s="23">
        <f>+COUNTIF((AB145:AB151),"=&lt;80")</f>
        <v>0</v>
      </c>
    </row>
    <row r="153" spans="2:31">
      <c r="B153"/>
      <c r="C153"/>
      <c r="D153"/>
      <c r="E153"/>
      <c r="F153"/>
      <c r="G153"/>
      <c r="H153" s="211"/>
      <c r="I153" s="211"/>
      <c r="J153" s="232"/>
      <c r="K153" s="228"/>
      <c r="L153" s="221" t="e">
        <f>+AD167</f>
        <v>#REF!</v>
      </c>
      <c r="M153" s="264" t="s">
        <v>214</v>
      </c>
      <c r="N153" s="264"/>
      <c r="O153" s="264"/>
      <c r="P153" s="264"/>
      <c r="Q153" s="264"/>
      <c r="R153" s="264"/>
      <c r="S153" s="264"/>
      <c r="T153" s="264"/>
      <c r="U153" s="211"/>
      <c r="V153" s="232"/>
    </row>
    <row r="154" spans="2:31" ht="15" thickBot="1">
      <c r="B154"/>
      <c r="C154"/>
      <c r="D154"/>
      <c r="E154"/>
      <c r="F154"/>
      <c r="G154"/>
      <c r="H154" s="211"/>
      <c r="I154" s="211"/>
      <c r="J154" s="232"/>
      <c r="K154" s="33"/>
      <c r="L154" s="221" t="e">
        <f>++IF(K149="n.b.","n.b.",+IF(MIN(epm,ede,epe,elm,ek,epg)&lt;70%,"C",+IF(MIN(epm,ede,epe,elm,ek,epg)&lt;80%,"B","kA")))</f>
        <v>#REF!</v>
      </c>
      <c r="M154" s="265" t="s">
        <v>272</v>
      </c>
      <c r="N154" s="264"/>
      <c r="O154" s="264"/>
      <c r="P154" s="264"/>
      <c r="Q154" s="264"/>
      <c r="R154" s="264"/>
      <c r="S154" s="264"/>
      <c r="T154" s="264"/>
      <c r="U154" s="211"/>
      <c r="V154" s="232"/>
    </row>
    <row r="155" spans="2:31" ht="15" thickBot="1">
      <c r="B155"/>
      <c r="C155"/>
      <c r="D155"/>
      <c r="E155"/>
      <c r="F155"/>
      <c r="G155"/>
      <c r="H155" s="211"/>
      <c r="I155" s="211"/>
      <c r="J155" s="232"/>
      <c r="K155" s="228"/>
      <c r="L155" s="235" t="str">
        <f>IF(COUNTIF(L149:L154,"n.b.")=6,"n.b.",IF(COUNTIF(L149:L154,"C")&gt;=1,"C",IF(COUNTIF(L149:L154,"B")&gt;=1,"B","A")))</f>
        <v>A</v>
      </c>
      <c r="M155" s="266" t="s">
        <v>215</v>
      </c>
      <c r="N155" s="266"/>
      <c r="O155" s="267"/>
      <c r="P155" s="264"/>
      <c r="Q155" s="264"/>
      <c r="R155" s="264"/>
      <c r="S155" s="264"/>
      <c r="T155" s="264"/>
      <c r="U155" s="211"/>
      <c r="V155" s="232"/>
    </row>
    <row r="156" spans="2:31">
      <c r="B156"/>
      <c r="C156"/>
      <c r="D156"/>
      <c r="E156"/>
      <c r="F156"/>
      <c r="G156"/>
      <c r="H156" s="211"/>
      <c r="I156" s="211"/>
      <c r="J156" s="232"/>
      <c r="K156" s="228"/>
      <c r="L156" s="158"/>
      <c r="M156" s="264"/>
      <c r="N156" s="264"/>
      <c r="O156" s="264"/>
      <c r="P156" s="264"/>
      <c r="Q156" s="264"/>
      <c r="R156" s="264"/>
      <c r="S156" s="264"/>
      <c r="T156" s="264"/>
      <c r="U156" s="211"/>
      <c r="V156" s="232"/>
      <c r="Z156" s="23" t="s">
        <v>267</v>
      </c>
    </row>
    <row r="157" spans="2:31">
      <c r="B157"/>
      <c r="C157"/>
      <c r="D157"/>
      <c r="E157"/>
      <c r="F157"/>
      <c r="G157"/>
      <c r="H157" s="211"/>
      <c r="I157" s="211"/>
      <c r="J157" s="232"/>
      <c r="K157" s="228"/>
      <c r="L157" s="158"/>
      <c r="M157" s="264"/>
      <c r="N157" s="264"/>
      <c r="O157" s="264"/>
      <c r="P157" s="264"/>
      <c r="Q157" s="264"/>
      <c r="R157" s="264"/>
      <c r="S157" s="264"/>
      <c r="T157" s="264"/>
      <c r="U157" s="211"/>
      <c r="V157" s="232"/>
      <c r="Y157" s="193"/>
      <c r="Z157" s="23" t="s">
        <v>30</v>
      </c>
      <c r="AA157" s="23" t="s">
        <v>244</v>
      </c>
      <c r="AB157" s="159" t="e">
        <f>+AS36</f>
        <v>#REF!</v>
      </c>
    </row>
    <row r="158" spans="2:31">
      <c r="B158"/>
      <c r="C158"/>
      <c r="D158"/>
      <c r="E158"/>
      <c r="F158"/>
      <c r="G158"/>
      <c r="H158" s="211"/>
      <c r="I158" s="211"/>
      <c r="J158" s="232"/>
      <c r="K158" s="227" t="str">
        <f>+IF(ISERROR(+AVERAGE(epm,ede,epe)),"n.b.",+ROUND((+AVERAGE(epm,ede,epe)),2))</f>
        <v>n.b.</v>
      </c>
      <c r="L158" s="226" t="str">
        <f>+IF(K158="n.b.","n.b.",(+IF(K158&lt;80%,"C",+IF(K158&lt;90%,"B","A"))))</f>
        <v>n.b.</v>
      </c>
      <c r="M158" s="264" t="s">
        <v>219</v>
      </c>
      <c r="N158" s="264"/>
      <c r="O158" s="264"/>
      <c r="P158" s="264"/>
      <c r="Q158" s="264"/>
      <c r="R158" s="264"/>
      <c r="S158" s="264"/>
      <c r="T158" s="264"/>
      <c r="U158" s="211"/>
      <c r="V158" s="232"/>
      <c r="Y158" s="193"/>
      <c r="Z158" s="23" t="s">
        <v>31</v>
      </c>
      <c r="AA158" s="23" t="s">
        <v>245</v>
      </c>
      <c r="AB158" s="159" t="e">
        <f>+AS38</f>
        <v>#REF!</v>
      </c>
    </row>
    <row r="159" spans="2:31">
      <c r="B159"/>
      <c r="C159"/>
      <c r="D159"/>
      <c r="E159"/>
      <c r="F159"/>
      <c r="G159"/>
      <c r="H159" s="211"/>
      <c r="I159" s="211"/>
      <c r="J159" s="232"/>
      <c r="K159" s="228"/>
      <c r="L159" s="221" t="str">
        <f>+IF(COUNTIF(H82:H97,"n.b.")=3,"n.b.",+IF(COUNTIF((H82:H97),"C")&gt;=1,"C",+IF(+COUNTIF((H82:H97),"B")&gt;=1,"B","A")))</f>
        <v>n.b.</v>
      </c>
      <c r="M159" s="264" t="s">
        <v>256</v>
      </c>
      <c r="N159" s="264"/>
      <c r="O159" s="264"/>
      <c r="P159" s="264"/>
      <c r="Q159" s="264"/>
      <c r="R159" s="264"/>
      <c r="S159" s="264"/>
      <c r="T159" s="264"/>
      <c r="U159" s="211"/>
      <c r="V159" s="232"/>
      <c r="Y159" s="193"/>
      <c r="Z159" s="23" t="s">
        <v>32</v>
      </c>
      <c r="AA159" s="23" t="s">
        <v>246</v>
      </c>
      <c r="AB159" s="159" t="e">
        <f>+AS40</f>
        <v>#REF!</v>
      </c>
    </row>
    <row r="160" spans="2:31">
      <c r="B160"/>
      <c r="C160"/>
      <c r="D160"/>
      <c r="E160"/>
      <c r="F160"/>
      <c r="G160"/>
      <c r="H160" s="211"/>
      <c r="I160" s="211"/>
      <c r="J160" s="232"/>
      <c r="K160" s="33"/>
      <c r="L160" s="221" t="str">
        <f>++IF(K158="n.b.","n.b.",+IF(MIN(epm,ede,epe)&lt;70%,"C",+IF(MIN(epm,ede,epe)&lt;80%,"B","kA")))</f>
        <v>n.b.</v>
      </c>
      <c r="M160" s="265" t="s">
        <v>265</v>
      </c>
      <c r="N160" s="264"/>
      <c r="O160" s="264"/>
      <c r="P160" s="211"/>
      <c r="Q160" s="264"/>
      <c r="R160" s="264"/>
      <c r="S160" s="264"/>
      <c r="T160" s="264"/>
      <c r="U160" s="211"/>
      <c r="V160" s="232"/>
      <c r="Y160" s="193"/>
      <c r="AB160" s="159"/>
    </row>
    <row r="161" spans="2:30" ht="15" thickBot="1">
      <c r="B161"/>
      <c r="C161"/>
      <c r="D161"/>
      <c r="E161"/>
      <c r="F161"/>
      <c r="G161"/>
      <c r="H161" s="211"/>
      <c r="I161" s="211"/>
      <c r="J161" s="232"/>
      <c r="K161" s="33"/>
      <c r="L161" s="221" t="str">
        <f>IF(COUNT((A8:A22)=0),"n.b.",+IF(+COUNTIF((A8:A22),"C")&gt;=1,"C",+IF(+COUNTIF((A8:A22),"B")&gt;=1,"B","A")))</f>
        <v>A</v>
      </c>
      <c r="M161" s="265" t="s">
        <v>252</v>
      </c>
      <c r="N161" s="264"/>
      <c r="O161" s="264"/>
      <c r="P161" s="211"/>
      <c r="Q161" s="264"/>
      <c r="R161" s="264"/>
      <c r="S161" s="264"/>
      <c r="T161" s="264"/>
      <c r="U161" s="211"/>
      <c r="V161" s="232"/>
      <c r="Y161" s="193"/>
      <c r="AB161" s="159"/>
    </row>
    <row r="162" spans="2:30" ht="15" thickBot="1">
      <c r="B162"/>
      <c r="C162"/>
      <c r="D162"/>
      <c r="E162"/>
      <c r="F162"/>
      <c r="G162"/>
      <c r="H162" s="211"/>
      <c r="I162" s="211"/>
      <c r="J162" s="232"/>
      <c r="K162" s="228"/>
      <c r="L162" s="235" t="str">
        <f>+IF(L158="n.b.","n.b.",+IF(COUNTIF(L158:L161,"C")&gt;=1,"C",+IF(COUNTIF(L158:L161,"B")&gt;=1,"B","A")))</f>
        <v>n.b.</v>
      </c>
      <c r="M162" s="266" t="s">
        <v>220</v>
      </c>
      <c r="N162" s="267"/>
      <c r="O162" s="264"/>
      <c r="P162" s="264"/>
      <c r="Q162" s="264"/>
      <c r="R162" s="264"/>
      <c r="S162" s="264"/>
      <c r="T162" s="264"/>
      <c r="U162" s="211"/>
      <c r="V162" s="232"/>
      <c r="Y162" s="193"/>
      <c r="AB162" s="159"/>
    </row>
    <row r="163" spans="2:30">
      <c r="B163"/>
      <c r="C163"/>
      <c r="D163"/>
      <c r="E163"/>
      <c r="F163"/>
      <c r="G163"/>
      <c r="H163" s="211"/>
      <c r="I163" s="211"/>
      <c r="J163" s="232"/>
      <c r="K163" s="228"/>
      <c r="L163" s="158"/>
      <c r="M163" s="264"/>
      <c r="N163" s="264"/>
      <c r="O163" s="264"/>
      <c r="P163" s="264"/>
      <c r="Q163" s="264"/>
      <c r="R163" s="264"/>
      <c r="S163" s="264"/>
      <c r="T163" s="264"/>
      <c r="U163" s="211"/>
      <c r="V163" s="232"/>
      <c r="Y163" s="193"/>
      <c r="AB163" s="159"/>
    </row>
    <row r="164" spans="2:30">
      <c r="B164"/>
      <c r="C164"/>
      <c r="D164"/>
      <c r="E164"/>
      <c r="F164"/>
      <c r="G164"/>
      <c r="H164" s="211"/>
      <c r="I164" s="211"/>
      <c r="J164" s="232"/>
      <c r="K164" s="227" t="str">
        <f>++IF(ISERROR(AVERAGE(ez,epg,ek)),"n.b.",+ROUND((+AVERAGE(ez,epg,ek)),2))</f>
        <v>n.b.</v>
      </c>
      <c r="L164" s="226" t="str">
        <f>+IF(K164="n.b.","n.b.",+IF(K164&lt;80%,"C",+IF(K164&lt;90%,"B","A")))</f>
        <v>n.b.</v>
      </c>
      <c r="M164" s="264" t="s">
        <v>221</v>
      </c>
      <c r="N164" s="264"/>
      <c r="O164" s="264"/>
      <c r="P164" s="264"/>
      <c r="Q164" s="264"/>
      <c r="R164" s="264"/>
      <c r="S164" s="264"/>
      <c r="T164" s="264"/>
      <c r="U164" s="211"/>
      <c r="V164" s="232"/>
      <c r="Y164" s="193"/>
      <c r="AB164" s="159"/>
    </row>
    <row r="165" spans="2:30">
      <c r="B165"/>
      <c r="C165"/>
      <c r="D165"/>
      <c r="E165"/>
      <c r="F165"/>
      <c r="G165"/>
      <c r="H165" s="211"/>
      <c r="I165" s="211"/>
      <c r="J165" s="232"/>
      <c r="K165" s="228"/>
      <c r="L165" s="221" t="str">
        <f>+IF(K164="n.b.","n.b.",+IF(MIN(elm,epg,ek,AS36:AS40,G48,M48,Q48,W48,AB48,AG48,BD48)&lt;70%,"C",IF(MIN(elm,epg,ek,AS36:AS40,G48,M48,Q48,W48,AB48,AG48,BD48)&lt;80%,"B","A")))</f>
        <v>n.b.</v>
      </c>
      <c r="M165" s="264" t="s">
        <v>273</v>
      </c>
      <c r="N165" s="264"/>
      <c r="O165" s="264"/>
      <c r="P165" s="264"/>
      <c r="Q165" s="264"/>
      <c r="R165" s="264"/>
      <c r="S165" s="264"/>
      <c r="T165" s="264"/>
      <c r="U165" s="211"/>
      <c r="V165" s="232"/>
      <c r="Y165" s="159"/>
      <c r="AB165" s="159"/>
    </row>
    <row r="166" spans="2:30">
      <c r="B166"/>
      <c r="C166"/>
      <c r="D166"/>
      <c r="E166"/>
      <c r="F166"/>
      <c r="G166"/>
      <c r="H166" s="211"/>
      <c r="I166" s="211"/>
      <c r="J166" s="232"/>
      <c r="K166" s="33"/>
      <c r="L166" s="221" t="str">
        <f>IF(COUNT((A29:A52)=0),"n.b.",+IF(+COUNTIF((A29:A52),"C")&gt;=1,"C",+IF(+COUNTIF((A29:A52),"B")&gt;=1,"B","A")))</f>
        <v>A</v>
      </c>
      <c r="M166" s="265" t="s">
        <v>251</v>
      </c>
      <c r="N166" s="264"/>
      <c r="O166" s="264"/>
      <c r="P166" s="264"/>
      <c r="Q166" s="264"/>
      <c r="R166" s="264"/>
      <c r="S166" s="264"/>
      <c r="T166" s="264"/>
      <c r="U166" s="211"/>
      <c r="V166" s="232"/>
      <c r="Y166" s="159"/>
      <c r="AB166" s="159"/>
    </row>
    <row r="167" spans="2:30" ht="15" thickBot="1">
      <c r="B167"/>
      <c r="C167"/>
      <c r="D167"/>
      <c r="E167"/>
      <c r="F167"/>
      <c r="G167"/>
      <c r="H167" s="211"/>
      <c r="I167" s="211"/>
      <c r="J167" s="232"/>
      <c r="K167" s="228"/>
      <c r="L167" s="221" t="str">
        <f>+IF(K164="n.b.","n.b.",+IF(COUNTIF((H104:H144),"C")&gt;=1,"C",+IF(+COUNTIF((H104:H144),"B")&gt;=1,"B","A")))</f>
        <v>n.b.</v>
      </c>
      <c r="M167" s="264" t="s">
        <v>250</v>
      </c>
      <c r="N167" s="264"/>
      <c r="O167" s="264"/>
      <c r="P167" s="264"/>
      <c r="Q167" s="264"/>
      <c r="R167" s="264"/>
      <c r="S167" s="264"/>
      <c r="T167" s="264"/>
      <c r="U167" s="211"/>
      <c r="V167" s="232"/>
      <c r="AB167" s="23">
        <f>+COUNTIF(AB157:AB166,"n.b.")</f>
        <v>0</v>
      </c>
      <c r="AD167" s="272" t="e">
        <f>+IF(AB167=3,"n.b.",+IF(MIN(AB157:AB159)&lt;70%,"C",+IF(MIN(AB157:AB159)&lt;80%,"B","A")))</f>
        <v>#REF!</v>
      </c>
    </row>
    <row r="168" spans="2:30" ht="15" thickBot="1">
      <c r="B168"/>
      <c r="C168"/>
      <c r="D168"/>
      <c r="E168"/>
      <c r="F168"/>
      <c r="G168"/>
      <c r="H168" s="211"/>
      <c r="I168" s="211"/>
      <c r="J168" s="232"/>
      <c r="K168" s="229"/>
      <c r="L168" s="235" t="str">
        <f>++IF(K164="n.b.","n.b.",+IF(ISERROR(K164),"n.b.",+IF(COUNTIF(L164:L167,"C")&gt;=1,"C",+IF(COUNTIF(L164:L167,"B")&gt;=1,"B","A"))))</f>
        <v>n.b.</v>
      </c>
      <c r="M168" s="266" t="s">
        <v>258</v>
      </c>
      <c r="N168" s="267"/>
      <c r="O168" s="268"/>
      <c r="P168" s="268"/>
      <c r="Q168" s="268"/>
      <c r="R168" s="268"/>
      <c r="S168" s="268"/>
      <c r="T168" s="268"/>
      <c r="U168" s="273"/>
      <c r="V168" s="269"/>
    </row>
    <row r="169" spans="2:30">
      <c r="B169"/>
      <c r="C169"/>
      <c r="D169"/>
      <c r="E169"/>
      <c r="F169"/>
      <c r="G169"/>
      <c r="K169" s="158"/>
      <c r="L169" s="158"/>
      <c r="M169" s="158"/>
      <c r="N169" s="158"/>
      <c r="O169" s="158"/>
      <c r="P169" s="158"/>
      <c r="Q169" s="158"/>
      <c r="R169" s="158"/>
      <c r="S169" s="158"/>
      <c r="T169" s="158"/>
    </row>
    <row r="171" spans="2:30">
      <c r="K171" s="240" t="s">
        <v>248</v>
      </c>
      <c r="L171" s="241"/>
      <c r="M171" s="241"/>
      <c r="N171" s="241"/>
      <c r="O171" s="241"/>
      <c r="P171" s="242"/>
    </row>
    <row r="172" spans="2:30">
      <c r="K172" s="243" t="s">
        <v>247</v>
      </c>
      <c r="L172" s="244"/>
      <c r="M172" s="244"/>
      <c r="N172" s="244"/>
      <c r="O172" s="244"/>
      <c r="P172" s="245"/>
      <c r="R172" s="158"/>
      <c r="S172" s="23" t="s">
        <v>222</v>
      </c>
      <c r="T172" s="158"/>
    </row>
    <row r="173" spans="2:30">
      <c r="K173" s="246" t="s">
        <v>249</v>
      </c>
      <c r="L173" s="247"/>
      <c r="M173" s="247"/>
      <c r="N173" s="247"/>
      <c r="O173" s="247"/>
      <c r="P173" s="248"/>
      <c r="S173" s="23">
        <v>1</v>
      </c>
      <c r="T173" s="23">
        <v>2</v>
      </c>
      <c r="U173" s="23">
        <v>3</v>
      </c>
    </row>
    <row r="174" spans="2:30">
      <c r="P174" s="23" t="s">
        <v>223</v>
      </c>
      <c r="S174" s="23" t="str">
        <f>+J138</f>
        <v>A</v>
      </c>
      <c r="T174" s="23" t="str">
        <f>+K138</f>
        <v>A</v>
      </c>
      <c r="U174" s="23" t="str">
        <f>+L138</f>
        <v>A</v>
      </c>
    </row>
    <row r="175" spans="2:30">
      <c r="R175" s="23" t="s">
        <v>47</v>
      </c>
      <c r="S175" s="23" t="str">
        <f>+IF(ISERROR(AVERAGE(D36:H36)),"n.b.",(+IF(AVERAGE(D36:H36)&lt;70%,"C",+IF(AVERAGE(D36:H36)&lt;80%,"B","A"))))</f>
        <v>n.b.</v>
      </c>
      <c r="T175" s="23" t="str">
        <f>+IF(ISERROR(AVERAGE(D38:H38)),"n.b.",(+IF(AVERAGE(D38:H38)&lt;70%,"C",+IF(AVERAGE(D38:H38)&lt;80%,"B","A"))))</f>
        <v>n.b.</v>
      </c>
      <c r="U175" s="23" t="str">
        <f>+IF(ISERROR(AVERAGE(D40:H40)),"n.b.",(+IF(AVERAGE(D40:H40)&lt;70%,"C",+IF(AVERAGE(D40:H40)&lt;80%,"B","A"))))</f>
        <v>n.b.</v>
      </c>
    </row>
    <row r="176" spans="2:30">
      <c r="R176" s="23" t="s">
        <v>48</v>
      </c>
      <c r="S176" s="23" t="str">
        <f>+IF(ISERROR(AVERAGE(J36:O36)),"n.b.",(+IF(AVERAGE(J36:O36)&lt;70%,"C",+IF(AVERAGE(J36:O36)&lt;80%,"B","A"))))</f>
        <v>n.b.</v>
      </c>
      <c r="T176" s="23" t="str">
        <f>+IF(ISERROR(AVERAGE(J38:O38)),"n.b.",(+IF(AVERAGE(J38:O38)&lt;70%,"C",+IF(AVERAGE(J38:O38)&lt;80%,"B","A"))))</f>
        <v>n.b.</v>
      </c>
      <c r="U176" s="23" t="str">
        <f>+IF(ISERROR(AVERAGE(J40:O40)),"n.b.",(+IF(AVERAGE(J40:O40)&lt;70%,"C",+IF(AVERAGE(J40:O40)&lt;80%,"B","A"))))</f>
        <v>n.b.</v>
      </c>
    </row>
    <row r="177" spans="1:62">
      <c r="R177" s="23" t="s">
        <v>49</v>
      </c>
      <c r="S177" s="23" t="str">
        <f>+IF(ISERROR(AVERAGE(P36:R36)),"n.b.",(+IF(AVERAGE(P36:R36)&lt;70%,"C",+IF(AVERAGE(P36:R36)&lt;80%,"B","A"))))</f>
        <v>n.b.</v>
      </c>
      <c r="T177" s="23" t="str">
        <f>+IF(ISERROR(AVERAGE(P38:R38)),"n.b.",(+IF(AVERAGE(P38:R38)&lt;70%,"C",+IF(AVERAGE(P38:R38)&lt;80%,"B","A"))))</f>
        <v>n.b.</v>
      </c>
      <c r="U177" s="23" t="str">
        <f>+IF(ISERROR(AVERAGE(P40:R40)),"n.b.",(+IF(AVERAGE(P40:R40)&lt;70%,"C",+IF(AVERAGE(P40:R40)&lt;80%,"B","A"))))</f>
        <v>n.b.</v>
      </c>
    </row>
    <row r="178" spans="1:62">
      <c r="R178" s="23" t="s">
        <v>50</v>
      </c>
      <c r="S178" s="23" t="str">
        <f>+IF(ISERROR(AVERAGE($T36:$V36)),"n.b.",(+IF(AVERAGE($T36:$V36)&lt;70%,"C",+IF(AVERAGE($T36:$V36)&lt;80%,"B","A"))))</f>
        <v>n.b.</v>
      </c>
      <c r="T178" s="23" t="str">
        <f>+IF(ISERROR(AVERAGE($T38:$V38)),"n.b.",(+IF(AVERAGE($T38:$V38)&lt;70%,"C",+IF(AVERAGE($T38:$V38)&lt;80%,"B","A"))))</f>
        <v>n.b.</v>
      </c>
      <c r="U178" s="23" t="str">
        <f>+IF(ISERROR(AVERAGE($T40:$V40)),"n.b.",(+IF(AVERAGE($T40:$V40)&lt;70%,"C",+IF(AVERAGE($T40:$V40)&lt;80%,"B","A"))))</f>
        <v>n.b.</v>
      </c>
    </row>
    <row r="179" spans="1:62">
      <c r="R179" s="23" t="s">
        <v>144</v>
      </c>
      <c r="S179" s="23" t="str">
        <f>+IF(ISERROR(AVERAGE($Z36:$AC36)),"n.b.",(+IF(AVERAGE($Z36:$AC36)&lt;70%,"C",+IF(AVERAGE($Z36:$AC36)&lt;80%,"B","A"))))</f>
        <v>n.b.</v>
      </c>
      <c r="T179" s="23" t="str">
        <f>+IF(ISERROR(AVERAGE($Z38:$AC38)),"n.b.",(+IF(AVERAGE($Z38:$AC38)&lt;70%,"C",+IF(AVERAGE($Z38:$AC38)&lt;80%,"B","A"))))</f>
        <v>n.b.</v>
      </c>
      <c r="U179" s="23" t="str">
        <f>+IF(ISERROR(AVERAGE($Z40:$AC40)),"n.b.",(+IF(AVERAGE($Z40:$AC40)&lt;70%,"C",+IF(AVERAGE($Z40:$AC40)&lt;80%,"B","A"))))</f>
        <v>n.b.</v>
      </c>
    </row>
    <row r="180" spans="1:62">
      <c r="R180" s="23" t="s">
        <v>145</v>
      </c>
      <c r="S180" s="23" t="str">
        <f>+IF(ISERROR(AVERAGE($AE36:$AH36)),"n.b.",(+IF(AVERAGE($AE36:$AH36)&lt;70%,"C",+IF(AVERAGE($AE36:$AH36)&lt;80%,"B","A"))))</f>
        <v>n.b.</v>
      </c>
      <c r="T180" s="23" t="str">
        <f>+IF(ISERROR(AVERAGE($AE38:$AH38)),"n.b.",(+IF(AVERAGE($AE38:$AH38)&lt;70%,"C",+IF(AVERAGE($AE38:$AH38)&lt;80%,"B","A"))))</f>
        <v>n.b.</v>
      </c>
      <c r="U180" s="23" t="str">
        <f>+IF(ISERROR(AVERAGE($AE40:$AH40)),"n.b.",(+IF(AVERAGE($AE40:$AH40)&lt;70%,"C",+IF(AVERAGE($AE40:$AH40)&lt;80%,"B","A"))))</f>
        <v>n.b.</v>
      </c>
    </row>
    <row r="181" spans="1:62">
      <c r="R181" s="23" t="s">
        <v>200</v>
      </c>
      <c r="S181" s="23" t="str">
        <f>+IF(ISERROR(AVERAGE($AX36:$BE36)),"n.b.",(+IF(AVERAGE($AX36:$BE36)&lt;70%,"C",+IF(AVERAGE($AX36:$BE36)&lt;80%,"B","A"))))</f>
        <v>n.b.</v>
      </c>
      <c r="T181" s="23" t="str">
        <f>+IF(ISERROR(AVERAGE($AX38:$BE38)),"n.b.",(+IF(AVERAGE($AX38:$BE38)&lt;70%,"C",+IF(AVERAGE($AX38:$BE38)&lt;80%,"B","A"))))</f>
        <v>n.b.</v>
      </c>
      <c r="U181" s="23" t="str">
        <f>+IF(ISERROR(AVERAGE($AX40:$BE40)),"n.b.",(+IF(AVERAGE($AX40:$BE40)&lt;70%,"C",+IF(AVERAGE($AX40:$BE40)&lt;80%,"B","A"))))</f>
        <v>n.b.</v>
      </c>
    </row>
    <row r="183" spans="1:62">
      <c r="K183" s="193"/>
    </row>
    <row r="184" spans="1:62">
      <c r="K184" s="193"/>
      <c r="L184" s="158"/>
    </row>
    <row r="185" spans="1:62">
      <c r="B185" s="33"/>
      <c r="C185" s="22"/>
      <c r="D185" s="22"/>
      <c r="E185" s="22"/>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c r="AD185" s="22"/>
      <c r="AE185" s="22"/>
      <c r="AF185" s="22"/>
      <c r="AG185" s="22"/>
      <c r="AH185" s="22"/>
      <c r="AI185" s="22"/>
      <c r="AJ185" s="22"/>
      <c r="AK185" s="22"/>
      <c r="AL185" s="22"/>
      <c r="AM185" s="22"/>
      <c r="AN185" s="22"/>
      <c r="AO185" s="22"/>
      <c r="AP185" s="22"/>
      <c r="AQ185" s="22"/>
      <c r="AR185" s="22"/>
      <c r="AS185" s="22"/>
      <c r="AT185" s="22"/>
      <c r="AU185" s="22"/>
      <c r="AV185" s="22"/>
      <c r="AW185" s="22"/>
      <c r="AX185" s="22"/>
      <c r="AY185" s="22"/>
      <c r="AZ185" s="22"/>
      <c r="BA185" s="22"/>
      <c r="BB185" s="22"/>
      <c r="BC185" s="22"/>
      <c r="BD185" s="22"/>
      <c r="BE185"/>
      <c r="BF185"/>
      <c r="BG185"/>
      <c r="BH185"/>
      <c r="BI185" s="34"/>
      <c r="BJ185" s="22"/>
    </row>
    <row r="186" spans="1:62">
      <c r="A186" s="199"/>
      <c r="B186" s="33"/>
      <c r="C186" s="213"/>
      <c r="D186" s="210"/>
      <c r="E186" s="210"/>
      <c r="F186" s="210"/>
      <c r="G186" s="210"/>
      <c r="H186" s="210"/>
      <c r="I186" s="210"/>
      <c r="J186" s="210"/>
      <c r="K186" s="210"/>
      <c r="L186" s="210"/>
      <c r="M186" s="210"/>
      <c r="N186" s="210"/>
      <c r="O186" s="210"/>
      <c r="P186" s="210"/>
      <c r="Q186" s="210"/>
      <c r="R186" s="210"/>
      <c r="S186" s="210"/>
      <c r="T186" s="210"/>
      <c r="U186" s="210"/>
      <c r="V186" s="210"/>
      <c r="W186" s="210"/>
      <c r="X186" s="210"/>
      <c r="Y186" s="210"/>
      <c r="Z186" s="210"/>
      <c r="AA186" s="210"/>
      <c r="AB186" s="210"/>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s="36"/>
      <c r="BJ186"/>
    </row>
    <row r="187" spans="1:62">
      <c r="B187" s="33"/>
      <c r="C187" s="210"/>
      <c r="D187" s="210"/>
      <c r="E187" s="210"/>
      <c r="F187" s="210"/>
      <c r="G187" s="210"/>
      <c r="H187" s="210"/>
      <c r="I187" s="210"/>
      <c r="J187" s="210"/>
      <c r="K187" s="210"/>
      <c r="L187" s="210"/>
      <c r="M187" s="210"/>
      <c r="N187" s="210"/>
      <c r="O187" s="210"/>
      <c r="P187" s="210"/>
      <c r="Q187" s="210"/>
      <c r="R187" s="210"/>
      <c r="S187" s="210"/>
      <c r="T187" s="210"/>
      <c r="U187" s="210"/>
      <c r="V187" s="210"/>
      <c r="W187" s="210"/>
      <c r="X187" s="210"/>
      <c r="Y187" s="210"/>
      <c r="Z187" s="210"/>
      <c r="AA187" s="210"/>
      <c r="AB187" s="210"/>
      <c r="AC187"/>
      <c r="AD187"/>
      <c r="AE187"/>
      <c r="AF187"/>
      <c r="AG187"/>
      <c r="AH187"/>
      <c r="AI187"/>
      <c r="AJ187"/>
      <c r="AK187"/>
      <c r="AL187"/>
      <c r="AM187"/>
      <c r="AN187"/>
      <c r="AO187"/>
      <c r="AP187"/>
      <c r="AQ187"/>
      <c r="AR187"/>
      <c r="AS187"/>
      <c r="AT187"/>
      <c r="AU187"/>
      <c r="AV187"/>
      <c r="BE187"/>
      <c r="BF187"/>
      <c r="BG187"/>
      <c r="BH187"/>
      <c r="BI187" s="36"/>
      <c r="BJ187"/>
    </row>
    <row r="188" spans="1:62" s="183" customFormat="1" ht="28.5">
      <c r="A188" s="197" t="s">
        <v>216</v>
      </c>
      <c r="B188" s="33"/>
      <c r="C188" s="214"/>
      <c r="D188" s="1236"/>
      <c r="E188" s="1236"/>
      <c r="F188" s="1236"/>
      <c r="G188" s="1236"/>
      <c r="H188" s="1236"/>
      <c r="I188" s="1238"/>
      <c r="J188" s="1238"/>
      <c r="K188" s="1238"/>
      <c r="L188" s="1238"/>
      <c r="M188" s="1238"/>
      <c r="N188" s="1238"/>
      <c r="O188" s="1238"/>
      <c r="P188" s="1238"/>
      <c r="Q188" s="1238"/>
      <c r="R188" s="1238"/>
      <c r="S188" s="1238"/>
      <c r="T188" s="1238"/>
      <c r="U188" s="1238"/>
      <c r="V188" s="1238"/>
      <c r="W188" s="1238"/>
      <c r="X188" s="1238"/>
      <c r="Y188" s="215"/>
      <c r="Z188" s="215"/>
      <c r="AA188" s="215"/>
      <c r="AB188" s="566"/>
      <c r="AC188" s="167"/>
      <c r="AD188" s="167"/>
      <c r="AE188" s="1223"/>
      <c r="AF188" s="1223"/>
      <c r="AG188" s="1223"/>
      <c r="AH188" s="1223"/>
      <c r="AI188" s="1223"/>
      <c r="AJ188" s="1223"/>
      <c r="AK188" s="1223"/>
      <c r="AL188" s="1223"/>
      <c r="AM188" s="1223"/>
      <c r="AN188" s="1223"/>
      <c r="AO188" s="1223"/>
      <c r="AP188" s="1223"/>
      <c r="AQ188" s="1223"/>
      <c r="AR188" s="1223"/>
      <c r="AS188" s="1223"/>
      <c r="AT188" s="1223"/>
      <c r="AU188" s="168"/>
      <c r="AV188" s="168"/>
      <c r="AW188" s="1235"/>
      <c r="AX188" s="1235"/>
      <c r="AY188" s="1235"/>
      <c r="AZ188" s="1235"/>
      <c r="BA188" s="1235"/>
      <c r="BB188" s="1235"/>
      <c r="BC188" s="1235"/>
      <c r="BD188" s="186"/>
      <c r="BE188"/>
      <c r="BF188"/>
      <c r="BG188"/>
      <c r="BH188"/>
      <c r="BI188" s="32"/>
      <c r="BJ188" s="31"/>
    </row>
    <row r="189" spans="1:62" ht="21" customHeight="1">
      <c r="A189" s="198" t="e">
        <f>IF(COUNTIF(G48,"n.b.")+COUNTIF(M48,"n.b.")+COUNTIF(M48,"n.b.")+COUNTIF(Q48,"n.b.")+COUNTIF(W48,"n.b.")+COUNTIF(AB48,"n.b.")+COUNTIF(AG48,"n.b.")+COUNTIF(BD48,"n.b.")=7,"n.b.",IF(MIN(G48,M48,Q48,W48,AB48,AG48,BD48)&lt;70%,"C",IF(MIN(G48,M48,Q48,W48,AB48,AG48,BD48)&lt;80%,"B","A")))</f>
        <v>#REF!</v>
      </c>
      <c r="B189" s="33"/>
      <c r="C189" s="210"/>
      <c r="D189" s="1236"/>
      <c r="E189" s="1236"/>
      <c r="F189" s="1236"/>
      <c r="G189" s="1236"/>
      <c r="H189" s="1236"/>
      <c r="I189" s="1237"/>
      <c r="J189" s="1237"/>
      <c r="K189" s="1237"/>
      <c r="L189" s="1237"/>
      <c r="M189" s="1237"/>
      <c r="N189" s="1237"/>
      <c r="O189" s="1237"/>
      <c r="P189" s="1237"/>
      <c r="Q189" s="1237"/>
      <c r="R189" s="1237"/>
      <c r="S189" s="1237"/>
      <c r="T189" s="1237"/>
      <c r="U189" s="1237"/>
      <c r="V189" s="1237"/>
      <c r="W189" s="1237"/>
      <c r="X189" s="1237"/>
      <c r="Y189" s="216"/>
      <c r="Z189" s="216"/>
      <c r="AA189" s="216"/>
      <c r="AB189" s="567"/>
      <c r="AC189" s="169"/>
      <c r="AD189" s="169"/>
      <c r="AE189" s="1223"/>
      <c r="AF189" s="1223"/>
      <c r="AG189" s="1223"/>
      <c r="AH189" s="1223"/>
      <c r="AI189" s="1223"/>
      <c r="AJ189" s="1223"/>
      <c r="AK189" s="1223"/>
      <c r="AL189" s="1223"/>
      <c r="AM189" s="1223"/>
      <c r="AN189" s="1223"/>
      <c r="AO189" s="1223"/>
      <c r="AP189" s="1223"/>
      <c r="AQ189" s="1223"/>
      <c r="AR189" s="1223"/>
      <c r="AS189" s="1223"/>
      <c r="AT189" s="1223"/>
      <c r="AW189" s="1235"/>
      <c r="AX189" s="1235"/>
      <c r="AY189" s="1235"/>
      <c r="AZ189" s="1235"/>
      <c r="BA189" s="1235"/>
      <c r="BB189" s="1235"/>
      <c r="BC189" s="1235"/>
      <c r="BD189" s="186"/>
      <c r="BE189"/>
      <c r="BF189"/>
      <c r="BG189"/>
      <c r="BH189"/>
      <c r="BI189" s="36"/>
      <c r="BJ189"/>
    </row>
    <row r="190" spans="1:62" ht="5.0999999999999996" customHeight="1">
      <c r="B190" s="33"/>
      <c r="C190" s="210"/>
      <c r="D190" s="210"/>
      <c r="E190" s="210"/>
      <c r="F190" s="210"/>
      <c r="G190" s="210"/>
      <c r="H190" s="210"/>
      <c r="I190" s="210"/>
      <c r="J190" s="210"/>
      <c r="K190" s="210"/>
      <c r="L190" s="210"/>
      <c r="M190" s="210"/>
      <c r="N190" s="210"/>
      <c r="O190" s="210"/>
      <c r="P190" s="210"/>
      <c r="Q190" s="210"/>
      <c r="R190" s="210"/>
      <c r="S190" s="210"/>
      <c r="T190" s="210"/>
      <c r="U190" s="210"/>
      <c r="V190" s="210"/>
      <c r="W190" s="210"/>
      <c r="X190" s="210"/>
      <c r="Y190" s="210"/>
      <c r="Z190" s="210"/>
      <c r="AA190" s="210"/>
      <c r="AB190" s="210"/>
      <c r="AC190"/>
      <c r="AD190"/>
      <c r="AE190" s="1223"/>
      <c r="AF190" s="1223"/>
      <c r="AG190" s="1223"/>
      <c r="AH190" s="1223"/>
      <c r="AI190" s="1223"/>
      <c r="AJ190" s="1223"/>
      <c r="AK190" s="1223"/>
      <c r="AL190" s="1223"/>
      <c r="AM190" s="1223"/>
      <c r="AN190" s="1223"/>
      <c r="AO190" s="1223"/>
      <c r="AP190" s="1223"/>
      <c r="AQ190" s="1223"/>
      <c r="AR190" s="1223"/>
      <c r="AS190" s="1223"/>
      <c r="AT190" s="1223"/>
      <c r="AU190"/>
      <c r="AV190"/>
      <c r="AW190" s="1235"/>
      <c r="AX190" s="1235"/>
      <c r="AY190" s="1235"/>
      <c r="AZ190" s="1235"/>
      <c r="BA190" s="1235"/>
      <c r="BB190" s="1235"/>
      <c r="BC190" s="1235"/>
      <c r="BD190" s="186"/>
      <c r="BE190"/>
      <c r="BF190"/>
      <c r="BG190"/>
      <c r="BH190"/>
      <c r="BI190" s="36"/>
      <c r="BJ190"/>
    </row>
    <row r="191" spans="1:62" ht="13.5" customHeight="1">
      <c r="B191" s="33"/>
      <c r="C191" s="210"/>
      <c r="D191" s="217"/>
      <c r="E191" s="210"/>
      <c r="F191" s="210"/>
      <c r="G191" s="210"/>
      <c r="H191" s="210"/>
      <c r="I191" s="210"/>
      <c r="J191" s="1260"/>
      <c r="K191" s="1260"/>
      <c r="L191" s="210"/>
      <c r="M191" s="210"/>
      <c r="N191" s="1260"/>
      <c r="O191" s="1260"/>
      <c r="P191" s="210"/>
      <c r="Q191" s="210"/>
      <c r="R191" s="1260"/>
      <c r="S191" s="1260"/>
      <c r="T191" s="210"/>
      <c r="U191" s="210"/>
      <c r="V191" s="1260"/>
      <c r="W191" s="1260"/>
      <c r="X191" s="209"/>
      <c r="Y191" s="1260"/>
      <c r="Z191" s="1260"/>
      <c r="AA191" s="209"/>
      <c r="AB191" s="209"/>
      <c r="AC191" s="171"/>
      <c r="AD191" s="171"/>
      <c r="AE191" s="209"/>
      <c r="AF191" s="210"/>
      <c r="AG191" s="210"/>
      <c r="AH191" s="211"/>
      <c r="AI191" s="211"/>
      <c r="AJ191" s="211"/>
      <c r="AK191" s="211"/>
      <c r="AL191" s="211"/>
      <c r="AM191" s="210"/>
      <c r="AN191" s="210"/>
      <c r="AO191" s="210"/>
      <c r="AP191" s="210"/>
      <c r="AQ191" s="210"/>
      <c r="AR191" s="212"/>
      <c r="AS191" s="212"/>
      <c r="AT191" s="210"/>
      <c r="AU191"/>
      <c r="AV191"/>
      <c r="AW191"/>
      <c r="AX191"/>
      <c r="AY191"/>
      <c r="AZ191"/>
      <c r="BA191"/>
      <c r="BB191"/>
      <c r="BC191"/>
      <c r="BD191"/>
      <c r="BE191" s="208"/>
      <c r="BF191"/>
      <c r="BG191"/>
      <c r="BH191"/>
      <c r="BI191" s="36"/>
      <c r="BJ191"/>
    </row>
    <row r="192" spans="1:62" ht="21" customHeight="1">
      <c r="A192" s="197" t="s">
        <v>209</v>
      </c>
      <c r="B192" s="33"/>
      <c r="C192"/>
      <c r="D192"/>
      <c r="E192"/>
      <c r="F192"/>
      <c r="G192"/>
      <c r="H192"/>
      <c r="I192"/>
      <c r="J192"/>
      <c r="K192"/>
      <c r="L192"/>
      <c r="M192"/>
      <c r="N192"/>
      <c r="O192"/>
      <c r="P192"/>
      <c r="Q192"/>
      <c r="R192"/>
      <c r="S192"/>
      <c r="T192"/>
      <c r="U192"/>
      <c r="V192"/>
      <c r="W192"/>
      <c r="X192"/>
      <c r="Y192"/>
      <c r="Z192"/>
      <c r="AA192"/>
      <c r="AB192"/>
      <c r="AC192"/>
      <c r="AD192"/>
      <c r="AE192" s="1239"/>
      <c r="AF192" s="1240"/>
      <c r="AG192" s="1240"/>
      <c r="AH192" s="1240"/>
      <c r="AI192" s="1239"/>
      <c r="AJ192" s="1239"/>
      <c r="AK192" s="1239"/>
      <c r="AL192" s="1239"/>
      <c r="AM192" s="1239"/>
      <c r="AN192" s="1239"/>
      <c r="AO192" s="1239"/>
      <c r="AP192" s="1239"/>
      <c r="AQ192" s="1239"/>
      <c r="AR192"/>
      <c r="AS192"/>
      <c r="AT192"/>
      <c r="AU192"/>
      <c r="AV192"/>
      <c r="AW192"/>
      <c r="AX192"/>
      <c r="AY192"/>
      <c r="AZ192"/>
      <c r="BA192"/>
      <c r="BB192"/>
      <c r="BC192"/>
      <c r="BD192"/>
      <c r="BE192"/>
      <c r="BF192"/>
      <c r="BG192"/>
      <c r="BH192"/>
      <c r="BI192"/>
      <c r="BJ192"/>
    </row>
    <row r="193" spans="1:62" ht="15.2" customHeight="1" thickBot="1">
      <c r="A193" s="198" t="str">
        <f>IF(MIN(AT36:AT40)&lt;70%,"C",IF(MIN(AT36:AT40)&lt;80%,"B","A"))</f>
        <v>C</v>
      </c>
      <c r="B193" s="33"/>
      <c r="D193"/>
      <c r="E193"/>
      <c r="F193"/>
      <c r="G193"/>
      <c r="H193"/>
      <c r="I193"/>
      <c r="J193"/>
      <c r="K193"/>
      <c r="L193"/>
      <c r="M193"/>
      <c r="N193"/>
      <c r="O193"/>
      <c r="P193"/>
      <c r="Q193"/>
      <c r="R193"/>
      <c r="S193"/>
      <c r="T193"/>
      <c r="U193"/>
      <c r="V193" s="3"/>
      <c r="W193"/>
      <c r="X193"/>
      <c r="Y193" s="3" t="s">
        <v>77</v>
      </c>
      <c r="Z193"/>
      <c r="AB193" s="179" t="s">
        <v>97</v>
      </c>
      <c r="AC193"/>
      <c r="AD193"/>
      <c r="AE193" s="1240"/>
      <c r="AF193" s="1240"/>
      <c r="AG193" s="1240"/>
      <c r="AH193" s="1240"/>
      <c r="AI193" s="1240"/>
      <c r="AJ193" s="1240"/>
      <c r="AK193" s="1240"/>
      <c r="AL193" s="1240"/>
      <c r="AM193" s="1240"/>
      <c r="AN193" s="1240"/>
      <c r="AO193" s="1240"/>
      <c r="AP193" s="1240"/>
      <c r="AQ193" s="1240"/>
      <c r="AR193"/>
      <c r="AS193"/>
      <c r="AT193"/>
      <c r="AU193"/>
      <c r="AV193"/>
      <c r="AW193"/>
      <c r="AX193"/>
      <c r="AY193"/>
      <c r="AZ193"/>
      <c r="BA193"/>
      <c r="BB193"/>
      <c r="BC193"/>
      <c r="BD193"/>
      <c r="BE193"/>
      <c r="BF193"/>
      <c r="BG193"/>
      <c r="BH193"/>
      <c r="BI193"/>
      <c r="BJ193"/>
    </row>
    <row r="194" spans="1:62" ht="15" customHeight="1">
      <c r="B194" s="33"/>
      <c r="C194"/>
      <c r="D194"/>
      <c r="E194"/>
      <c r="F194"/>
      <c r="G194"/>
      <c r="H194"/>
      <c r="I194"/>
      <c r="J194"/>
      <c r="K194"/>
      <c r="L194"/>
      <c r="M194"/>
      <c r="N194"/>
      <c r="O194"/>
      <c r="P194"/>
      <c r="Q194"/>
      <c r="R194"/>
      <c r="S194"/>
      <c r="T194"/>
      <c r="U194"/>
      <c r="V194" s="1241" t="s">
        <v>104</v>
      </c>
      <c r="W194" s="1242"/>
      <c r="X194" s="1243"/>
      <c r="Y194" s="1247" t="str">
        <f>IF(ISERROR(AVERAGE(epm,epp,epr)),"n.b.",ROUND(AVERAGE(D8:J8,D14:H14,O14:S14,D22:K22,Q22:X22)/10,2))</f>
        <v>n.b.</v>
      </c>
      <c r="Z194" s="1248"/>
      <c r="AA194" s="1249"/>
      <c r="AB194" s="1253" t="str">
        <f>+L162</f>
        <v>n.b.</v>
      </c>
      <c r="AC194" s="1254"/>
      <c r="AD194"/>
      <c r="AE194" s="1257"/>
      <c r="AF194" s="1258"/>
      <c r="AG194" s="1258"/>
      <c r="AH194" s="1258"/>
      <c r="AI194" s="1228"/>
      <c r="AJ194" s="1228"/>
      <c r="AK194" s="1228"/>
      <c r="AL194" s="1228"/>
      <c r="AM194" s="1228"/>
      <c r="AN194" s="1228"/>
      <c r="AO194" s="1228"/>
      <c r="AP194" s="1228"/>
      <c r="AQ194" s="1259"/>
      <c r="AR194"/>
      <c r="AS194"/>
      <c r="AT194"/>
      <c r="AU194"/>
      <c r="AV194"/>
      <c r="AW194"/>
      <c r="AX194"/>
      <c r="AY194"/>
      <c r="AZ194"/>
      <c r="BA194"/>
      <c r="BB194"/>
      <c r="BC194"/>
      <c r="BD194"/>
      <c r="BE194"/>
      <c r="BF194"/>
      <c r="BG194"/>
      <c r="BH194"/>
      <c r="BI194"/>
      <c r="BJ194"/>
    </row>
    <row r="195" spans="1:62" ht="19.5" customHeight="1" thickBot="1">
      <c r="B195" s="33"/>
      <c r="C195"/>
      <c r="D195"/>
      <c r="E195"/>
      <c r="F195" s="55"/>
      <c r="G195"/>
      <c r="I195"/>
      <c r="J195" s="187"/>
      <c r="K195" s="166"/>
      <c r="L195"/>
      <c r="M195"/>
      <c r="N195"/>
      <c r="O195"/>
      <c r="P195"/>
      <c r="Q195"/>
      <c r="R195"/>
      <c r="S195"/>
      <c r="T195"/>
      <c r="U195"/>
      <c r="V195" s="1244"/>
      <c r="W195" s="1245"/>
      <c r="X195" s="1246"/>
      <c r="Y195" s="1250"/>
      <c r="Z195" s="1251"/>
      <c r="AA195" s="1252"/>
      <c r="AB195" s="1255"/>
      <c r="AC195" s="1256"/>
      <c r="AD195"/>
      <c r="AE195" s="1257"/>
      <c r="AF195" s="1258"/>
      <c r="AG195" s="1258"/>
      <c r="AH195" s="1258"/>
      <c r="AI195" s="1228"/>
      <c r="AJ195" s="1228"/>
      <c r="AK195" s="1228"/>
      <c r="AL195" s="1228"/>
      <c r="AM195" s="1228"/>
      <c r="AN195" s="1228"/>
      <c r="AO195" s="1228"/>
      <c r="AP195" s="1228"/>
      <c r="AQ195" s="1259"/>
      <c r="AR195"/>
      <c r="AS195"/>
      <c r="AT195"/>
      <c r="AU195"/>
      <c r="AV195"/>
      <c r="AW195"/>
      <c r="AX195"/>
      <c r="AY195"/>
      <c r="AZ195"/>
      <c r="BA195"/>
      <c r="BB195"/>
      <c r="BC195"/>
      <c r="BD195"/>
      <c r="BE195"/>
      <c r="BF195"/>
      <c r="BG195"/>
      <c r="BH195"/>
      <c r="BI195"/>
      <c r="BJ195"/>
    </row>
    <row r="196" spans="1:62" ht="15" customHeight="1" thickBot="1">
      <c r="B196" s="33"/>
      <c r="C196"/>
      <c r="D196"/>
      <c r="E196"/>
      <c r="F196"/>
      <c r="G196"/>
      <c r="H196"/>
      <c r="I196"/>
      <c r="J196"/>
      <c r="K196" s="166"/>
      <c r="L196"/>
      <c r="M196"/>
      <c r="N196"/>
      <c r="O196"/>
      <c r="P196"/>
      <c r="Q196"/>
      <c r="R196"/>
      <c r="S196"/>
      <c r="T196"/>
      <c r="U196"/>
      <c r="V196"/>
      <c r="W196"/>
      <c r="X196"/>
      <c r="Y196" s="208"/>
      <c r="Z196"/>
      <c r="AA196"/>
      <c r="AB196"/>
      <c r="AC196"/>
      <c r="AD196"/>
      <c r="AE196" s="1257"/>
      <c r="AF196" s="1258"/>
      <c r="AG196" s="1258"/>
      <c r="AH196" s="1258"/>
      <c r="AI196" s="1228"/>
      <c r="AJ196" s="1228"/>
      <c r="AK196" s="1228"/>
      <c r="AL196" s="1228"/>
      <c r="AM196" s="1228"/>
      <c r="AN196" s="1228"/>
      <c r="AO196" s="1228"/>
      <c r="AP196" s="1228"/>
      <c r="AQ196" s="1259"/>
      <c r="AR196"/>
      <c r="AS196"/>
      <c r="AT196"/>
      <c r="AU196"/>
      <c r="AV196"/>
      <c r="AW196"/>
      <c r="AX196"/>
      <c r="AY196"/>
      <c r="AZ196"/>
      <c r="BA196"/>
      <c r="BB196"/>
      <c r="BC196"/>
      <c r="BD196"/>
      <c r="BE196"/>
      <c r="BF196"/>
      <c r="BG196"/>
      <c r="BH196"/>
      <c r="BI196"/>
      <c r="BJ196"/>
    </row>
    <row r="197" spans="1:62" ht="19.5" customHeight="1">
      <c r="B197" s="33"/>
      <c r="C197"/>
      <c r="D197"/>
      <c r="E197"/>
      <c r="F197" s="55"/>
      <c r="G197"/>
      <c r="H197"/>
      <c r="I197"/>
      <c r="J197" s="187"/>
      <c r="K197" s="166"/>
      <c r="L197"/>
      <c r="M197"/>
      <c r="N197"/>
      <c r="O197"/>
      <c r="P197"/>
      <c r="Q197"/>
      <c r="R197"/>
      <c r="S197"/>
      <c r="T197"/>
      <c r="U197"/>
      <c r="V197" s="1241" t="s">
        <v>105</v>
      </c>
      <c r="W197" s="1242"/>
      <c r="X197" s="1243"/>
      <c r="Y197" s="1247" t="str">
        <f>IF(ISERROR(AVERAGE(ez,epg,ek)),"n.b.",ROUND(AVERAGE(L29:R29,D36:AH40,U52:Y52)/10,2))</f>
        <v>n.b.</v>
      </c>
      <c r="Z197" s="1248"/>
      <c r="AA197" s="1249"/>
      <c r="AB197" s="1253" t="str">
        <f>+L168</f>
        <v>n.b.</v>
      </c>
      <c r="AC197" s="1254"/>
      <c r="AD197"/>
      <c r="AE197" s="1257"/>
      <c r="AF197" s="1258"/>
      <c r="AG197" s="1258"/>
      <c r="AH197" s="1258"/>
      <c r="AI197" s="1228"/>
      <c r="AJ197" s="1228"/>
      <c r="AK197" s="1228"/>
      <c r="AL197" s="1228"/>
      <c r="AM197" s="1228"/>
      <c r="AN197" s="1228"/>
      <c r="AO197" s="1228"/>
      <c r="AP197" s="1228"/>
      <c r="AQ197" s="1259"/>
      <c r="AR197"/>
      <c r="AS197"/>
      <c r="AT197"/>
      <c r="AU197"/>
      <c r="AV197"/>
      <c r="AW197"/>
      <c r="AX197"/>
      <c r="AY197"/>
      <c r="AZ197"/>
      <c r="BA197"/>
      <c r="BB197"/>
      <c r="BC197"/>
      <c r="BD197"/>
      <c r="BE197"/>
      <c r="BF197"/>
      <c r="BG197"/>
      <c r="BH197"/>
      <c r="BI197"/>
      <c r="BJ197"/>
    </row>
    <row r="198" spans="1:62" ht="15" customHeight="1" thickBot="1">
      <c r="B198" s="33"/>
      <c r="C198" s="22"/>
      <c r="D198" s="22"/>
      <c r="E198" s="22"/>
      <c r="F198" s="22"/>
      <c r="G198" s="22"/>
      <c r="H198" s="22"/>
      <c r="I198" s="22"/>
      <c r="J198" s="22"/>
      <c r="K198" s="22"/>
      <c r="L198" s="22"/>
      <c r="M198" s="22"/>
      <c r="N198" s="22"/>
      <c r="O198" s="25"/>
      <c r="P198" s="22"/>
      <c r="Q198" s="22"/>
      <c r="R198" s="22"/>
      <c r="S198" s="22"/>
      <c r="T198" s="22"/>
      <c r="U198" s="22"/>
      <c r="V198" s="1244"/>
      <c r="W198" s="1245"/>
      <c r="X198" s="1246"/>
      <c r="Y198" s="1250"/>
      <c r="Z198" s="1251"/>
      <c r="AA198" s="1252"/>
      <c r="AB198" s="1255"/>
      <c r="AC198" s="1256"/>
      <c r="AD198" s="22"/>
      <c r="AE198" s="1261"/>
      <c r="AF198" s="1259"/>
      <c r="AG198" s="1259"/>
      <c r="AH198" s="1259"/>
      <c r="AI198" s="1228"/>
      <c r="AJ198" s="1228"/>
      <c r="AK198" s="1228"/>
      <c r="AL198" s="1228"/>
      <c r="AM198" s="1228"/>
      <c r="AN198" s="1228"/>
      <c r="AO198" s="1228"/>
      <c r="AP198" s="1228"/>
      <c r="AQ198" s="1259"/>
      <c r="AR198"/>
      <c r="AS198"/>
      <c r="AT198"/>
      <c r="AU198"/>
      <c r="AV198"/>
      <c r="AW198"/>
      <c r="AX198"/>
      <c r="AY198"/>
      <c r="AZ198"/>
      <c r="BA198"/>
      <c r="BB198"/>
      <c r="BC198"/>
      <c r="BD198"/>
      <c r="BE198"/>
      <c r="BF198"/>
      <c r="BG198"/>
      <c r="BH198"/>
      <c r="BI198"/>
      <c r="BJ198" s="22"/>
    </row>
    <row r="199" spans="1:62" ht="7.5" customHeight="1">
      <c r="B199" s="33"/>
      <c r="C199" s="22"/>
      <c r="D199" s="22"/>
      <c r="E199" s="22"/>
      <c r="F199" s="22"/>
      <c r="G199" s="22"/>
      <c r="H199" s="22"/>
      <c r="I199" s="22"/>
      <c r="J199" s="22"/>
      <c r="K199" s="22"/>
      <c r="L199" s="22"/>
      <c r="M199" s="22"/>
      <c r="N199" s="22"/>
      <c r="O199" s="25"/>
      <c r="P199" s="22"/>
      <c r="Q199" s="22"/>
      <c r="R199" s="22"/>
      <c r="S199" s="22"/>
      <c r="T199" s="22"/>
      <c r="U199" s="22"/>
      <c r="V199" s="756"/>
      <c r="W199" s="756"/>
      <c r="X199" s="756"/>
      <c r="Y199" s="208"/>
      <c r="Z199" s="174"/>
      <c r="AA199" s="174"/>
      <c r="AB199" s="22"/>
      <c r="AC199" s="22"/>
      <c r="AD199" s="22"/>
      <c r="AE199" s="170"/>
      <c r="AF199" s="31"/>
      <c r="AG199" s="31"/>
      <c r="AH199" s="31"/>
      <c r="AI199" s="175"/>
      <c r="AJ199" s="175"/>
      <c r="AK199" s="175"/>
      <c r="AL199" s="175"/>
      <c r="AM199" s="175"/>
      <c r="AN199" s="175"/>
      <c r="AO199" s="175"/>
      <c r="AP199" s="175"/>
      <c r="AQ199" s="31"/>
      <c r="AR199" s="174"/>
      <c r="AS199" s="174"/>
      <c r="AT199" s="756"/>
      <c r="AX199" s="172"/>
      <c r="AY199" s="172"/>
      <c r="BF199" s="172"/>
      <c r="BG199" s="172"/>
      <c r="BH199" s="172"/>
      <c r="BI199" s="173"/>
      <c r="BJ199" s="22"/>
    </row>
    <row r="200" spans="1:62" ht="15" customHeight="1">
      <c r="B200" s="33"/>
      <c r="C200" s="478" t="s">
        <v>449</v>
      </c>
      <c r="D200"/>
      <c r="E200"/>
      <c r="F200"/>
      <c r="G200"/>
      <c r="H200"/>
      <c r="I200" s="22"/>
      <c r="J200"/>
      <c r="K200"/>
      <c r="L200"/>
      <c r="M200"/>
      <c r="N200" s="210"/>
      <c r="O200" s="275"/>
      <c r="P200" s="274"/>
      <c r="Q200" s="210"/>
      <c r="R200" s="210"/>
      <c r="S200" s="218"/>
      <c r="T200" s="218"/>
      <c r="U200" s="210"/>
      <c r="V200" s="210"/>
      <c r="W200" s="210"/>
      <c r="X200" s="210"/>
      <c r="Y200" s="210"/>
      <c r="Z200" s="210"/>
      <c r="AA200"/>
      <c r="AB200"/>
      <c r="AC200"/>
      <c r="AD200"/>
      <c r="AH200" s="23" t="s">
        <v>274</v>
      </c>
      <c r="AX200" s="172"/>
      <c r="AY200" s="172"/>
      <c r="AZ200" s="172"/>
      <c r="BA200" s="172"/>
      <c r="BB200" s="172"/>
      <c r="BC200" s="172"/>
      <c r="BD200" s="172"/>
      <c r="BE200" s="172"/>
      <c r="BF200" s="172"/>
      <c r="BG200" s="172"/>
      <c r="BH200" s="172"/>
      <c r="BI200" s="36"/>
      <c r="BJ200"/>
    </row>
    <row r="201" spans="1:62" ht="7.15" customHeight="1" thickBot="1">
      <c r="B201" s="79"/>
      <c r="C201" s="80"/>
      <c r="D201" s="81"/>
      <c r="E201" s="81"/>
      <c r="F201" s="81"/>
      <c r="G201" s="81"/>
      <c r="H201" s="81"/>
      <c r="I201" s="81"/>
      <c r="J201" s="81"/>
      <c r="K201" s="81"/>
      <c r="L201" s="81"/>
      <c r="M201" s="81"/>
      <c r="N201" s="81"/>
      <c r="O201" s="81"/>
      <c r="P201" s="81"/>
      <c r="Q201" s="81"/>
      <c r="R201" s="81"/>
      <c r="S201" s="81"/>
      <c r="T201" s="81"/>
      <c r="U201" s="81"/>
      <c r="V201" s="81"/>
      <c r="W201" s="81"/>
      <c r="X201" s="81"/>
      <c r="Y201" s="81"/>
      <c r="Z201" s="81"/>
      <c r="AA201" s="81"/>
      <c r="AB201" s="81"/>
      <c r="AC201" s="81"/>
      <c r="AD201" s="81"/>
      <c r="AE201" s="81"/>
      <c r="AF201" s="81"/>
      <c r="AG201" s="81"/>
      <c r="AH201" s="81"/>
      <c r="AI201" s="81"/>
      <c r="AJ201" s="81"/>
      <c r="AK201" s="81"/>
      <c r="AL201" s="81"/>
      <c r="AM201" s="81"/>
      <c r="AN201" s="81"/>
      <c r="AO201" s="81"/>
      <c r="AP201" s="81"/>
      <c r="AQ201" s="81"/>
      <c r="AR201" s="81"/>
      <c r="AS201" s="81"/>
      <c r="AT201" s="81"/>
      <c r="AU201" s="81"/>
      <c r="AV201" s="81"/>
      <c r="AW201" s="81"/>
      <c r="AX201" s="81"/>
      <c r="AY201" s="81"/>
      <c r="AZ201" s="81"/>
      <c r="BA201" s="81"/>
      <c r="BB201" s="81"/>
      <c r="BC201" s="81"/>
      <c r="BD201" s="81"/>
      <c r="BE201" s="81"/>
      <c r="BF201" s="81"/>
      <c r="BG201" s="81"/>
      <c r="BH201" s="81"/>
      <c r="BI201" s="82"/>
      <c r="BJ201"/>
    </row>
    <row r="202" spans="1:62">
      <c r="K202" s="193"/>
      <c r="L202" s="158"/>
    </row>
    <row r="212" spans="11:12">
      <c r="K212" s="193"/>
      <c r="L212" s="158"/>
    </row>
    <row r="213" spans="11:12">
      <c r="L213" s="158"/>
    </row>
    <row r="224" spans="11:12">
      <c r="K224" s="193"/>
      <c r="L224" s="158"/>
    </row>
    <row r="225" spans="11:12">
      <c r="L225" s="158"/>
    </row>
    <row r="236" spans="11:12">
      <c r="K236" s="193"/>
      <c r="L236" s="158"/>
    </row>
    <row r="237" spans="11:12">
      <c r="L237" s="158"/>
    </row>
  </sheetData>
  <sheetProtection formatColumns="0" formatRows="0" selectLockedCells="1" selectUnlockedCells="1"/>
  <mergeCells count="105">
    <mergeCell ref="AE196:AH196"/>
    <mergeCell ref="AI196:AQ196"/>
    <mergeCell ref="V197:X198"/>
    <mergeCell ref="Y197:AA198"/>
    <mergeCell ref="AB197:AC198"/>
    <mergeCell ref="AE197:AH197"/>
    <mergeCell ref="AI197:AQ197"/>
    <mergeCell ref="AE198:AH198"/>
    <mergeCell ref="AI198:AQ198"/>
    <mergeCell ref="AI192:AQ193"/>
    <mergeCell ref="V194:X195"/>
    <mergeCell ref="Y194:AA195"/>
    <mergeCell ref="AB194:AC195"/>
    <mergeCell ref="AE194:AH194"/>
    <mergeCell ref="AI194:AQ194"/>
    <mergeCell ref="AE195:AH195"/>
    <mergeCell ref="AI195:AQ195"/>
    <mergeCell ref="J191:K191"/>
    <mergeCell ref="N191:O191"/>
    <mergeCell ref="R191:S191"/>
    <mergeCell ref="V191:W191"/>
    <mergeCell ref="Y191:Z191"/>
    <mergeCell ref="AE192:AH193"/>
    <mergeCell ref="AW188:BC190"/>
    <mergeCell ref="D189:H189"/>
    <mergeCell ref="I189:L189"/>
    <mergeCell ref="M189:P189"/>
    <mergeCell ref="Q189:T189"/>
    <mergeCell ref="U189:X189"/>
    <mergeCell ref="D188:H188"/>
    <mergeCell ref="I188:L188"/>
    <mergeCell ref="M188:P188"/>
    <mergeCell ref="Q188:T188"/>
    <mergeCell ref="U188:X188"/>
    <mergeCell ref="AE188:AT190"/>
    <mergeCell ref="U91:AV92"/>
    <mergeCell ref="AW91:BI92"/>
    <mergeCell ref="U93:AV94"/>
    <mergeCell ref="AW93:BI94"/>
    <mergeCell ref="U96:AV96"/>
    <mergeCell ref="AW96:BI96"/>
    <mergeCell ref="W85:AV86"/>
    <mergeCell ref="AW85:BI86"/>
    <mergeCell ref="U87:AV88"/>
    <mergeCell ref="AW87:BI88"/>
    <mergeCell ref="U89:AV90"/>
    <mergeCell ref="AW89:BI90"/>
    <mergeCell ref="W80:AV81"/>
    <mergeCell ref="AW80:BI81"/>
    <mergeCell ref="W82:AV82"/>
    <mergeCell ref="AW82:BI82"/>
    <mergeCell ref="W83:AV84"/>
    <mergeCell ref="AW83:BI84"/>
    <mergeCell ref="AI67:AQ67"/>
    <mergeCell ref="AW72:BI73"/>
    <mergeCell ref="AW74:BI75"/>
    <mergeCell ref="AW76:BI77"/>
    <mergeCell ref="W78:AV79"/>
    <mergeCell ref="AW78:BI79"/>
    <mergeCell ref="M57:P57"/>
    <mergeCell ref="D58:H58"/>
    <mergeCell ref="I58:L58"/>
    <mergeCell ref="M58:P58"/>
    <mergeCell ref="BB61:BD61"/>
    <mergeCell ref="BE61:BF61"/>
    <mergeCell ref="BB62:BD64"/>
    <mergeCell ref="BE62:BF64"/>
    <mergeCell ref="AL61:AX62"/>
    <mergeCell ref="AY61:AZ62"/>
    <mergeCell ref="AL64:AX65"/>
    <mergeCell ref="AY64:AZ65"/>
    <mergeCell ref="AN57:AT57"/>
    <mergeCell ref="AS45:AT45"/>
    <mergeCell ref="G48:H48"/>
    <mergeCell ref="M48:N48"/>
    <mergeCell ref="Q48:R48"/>
    <mergeCell ref="W48:X48"/>
    <mergeCell ref="AB48:AC48"/>
    <mergeCell ref="AG48:AH48"/>
    <mergeCell ref="BD48:BE48"/>
    <mergeCell ref="AS52:AT52"/>
    <mergeCell ref="AS36:AT36"/>
    <mergeCell ref="AS38:AT38"/>
    <mergeCell ref="AS40:AT40"/>
    <mergeCell ref="AQ29:AR29"/>
    <mergeCell ref="AS29:AT29"/>
    <mergeCell ref="J33:O33"/>
    <mergeCell ref="P33:R33"/>
    <mergeCell ref="T33:X33"/>
    <mergeCell ref="Z33:AC33"/>
    <mergeCell ref="AE33:AH33"/>
    <mergeCell ref="AQ33:AT33"/>
    <mergeCell ref="L16:M16"/>
    <mergeCell ref="W16:X16"/>
    <mergeCell ref="AQ22:AR22"/>
    <mergeCell ref="AS22:AT22"/>
    <mergeCell ref="O24:P24"/>
    <mergeCell ref="AB24:AC24"/>
    <mergeCell ref="B1:H2"/>
    <mergeCell ref="I1:BC2"/>
    <mergeCell ref="BF1:BI1"/>
    <mergeCell ref="AQ8:AR8"/>
    <mergeCell ref="AS8:AT8"/>
    <mergeCell ref="AQ14:AR14"/>
    <mergeCell ref="AS14:AT14"/>
  </mergeCells>
  <conditionalFormatting sqref="L164:L168 L158:L162 L149:L155">
    <cfRule type="cellIs" dxfId="44" priority="4" stopIfTrue="1" operator="equal">
      <formula>"A"</formula>
    </cfRule>
    <cfRule type="cellIs" dxfId="43" priority="5" stopIfTrue="1" operator="equal">
      <formula>"B"</formula>
    </cfRule>
    <cfRule type="cellIs" dxfId="42" priority="6" stopIfTrue="1" operator="equal">
      <formula>"C"</formula>
    </cfRule>
  </conditionalFormatting>
  <conditionalFormatting sqref="D59:D65">
    <cfRule type="cellIs" dxfId="41" priority="1" stopIfTrue="1" operator="equal">
      <formula>"A"</formula>
    </cfRule>
    <cfRule type="cellIs" dxfId="40" priority="2" stopIfTrue="1" operator="equal">
      <formula>"B"</formula>
    </cfRule>
    <cfRule type="cellIs" dxfId="39" priority="3" stopIfTrue="1" operator="equal">
      <formula>"C"</formula>
    </cfRule>
  </conditionalFormatting>
  <pageMargins left="0.59055118110236227" right="0.39370078740157483" top="0.59055118110236227" bottom="0.39370078740157483" header="0.19685039370078741" footer="0.19685039370078741"/>
  <pageSetup paperSize="9" scale="40" orientation="landscape" r:id="rId1"/>
  <headerFooter scaleWithDoc="0">
    <oddFooter>Page &amp;P of &amp;N</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roGru2">
    <tabColor indexed="17"/>
    <pageSetUpPr fitToPage="1"/>
  </sheetPr>
  <dimension ref="A1:CB237"/>
  <sheetViews>
    <sheetView showGridLines="0" topLeftCell="B1" zoomScale="80" zoomScaleNormal="80" zoomScaleSheetLayoutView="100" workbookViewId="0">
      <selection activeCell="B1" sqref="B1:H2"/>
    </sheetView>
  </sheetViews>
  <sheetFormatPr baseColWidth="10" defaultColWidth="0" defaultRowHeight="14.25"/>
  <cols>
    <col min="1" max="1" width="10.140625" style="197" hidden="1" customWidth="1"/>
    <col min="2" max="2" width="10" style="23" customWidth="1"/>
    <col min="3" max="3" width="3.42578125" style="23" customWidth="1"/>
    <col min="4" max="27" width="5.7109375" style="23" customWidth="1"/>
    <col min="28" max="28" width="8.28515625" style="23" customWidth="1"/>
    <col min="29" max="41" width="5.7109375" style="23" customWidth="1"/>
    <col min="42" max="42" width="7.140625" style="23" customWidth="1"/>
    <col min="43" max="43" width="3" style="23" customWidth="1"/>
    <col min="44" max="44" width="4.5703125" style="23" customWidth="1"/>
    <col min="45" max="45" width="3.140625" style="23" customWidth="1"/>
    <col min="46" max="46" width="10.42578125" style="23" customWidth="1"/>
    <col min="47" max="47" width="5.5703125" style="23" customWidth="1"/>
    <col min="48" max="49" width="4.7109375" style="23" customWidth="1"/>
    <col min="50" max="57" width="5.42578125" style="23" customWidth="1"/>
    <col min="58" max="60" width="7.140625" style="23" customWidth="1"/>
    <col min="61" max="61" width="4.140625" style="23" customWidth="1"/>
    <col min="62" max="62" width="3" style="23" customWidth="1"/>
    <col min="63" max="63" width="11.42578125" style="23" hidden="1" customWidth="1"/>
    <col min="64" max="80" width="9.7109375" style="23" hidden="1" customWidth="1"/>
    <col min="81" max="16384" width="11.42578125" style="23" hidden="1"/>
  </cols>
  <sheetData>
    <row r="1" spans="1:80" ht="19.5" customHeight="1">
      <c r="B1" s="1181"/>
      <c r="C1" s="1182"/>
      <c r="D1" s="1182"/>
      <c r="E1" s="1182"/>
      <c r="F1" s="1182"/>
      <c r="G1" s="1182"/>
      <c r="H1" s="1183"/>
      <c r="I1" s="1187" t="e">
        <f>#REF!</f>
        <v>#REF!</v>
      </c>
      <c r="J1" s="1188"/>
      <c r="K1" s="1188"/>
      <c r="L1" s="1188"/>
      <c r="M1" s="1188"/>
      <c r="N1" s="1188"/>
      <c r="O1" s="1188"/>
      <c r="P1" s="1188"/>
      <c r="Q1" s="1188"/>
      <c r="R1" s="1188"/>
      <c r="S1" s="1188"/>
      <c r="T1" s="1188"/>
      <c r="U1" s="1188"/>
      <c r="V1" s="1188"/>
      <c r="W1" s="1188"/>
      <c r="X1" s="1188"/>
      <c r="Y1" s="1188"/>
      <c r="Z1" s="1188"/>
      <c r="AA1" s="1188"/>
      <c r="AB1" s="1188"/>
      <c r="AC1" s="1188"/>
      <c r="AD1" s="1188"/>
      <c r="AE1" s="1188"/>
      <c r="AF1" s="1188"/>
      <c r="AG1" s="1188"/>
      <c r="AH1" s="1188"/>
      <c r="AI1" s="1188"/>
      <c r="AJ1" s="1188"/>
      <c r="AK1" s="1188"/>
      <c r="AL1" s="1188"/>
      <c r="AM1" s="1188"/>
      <c r="AN1" s="1188"/>
      <c r="AO1" s="1188"/>
      <c r="AP1" s="1188"/>
      <c r="AQ1" s="1188"/>
      <c r="AR1" s="1188"/>
      <c r="AS1" s="1188"/>
      <c r="AT1" s="1188"/>
      <c r="AU1" s="1188"/>
      <c r="AV1" s="1188"/>
      <c r="AW1" s="1188"/>
      <c r="AX1" s="1188"/>
      <c r="AY1" s="1188"/>
      <c r="AZ1" s="1188"/>
      <c r="BA1" s="1188"/>
      <c r="BB1" s="1188"/>
      <c r="BC1" s="1189"/>
      <c r="BD1" s="320" t="e">
        <f>#REF!</f>
        <v>#REF!</v>
      </c>
      <c r="BE1" s="139"/>
      <c r="BF1" s="1193">
        <f>IF('Input Form'!C9="","",'Input Form'!C9)</f>
        <v>29885</v>
      </c>
      <c r="BG1" s="1193"/>
      <c r="BH1" s="1193"/>
      <c r="BI1" s="1194"/>
      <c r="BJ1" s="19"/>
    </row>
    <row r="2" spans="1:80" ht="11.25" customHeight="1" thickBot="1">
      <c r="B2" s="1184"/>
      <c r="C2" s="1185"/>
      <c r="D2" s="1185"/>
      <c r="E2" s="1185"/>
      <c r="F2" s="1185"/>
      <c r="G2" s="1185"/>
      <c r="H2" s="1186"/>
      <c r="I2" s="1190"/>
      <c r="J2" s="1191"/>
      <c r="K2" s="1191"/>
      <c r="L2" s="1191"/>
      <c r="M2" s="1191"/>
      <c r="N2" s="1191"/>
      <c r="O2" s="1191"/>
      <c r="P2" s="1191"/>
      <c r="Q2" s="1191"/>
      <c r="R2" s="1191"/>
      <c r="S2" s="1191"/>
      <c r="T2" s="1191"/>
      <c r="U2" s="1191"/>
      <c r="V2" s="1191"/>
      <c r="W2" s="1191"/>
      <c r="X2" s="1191"/>
      <c r="Y2" s="1191"/>
      <c r="Z2" s="1191"/>
      <c r="AA2" s="1191"/>
      <c r="AB2" s="1191"/>
      <c r="AC2" s="1191"/>
      <c r="AD2" s="1191"/>
      <c r="AE2" s="1191"/>
      <c r="AF2" s="1191"/>
      <c r="AG2" s="1191"/>
      <c r="AH2" s="1191"/>
      <c r="AI2" s="1191"/>
      <c r="AJ2" s="1191"/>
      <c r="AK2" s="1191"/>
      <c r="AL2" s="1191"/>
      <c r="AM2" s="1191"/>
      <c r="AN2" s="1191"/>
      <c r="AO2" s="1191"/>
      <c r="AP2" s="1191"/>
      <c r="AQ2" s="1191"/>
      <c r="AR2" s="1191"/>
      <c r="AS2" s="1191"/>
      <c r="AT2" s="1191"/>
      <c r="AU2" s="1191"/>
      <c r="AV2" s="1191"/>
      <c r="AW2" s="1191"/>
      <c r="AX2" s="1191"/>
      <c r="AY2" s="1191"/>
      <c r="AZ2" s="1191"/>
      <c r="BA2" s="1191"/>
      <c r="BB2" s="1191"/>
      <c r="BC2" s="1192"/>
      <c r="BD2" s="143"/>
      <c r="BE2" s="144"/>
      <c r="BF2" s="144"/>
      <c r="BG2" s="144"/>
      <c r="BH2" s="144"/>
      <c r="BI2" s="145"/>
      <c r="BJ2" s="19"/>
    </row>
    <row r="3" spans="1:80" ht="21.75" customHeight="1">
      <c r="A3" s="200" t="s">
        <v>208</v>
      </c>
      <c r="B3" s="33"/>
      <c r="C3" s="147" t="s">
        <v>24</v>
      </c>
      <c r="D3" s="22"/>
      <c r="E3" s="182" t="e">
        <f>#REF!</f>
        <v>#REF!</v>
      </c>
      <c r="F3" s="22"/>
      <c r="G3" s="22"/>
      <c r="H3" s="22"/>
      <c r="I3" s="22"/>
      <c r="J3" s="22"/>
      <c r="K3" s="22"/>
      <c r="L3" s="22"/>
      <c r="M3" s="22"/>
      <c r="N3" s="22"/>
      <c r="O3" s="25"/>
      <c r="P3" s="22"/>
      <c r="Q3" s="22"/>
      <c r="R3" s="22"/>
      <c r="S3" s="22"/>
      <c r="T3" s="22"/>
      <c r="U3" s="22"/>
      <c r="V3" s="22"/>
      <c r="W3" s="22"/>
      <c r="X3" s="22"/>
      <c r="Y3" s="22"/>
      <c r="Z3" s="22"/>
      <c r="AA3" s="22"/>
      <c r="AB3" s="22"/>
      <c r="AC3" s="22"/>
      <c r="AD3" s="22"/>
      <c r="AE3" s="22"/>
      <c r="AF3" s="22"/>
      <c r="AG3" s="22"/>
      <c r="AH3" s="22"/>
      <c r="AI3" s="22"/>
      <c r="AJ3" s="22"/>
      <c r="AK3" s="22"/>
      <c r="AL3" s="22"/>
      <c r="AM3" s="22"/>
      <c r="AN3" s="22"/>
      <c r="AO3" s="22"/>
      <c r="AP3" s="22"/>
      <c r="AQ3" s="22"/>
      <c r="AR3" s="22"/>
      <c r="AS3" s="22"/>
      <c r="AT3" s="22"/>
      <c r="AU3" s="22"/>
      <c r="AV3" s="22"/>
      <c r="AW3" s="22"/>
      <c r="AX3" s="22"/>
      <c r="AY3" s="22"/>
      <c r="AZ3" s="22"/>
      <c r="BA3" s="22"/>
      <c r="BB3" s="22"/>
      <c r="BC3" s="22"/>
      <c r="BD3" s="22"/>
      <c r="BE3" s="22"/>
      <c r="BF3" s="22"/>
      <c r="BG3" s="22"/>
      <c r="BH3" s="22"/>
      <c r="BI3" s="34"/>
      <c r="BJ3" s="22"/>
    </row>
    <row r="4" spans="1:80" ht="8.25" customHeight="1">
      <c r="B4" s="33"/>
      <c r="C4" s="22"/>
      <c r="D4" s="22"/>
      <c r="E4" s="22"/>
      <c r="F4" s="148"/>
      <c r="G4" s="22"/>
      <c r="H4" s="22"/>
      <c r="I4" s="22"/>
      <c r="J4" s="22"/>
      <c r="K4" s="22"/>
      <c r="L4" s="22"/>
      <c r="M4" s="22"/>
      <c r="N4" s="22"/>
      <c r="O4" s="25"/>
      <c r="P4" s="22"/>
      <c r="Q4" s="22"/>
      <c r="R4" s="22"/>
      <c r="S4" s="22"/>
      <c r="T4" s="22"/>
      <c r="U4" s="22"/>
      <c r="V4" s="22"/>
      <c r="W4" s="22"/>
      <c r="X4" s="22"/>
      <c r="Y4" s="22"/>
      <c r="Z4" s="22"/>
      <c r="AA4" s="22"/>
      <c r="AB4" s="22"/>
      <c r="AC4" s="22"/>
      <c r="AD4" s="22"/>
      <c r="AE4" s="22"/>
      <c r="AF4" s="22"/>
      <c r="AG4" s="22"/>
      <c r="AI4" s="22"/>
      <c r="AJ4" s="22"/>
      <c r="AK4" s="22"/>
      <c r="AL4" s="22"/>
      <c r="AM4" s="22"/>
      <c r="AN4" s="22"/>
      <c r="AO4" s="22"/>
      <c r="AP4" s="22"/>
      <c r="AQ4" s="22"/>
      <c r="AR4" s="22"/>
      <c r="AS4" s="22"/>
      <c r="AT4" s="22"/>
      <c r="AU4" s="22"/>
      <c r="AV4" s="22"/>
      <c r="AW4" s="22"/>
      <c r="AX4" s="22"/>
      <c r="AY4" s="22"/>
      <c r="AZ4" s="22"/>
      <c r="BA4" s="22"/>
      <c r="BB4" s="22"/>
      <c r="BC4" s="22"/>
      <c r="BD4" s="22"/>
      <c r="BE4"/>
      <c r="BF4"/>
      <c r="BG4"/>
      <c r="BH4"/>
      <c r="BI4" s="34"/>
      <c r="BJ4" s="22"/>
    </row>
    <row r="5" spans="1:80" ht="16.149999999999999" customHeight="1">
      <c r="A5" s="757" t="e">
        <f>#REF!</f>
        <v>#REF!</v>
      </c>
      <c r="B5" s="33"/>
      <c r="C5" s="181" t="s">
        <v>138</v>
      </c>
      <c r="D5" s="52" t="str">
        <f>Questions!C12</f>
        <v>Project management</v>
      </c>
      <c r="F5" s="22"/>
      <c r="G5" s="22"/>
      <c r="H5" s="22"/>
      <c r="I5" s="22"/>
      <c r="J5" s="22"/>
      <c r="K5" s="22"/>
      <c r="L5" s="22"/>
      <c r="M5" s="22"/>
      <c r="N5" s="22"/>
      <c r="O5" s="25"/>
      <c r="P5" s="22"/>
      <c r="Q5" s="22"/>
      <c r="R5" s="22"/>
      <c r="S5" s="22"/>
      <c r="T5" s="22"/>
      <c r="U5" s="22"/>
      <c r="V5" s="22"/>
      <c r="W5" s="22"/>
      <c r="X5" s="22"/>
      <c r="Y5" s="22"/>
      <c r="Z5" s="22"/>
      <c r="AA5" s="22"/>
      <c r="AB5" s="22"/>
      <c r="AC5" s="22"/>
      <c r="AD5" s="22"/>
      <c r="AE5" s="22"/>
      <c r="AF5" s="22"/>
      <c r="AG5" s="22"/>
      <c r="AM5" s="22"/>
      <c r="AN5" s="22"/>
      <c r="AO5" s="22"/>
      <c r="AP5" s="22"/>
      <c r="AQ5" s="141" t="e">
        <f>#REF!</f>
        <v>#REF!</v>
      </c>
      <c r="AR5" s="22"/>
      <c r="AS5" s="22"/>
      <c r="AT5" s="22"/>
      <c r="AU5" s="22"/>
      <c r="AV5" s="22"/>
      <c r="AW5" s="22"/>
      <c r="AX5" s="22"/>
      <c r="AY5" s="22"/>
      <c r="AZ5" s="22"/>
      <c r="BA5" s="22"/>
      <c r="BB5" s="22"/>
      <c r="BC5" s="22"/>
      <c r="BD5" s="22"/>
      <c r="BE5"/>
      <c r="BF5"/>
      <c r="BG5"/>
      <c r="BH5"/>
      <c r="BI5" s="34"/>
      <c r="BJ5" s="22"/>
    </row>
    <row r="6" spans="1:80" ht="6.75" customHeight="1">
      <c r="B6" s="33"/>
      <c r="C6" s="24"/>
      <c r="D6" s="22"/>
      <c r="E6" s="149"/>
      <c r="F6" s="22"/>
      <c r="G6" s="22"/>
      <c r="H6" s="22"/>
      <c r="I6" s="22"/>
      <c r="J6" s="22"/>
      <c r="K6" s="22"/>
      <c r="L6" s="22"/>
      <c r="M6" s="22"/>
      <c r="N6" s="22"/>
      <c r="O6" s="25"/>
      <c r="P6" s="22"/>
      <c r="Q6" s="22"/>
      <c r="R6" s="22"/>
      <c r="S6" s="22"/>
      <c r="T6" s="22"/>
      <c r="U6" s="22"/>
      <c r="V6" s="22"/>
      <c r="W6" s="22"/>
      <c r="X6" s="22"/>
      <c r="Y6" s="22"/>
      <c r="Z6" s="22"/>
      <c r="AA6" s="22"/>
      <c r="AB6" s="22"/>
      <c r="AC6" s="22"/>
      <c r="AD6" s="22"/>
      <c r="AE6" s="22"/>
      <c r="AF6" s="22"/>
      <c r="AG6" s="22"/>
      <c r="AH6"/>
      <c r="AI6" s="22"/>
      <c r="AJ6" s="22"/>
      <c r="AK6" s="22"/>
      <c r="AL6" s="22"/>
      <c r="AM6" s="22"/>
      <c r="AN6" s="22"/>
      <c r="AO6" s="22"/>
      <c r="AP6" s="22"/>
      <c r="AQ6" s="22"/>
      <c r="AR6" s="22"/>
      <c r="AS6" s="22"/>
      <c r="AT6" s="22"/>
      <c r="AU6" s="22"/>
      <c r="AV6" s="22"/>
      <c r="AW6" s="22"/>
      <c r="AX6" s="22"/>
      <c r="AY6" s="22"/>
      <c r="AZ6" s="22"/>
      <c r="BA6" s="22"/>
      <c r="BB6" s="22"/>
      <c r="BC6" s="22"/>
      <c r="BD6" s="22"/>
      <c r="BE6"/>
      <c r="BF6"/>
      <c r="BG6"/>
      <c r="BH6"/>
      <c r="BI6" s="34"/>
      <c r="BJ6" s="22"/>
    </row>
    <row r="7" spans="1:80" ht="15" customHeight="1" thickBot="1">
      <c r="A7" s="197" t="s">
        <v>385</v>
      </c>
      <c r="B7" s="33"/>
      <c r="C7" s="24"/>
      <c r="D7" s="321" t="s">
        <v>56</v>
      </c>
      <c r="E7" s="321" t="s">
        <v>186</v>
      </c>
      <c r="F7" s="321" t="s">
        <v>188</v>
      </c>
      <c r="G7" s="321" t="s">
        <v>106</v>
      </c>
      <c r="H7" s="465" t="s">
        <v>304</v>
      </c>
      <c r="I7" s="465" t="s">
        <v>315</v>
      </c>
      <c r="J7" s="321" t="s">
        <v>192</v>
      </c>
      <c r="Q7" s="21"/>
      <c r="R7" s="21"/>
      <c r="S7" s="22"/>
      <c r="T7" s="22"/>
      <c r="U7" s="22"/>
      <c r="V7" s="22"/>
      <c r="W7" s="22"/>
      <c r="X7" s="22"/>
      <c r="Y7" s="22"/>
      <c r="Z7" s="22"/>
      <c r="AA7" s="22"/>
      <c r="AB7" s="22"/>
      <c r="AC7" s="22"/>
      <c r="AD7" s="22"/>
      <c r="AE7" s="22"/>
      <c r="AF7" s="22"/>
      <c r="AG7" s="22"/>
      <c r="AH7"/>
      <c r="AI7" s="22"/>
      <c r="AJ7" s="22"/>
      <c r="AK7" s="22"/>
      <c r="AL7" s="22"/>
      <c r="AM7" s="22"/>
      <c r="AN7" s="22"/>
      <c r="AO7" s="22"/>
      <c r="AP7" s="22"/>
      <c r="AQ7" s="22"/>
      <c r="AR7" s="22"/>
      <c r="AS7" s="22"/>
      <c r="AT7" s="22"/>
      <c r="AU7" s="22"/>
      <c r="AV7" s="22"/>
      <c r="AW7" s="22"/>
      <c r="AX7" s="22"/>
      <c r="AY7" s="22"/>
      <c r="AZ7" s="22"/>
      <c r="BA7" s="22"/>
      <c r="BB7" s="22"/>
      <c r="BC7" s="22"/>
      <c r="BD7" s="22"/>
      <c r="BE7"/>
      <c r="BF7"/>
      <c r="BG7"/>
      <c r="BH7"/>
      <c r="BI7" s="34"/>
      <c r="BJ7" s="22"/>
      <c r="BL7" s="554" t="e">
        <f>#REF!</f>
        <v>#REF!</v>
      </c>
      <c r="BM7" s="477" t="e">
        <f>#REF!</f>
        <v>#REF!</v>
      </c>
      <c r="BN7" s="477" t="e">
        <f>#REF!</f>
        <v>#REF!</v>
      </c>
      <c r="BO7" s="477" t="e">
        <f>#REF!</f>
        <v>#REF!</v>
      </c>
      <c r="BP7" s="477" t="e">
        <f>#REF!</f>
        <v>#REF!</v>
      </c>
    </row>
    <row r="8" spans="1:80" ht="15" customHeight="1" thickBot="1">
      <c r="A8" s="198" t="e">
        <f>IF(COUNT(D8:J8)=0,BL7,IF(MIN(D8:J8)=0,"B","A"))</f>
        <v>#REF!</v>
      </c>
      <c r="B8" s="33"/>
      <c r="C8" s="24"/>
      <c r="D8" s="189" t="e">
        <f>IF(A5=FALSE,$BL$7,IF(ISBLANK(Questions!D13),"--",Questions!D13))</f>
        <v>#REF!</v>
      </c>
      <c r="E8" s="189" t="e">
        <f>IF(A5=FALSE,$BL$7,IF(ISBLANK(Questions!D14),"--",Questions!D14))</f>
        <v>#REF!</v>
      </c>
      <c r="F8" s="189" t="e">
        <f>IF(A5=FALSE,$BL$7,IF(ISBLANK(Questions!D15),"--",Questions!D15))</f>
        <v>#REF!</v>
      </c>
      <c r="G8" s="189" t="e">
        <f>IF(A5=FALSE,$BL$7,IF(ISBLANK(Questions!D16),"--",Questions!D16))</f>
        <v>#REF!</v>
      </c>
      <c r="H8" s="470" t="e">
        <f>IF(A5=FALSE,$BL$7,IF(ISBLANK(Questions!D17),"--",Questions!D17))</f>
        <v>#REF!</v>
      </c>
      <c r="I8" s="470" t="e">
        <f>IF(A5=FALSE,$BL$7,IF(ISBLANK(Questions!D18),"--",Questions!D18))</f>
        <v>#REF!</v>
      </c>
      <c r="J8" s="189" t="e">
        <f>IF(A5=FALSE,$BL$7,IF(ISBLANK(Questions!D19),"--",Questions!D19))</f>
        <v>#REF!</v>
      </c>
      <c r="Q8" s="22"/>
      <c r="R8" s="22"/>
      <c r="S8" s="22"/>
      <c r="T8" s="22"/>
      <c r="U8" s="22"/>
      <c r="V8" s="22"/>
      <c r="W8" s="22"/>
      <c r="X8" s="22"/>
      <c r="Y8" s="22"/>
      <c r="Z8" s="22"/>
      <c r="AA8" s="22"/>
      <c r="AB8" s="22"/>
      <c r="AC8" s="22"/>
      <c r="AD8" s="22"/>
      <c r="AE8" s="22"/>
      <c r="AF8" s="22"/>
      <c r="AG8" s="22"/>
      <c r="AH8"/>
      <c r="AI8" s="22"/>
      <c r="AJ8" s="22"/>
      <c r="AK8" s="22"/>
      <c r="AL8" s="22"/>
      <c r="AM8" s="22"/>
      <c r="AN8" s="22"/>
      <c r="AO8" s="22"/>
      <c r="AP8" s="22"/>
      <c r="AQ8" s="1179" t="s">
        <v>494</v>
      </c>
      <c r="AR8" s="1180"/>
      <c r="AS8" s="1195" t="e">
        <f>IF(AND(A5,BM8&gt;=BN8),ROUND(BP8/BO8,2),BL7)</f>
        <v>#REF!</v>
      </c>
      <c r="AT8" s="1196"/>
      <c r="AU8"/>
      <c r="AV8" s="22"/>
      <c r="AW8" s="22"/>
      <c r="AX8" s="22"/>
      <c r="AY8" s="22"/>
      <c r="AZ8" s="22"/>
      <c r="BA8" s="22"/>
      <c r="BB8" s="22"/>
      <c r="BC8" s="22"/>
      <c r="BD8" s="22"/>
      <c r="BE8"/>
      <c r="BF8"/>
      <c r="BG8"/>
      <c r="BH8"/>
      <c r="BI8" s="34"/>
      <c r="BJ8" s="22"/>
      <c r="BL8" s="575">
        <f>COUNTIF(D8:J8,"&gt;-")</f>
        <v>0</v>
      </c>
      <c r="BM8" s="575">
        <f>COUNT(D8:J8)</f>
        <v>0</v>
      </c>
      <c r="BN8" s="575">
        <v>5</v>
      </c>
      <c r="BO8" s="575" t="e">
        <f>IF(AND($A5,BM8&gt;=BN8),BM8*10,"--")</f>
        <v>#REF!</v>
      </c>
      <c r="BP8" s="575" t="e">
        <f>IF(AND($A5,BM8&gt;=BN8),SUM(D8:J8),"--")</f>
        <v>#REF!</v>
      </c>
    </row>
    <row r="9" spans="1:80" ht="6.75" customHeight="1">
      <c r="B9" s="33"/>
      <c r="C9" s="22"/>
      <c r="D9" s="22"/>
      <c r="E9" s="22"/>
      <c r="F9" s="22"/>
      <c r="G9" s="22"/>
      <c r="H9" s="22"/>
      <c r="I9" s="22"/>
      <c r="J9" s="22"/>
      <c r="K9" s="22"/>
      <c r="L9" s="22"/>
      <c r="M9" s="22"/>
      <c r="N9" s="22"/>
      <c r="O9" s="25"/>
      <c r="P9" s="22"/>
      <c r="Q9" s="22"/>
      <c r="R9" s="22"/>
      <c r="S9" s="22"/>
      <c r="T9" s="22"/>
      <c r="U9" s="22"/>
      <c r="V9" s="22"/>
      <c r="W9" s="22"/>
      <c r="X9" s="22"/>
      <c r="Y9" s="22"/>
      <c r="Z9" s="22"/>
      <c r="AA9" s="22"/>
      <c r="AB9" s="22"/>
      <c r="AC9" s="22"/>
      <c r="AD9" s="22"/>
      <c r="AE9" s="22"/>
      <c r="AF9" s="22"/>
      <c r="AG9" s="22"/>
      <c r="AI9" s="22"/>
      <c r="AJ9" s="22"/>
      <c r="AK9" s="22"/>
      <c r="AL9" s="22"/>
      <c r="AM9" s="22"/>
      <c r="AN9" s="22"/>
      <c r="AO9" s="22"/>
      <c r="AP9" s="22"/>
      <c r="AQ9" s="22"/>
      <c r="AR9" s="22"/>
      <c r="AS9" s="22"/>
      <c r="AT9" s="22"/>
      <c r="AU9" s="22"/>
      <c r="AV9" s="22"/>
      <c r="AW9" s="22"/>
      <c r="AX9" s="22"/>
      <c r="AY9" s="22"/>
      <c r="AZ9" s="22"/>
      <c r="BA9" s="22"/>
      <c r="BB9" s="22"/>
      <c r="BC9" s="22"/>
      <c r="BD9" s="22"/>
      <c r="BE9"/>
      <c r="BF9"/>
      <c r="BG9"/>
      <c r="BH9"/>
      <c r="BI9" s="34"/>
      <c r="BJ9" s="22"/>
    </row>
    <row r="10" spans="1:80" ht="18" customHeight="1">
      <c r="A10" s="758" t="e">
        <f>#REF!</f>
        <v>#REF!</v>
      </c>
      <c r="B10" s="33"/>
      <c r="C10" s="488" t="s">
        <v>139</v>
      </c>
      <c r="D10" s="488" t="str">
        <f>Questions!C20</f>
        <v>Planning the product and process development</v>
      </c>
      <c r="E10" s="489"/>
      <c r="F10" s="489"/>
      <c r="G10" s="489"/>
      <c r="H10" s="489"/>
      <c r="I10" s="489"/>
      <c r="J10" s="489"/>
      <c r="K10" s="489"/>
      <c r="L10" s="489"/>
      <c r="M10" s="489"/>
      <c r="N10" s="489"/>
      <c r="O10" s="490"/>
      <c r="P10" s="489"/>
      <c r="Q10" s="489"/>
      <c r="R10" s="489"/>
      <c r="S10" s="489"/>
      <c r="T10" s="489"/>
      <c r="U10" s="489"/>
      <c r="V10" s="489"/>
      <c r="W10" s="489"/>
      <c r="X10" s="489"/>
      <c r="Y10" s="489"/>
      <c r="Z10" s="489"/>
      <c r="AA10" s="489"/>
      <c r="AB10" s="489"/>
      <c r="AC10" s="489"/>
      <c r="AD10" s="489"/>
      <c r="AE10" s="489"/>
      <c r="AF10" s="489"/>
      <c r="AG10" s="489"/>
      <c r="AH10" s="489"/>
      <c r="AI10" s="489"/>
      <c r="AJ10" s="489"/>
      <c r="AK10" s="489"/>
      <c r="AL10" s="489"/>
      <c r="AM10" s="489"/>
      <c r="AN10" s="489"/>
      <c r="AO10" s="489"/>
      <c r="AP10" s="489"/>
      <c r="AQ10" s="489"/>
      <c r="AR10" s="489"/>
      <c r="AS10" s="489"/>
      <c r="AT10" s="489"/>
      <c r="AU10" s="489"/>
      <c r="AV10" s="489"/>
      <c r="AW10" s="489"/>
      <c r="AX10" s="489"/>
      <c r="AY10" s="489"/>
      <c r="AZ10" s="489"/>
      <c r="BA10" s="489"/>
      <c r="BB10" s="489"/>
      <c r="BC10" s="489"/>
      <c r="BD10" s="489"/>
      <c r="BE10" s="493"/>
      <c r="BF10" s="493"/>
      <c r="BG10" s="493"/>
      <c r="BH10" s="493"/>
      <c r="BI10" s="491"/>
      <c r="BJ10" s="22"/>
    </row>
    <row r="11" spans="1:80" ht="6" customHeight="1">
      <c r="B11" s="33"/>
      <c r="C11" s="25"/>
      <c r="D11" s="25"/>
      <c r="E11" s="22"/>
      <c r="F11" s="22"/>
      <c r="G11" s="22"/>
      <c r="H11" s="22"/>
      <c r="I11" s="22"/>
      <c r="J11" s="22"/>
      <c r="K11" s="22"/>
      <c r="L11" s="22"/>
      <c r="M11" s="22"/>
      <c r="N11" s="22"/>
      <c r="O11" s="25"/>
      <c r="P11" s="22"/>
      <c r="Q11" s="22"/>
      <c r="R11" s="22"/>
      <c r="S11" s="22"/>
      <c r="T11" s="22"/>
      <c r="U11" s="22"/>
      <c r="V11" s="22"/>
      <c r="W11" s="22"/>
      <c r="X11" s="22"/>
      <c r="Y11" s="22"/>
      <c r="Z11" s="22"/>
      <c r="AA11" s="22"/>
      <c r="AB11" s="22"/>
      <c r="AF11" s="22"/>
      <c r="AG11" s="22"/>
      <c r="AH11" s="22"/>
      <c r="AI11" s="22"/>
      <c r="AJ11" s="22"/>
      <c r="AK11" s="22"/>
      <c r="AL11" s="22"/>
      <c r="AM11" s="22"/>
      <c r="AN11" s="22"/>
      <c r="AO11" s="22"/>
      <c r="AP11" s="22"/>
      <c r="AQ11" s="22"/>
      <c r="AR11" s="22"/>
      <c r="AS11" s="22"/>
      <c r="AT11" s="22"/>
      <c r="AU11" s="22"/>
      <c r="AV11" s="22"/>
      <c r="AW11" s="22"/>
      <c r="AX11" s="22"/>
      <c r="AY11" s="22"/>
      <c r="AZ11" s="22"/>
      <c r="BA11" s="22"/>
      <c r="BB11" s="22"/>
      <c r="BC11" s="22"/>
      <c r="BD11" s="22"/>
      <c r="BE11"/>
      <c r="BF11"/>
      <c r="BG11"/>
      <c r="BH11"/>
      <c r="BI11" s="34"/>
      <c r="BJ11" s="22"/>
    </row>
    <row r="12" spans="1:80" ht="14.1" customHeight="1">
      <c r="B12" s="33"/>
      <c r="C12" s="25"/>
      <c r="D12" s="150" t="str">
        <f>Questions!C23</f>
        <v>Product</v>
      </c>
      <c r="F12" s="22"/>
      <c r="G12" s="22"/>
      <c r="H12" s="22"/>
      <c r="I12" s="22"/>
      <c r="K12" s="22"/>
      <c r="L12" s="22"/>
      <c r="M12" s="22"/>
      <c r="N12" s="22"/>
      <c r="O12" s="150" t="str">
        <f>Questions!C24</f>
        <v>Process</v>
      </c>
      <c r="P12" s="22"/>
      <c r="R12" s="150"/>
      <c r="S12" s="150"/>
      <c r="T12" s="150"/>
      <c r="U12" s="150"/>
      <c r="V12" s="150"/>
      <c r="W12" s="150"/>
      <c r="X12" s="150"/>
      <c r="AM12" s="22"/>
      <c r="AN12" s="22"/>
      <c r="AO12" s="22"/>
      <c r="AP12" s="22"/>
      <c r="AQ12" s="22"/>
      <c r="AR12" s="22"/>
      <c r="AS12" s="22"/>
      <c r="AT12" s="22"/>
      <c r="AU12" s="22"/>
      <c r="AV12" s="22"/>
      <c r="AW12" s="22"/>
      <c r="AX12" s="22"/>
      <c r="AY12" s="22"/>
      <c r="AZ12" s="22"/>
      <c r="BA12" s="22"/>
      <c r="BB12" s="22"/>
      <c r="BC12" s="22"/>
      <c r="BD12" s="22"/>
      <c r="BE12"/>
      <c r="BF12"/>
      <c r="BG12"/>
      <c r="BH12"/>
      <c r="BI12" s="34"/>
      <c r="BJ12" s="22"/>
    </row>
    <row r="13" spans="1:80" ht="15" thickBot="1">
      <c r="A13" s="197" t="s">
        <v>386</v>
      </c>
      <c r="B13" s="33"/>
      <c r="C13" s="22"/>
      <c r="D13" s="321" t="s">
        <v>112</v>
      </c>
      <c r="E13" s="465" t="s">
        <v>307</v>
      </c>
      <c r="F13" s="321" t="s">
        <v>114</v>
      </c>
      <c r="G13" s="321" t="s">
        <v>115</v>
      </c>
      <c r="H13" s="321" t="s">
        <v>116</v>
      </c>
      <c r="N13" s="20"/>
      <c r="O13" s="321" t="s">
        <v>112</v>
      </c>
      <c r="P13" s="465" t="s">
        <v>307</v>
      </c>
      <c r="Q13" s="321" t="s">
        <v>114</v>
      </c>
      <c r="R13" s="321" t="s">
        <v>115</v>
      </c>
      <c r="S13" s="321" t="s">
        <v>116</v>
      </c>
      <c r="Z13" s="321" t="s">
        <v>112</v>
      </c>
      <c r="AA13" s="465" t="s">
        <v>307</v>
      </c>
      <c r="AB13" s="321" t="s">
        <v>114</v>
      </c>
      <c r="AC13" s="321" t="s">
        <v>115</v>
      </c>
      <c r="AD13" s="321" t="s">
        <v>116</v>
      </c>
      <c r="AJ13" s="22"/>
      <c r="AM13" s="22"/>
      <c r="AN13" s="22"/>
      <c r="AO13" s="22"/>
      <c r="AP13" s="22"/>
      <c r="AQ13" s="22"/>
      <c r="AR13" s="22"/>
      <c r="AS13" s="22"/>
      <c r="AT13" s="22"/>
      <c r="AU13" s="22"/>
      <c r="AV13" s="22"/>
      <c r="AW13" s="22"/>
      <c r="AX13" s="22"/>
      <c r="AY13" s="22"/>
      <c r="AZ13" s="22"/>
      <c r="BA13" s="22"/>
      <c r="BB13" s="22"/>
      <c r="BC13" s="22"/>
      <c r="BD13" s="22"/>
      <c r="BE13"/>
      <c r="BF13"/>
      <c r="BG13"/>
      <c r="BH13"/>
      <c r="BI13" s="34"/>
      <c r="BJ13" s="22"/>
      <c r="BL13" s="477" t="e">
        <f>#REF!</f>
        <v>#REF!</v>
      </c>
      <c r="BM13" s="477" t="e">
        <f>#REF!</f>
        <v>#REF!</v>
      </c>
      <c r="BN13" s="477" t="e">
        <f>#REF!</f>
        <v>#REF!</v>
      </c>
      <c r="BO13" s="477" t="e">
        <f>#REF!</f>
        <v>#REF!</v>
      </c>
      <c r="BP13" s="477" t="e">
        <f>#REF!</f>
        <v>#REF!</v>
      </c>
      <c r="BR13" s="477" t="e">
        <f>#REF!</f>
        <v>#REF!</v>
      </c>
      <c r="BS13" s="477" t="e">
        <f>#REF!</f>
        <v>#REF!</v>
      </c>
      <c r="BT13" s="477" t="e">
        <f>#REF!</f>
        <v>#REF!</v>
      </c>
      <c r="BU13" s="477" t="e">
        <f>#REF!</f>
        <v>#REF!</v>
      </c>
      <c r="BV13" s="477" t="e">
        <f>#REF!</f>
        <v>#REF!</v>
      </c>
      <c r="BX13" s="477" t="e">
        <f>#REF!</f>
        <v>#REF!</v>
      </c>
      <c r="BY13" s="477" t="e">
        <f>#REF!</f>
        <v>#REF!</v>
      </c>
      <c r="BZ13" s="477" t="e">
        <f>#REF!</f>
        <v>#REF!</v>
      </c>
      <c r="CA13" s="477" t="e">
        <f>#REF!</f>
        <v>#REF!</v>
      </c>
      <c r="CB13" s="477" t="e">
        <f>#REF!</f>
        <v>#REF!</v>
      </c>
    </row>
    <row r="14" spans="1:80" s="26" customFormat="1" ht="15.75" thickBot="1">
      <c r="A14" s="198" t="e">
        <f>IF(COUNT(D14:H14)+COUNT(O14:S14)=0,BL13,IF(MIN(D14:H14,O14:S14)=0,"B","A"))</f>
        <v>#REF!</v>
      </c>
      <c r="B14" s="35"/>
      <c r="C14" s="150"/>
      <c r="D14" s="189" t="e">
        <f>IF($A$10=FALSE,$BL$13,IF(ISBLANK(Questions!$D23),"--",Questions!$D23))</f>
        <v>#REF!</v>
      </c>
      <c r="E14" s="470" t="e">
        <f>IF($A$10=FALSE,$BL$13,IF(ISBLANK(Questions!$D26),"--",Questions!$D26))</f>
        <v>#REF!</v>
      </c>
      <c r="F14" s="189" t="e">
        <f>IF($A$10=FALSE,$BL$13,IF(ISBLANK(Questions!$D29),"--",Questions!$D29))</f>
        <v>#REF!</v>
      </c>
      <c r="G14" s="189" t="e">
        <f>IF($A$10=FALSE,$BL$13,IF(ISBLANK(Questions!$D32),"--",Questions!$D32))</f>
        <v>#REF!</v>
      </c>
      <c r="H14" s="189" t="e">
        <f>IF($A$10=FALSE,$BL$13,IF(ISBLANK(Questions!$D35),"--",Questions!$D35))</f>
        <v>#REF!</v>
      </c>
      <c r="O14" s="189" t="e">
        <f>IF($A$10=FALSE,$BR$13,IF(ISBLANK(Questions!$D24),"--",Questions!$D24))</f>
        <v>#REF!</v>
      </c>
      <c r="P14" s="470" t="e">
        <f>IF($A$10=FALSE,$BR$13,IF(ISBLANK(Questions!$D27),"--",Questions!$D27))</f>
        <v>#REF!</v>
      </c>
      <c r="Q14" s="189" t="e">
        <f>IF($A$10=FALSE,$BR$13,IF(ISBLANK(Questions!$D30),"--",Questions!$D30))</f>
        <v>#REF!</v>
      </c>
      <c r="R14" s="189" t="e">
        <f>IF($A$10=FALSE,$BR$13,IF(ISBLANK(Questions!$D33),"--",Questions!$D33))</f>
        <v>#REF!</v>
      </c>
      <c r="S14" s="189" t="e">
        <f>IF($A$10=FALSE,$BR$13,IF(ISBLANK(Questions!$D36),"--",Questions!$D36))</f>
        <v>#REF!</v>
      </c>
      <c r="Z14" s="748" t="e">
        <f>IF(AND(D14=$BL$13,O14=$BR$13),$BX$13,IF(AND(D14="--",O14="--"),"--",IF(COUNT(D14,O14)&gt;0,ROUND(AVERAGE(D14,O14),2),"/")))</f>
        <v>#REF!</v>
      </c>
      <c r="AA14" s="749" t="e">
        <f>IF(AND(E14=$BL$13,P14=$BR$13),$BX$13,IF(AND(E14="--",P14="--"),"--",IF(COUNT(E14,P14)&gt;0,ROUND(AVERAGE(E14,P14),2),"/")))</f>
        <v>#REF!</v>
      </c>
      <c r="AB14" s="748" t="e">
        <f>IF(AND(F14=$BL$13,Q14=$BR$13),$BX$13,IF(AND(F14="--",Q14="--"),"--",IF(COUNT(F14,Q14)&gt;0,ROUND(AVERAGE(F14,Q14),2),"/")))</f>
        <v>#REF!</v>
      </c>
      <c r="AC14" s="748" t="e">
        <f>IF(AND(G14=$BL$13,R14=$BR$13),$BX$13,IF(AND(G14="--",R14="--"),"--",IF(COUNT(G14,R14)&gt;0,ROUND(AVERAGE(G14,R14),2),"/")))</f>
        <v>#REF!</v>
      </c>
      <c r="AD14" s="748" t="e">
        <f>IF(AND(H14=$BL$13,S14=$BR$13),$BX$13,IF(AND(H14="--",S14="--"),"--",IF(COUNT(H14,S14)&gt;0,ROUND(AVERAGE(H14,S14),2),"/")))</f>
        <v>#REF!</v>
      </c>
      <c r="AJ14" s="22"/>
      <c r="AM14"/>
      <c r="AN14"/>
      <c r="AO14"/>
      <c r="AP14"/>
      <c r="AQ14" s="1179" t="s">
        <v>495</v>
      </c>
      <c r="AR14" s="1180"/>
      <c r="AS14" s="1177" t="e">
        <f>IF(AND(L16=BL13,W16=BR13),BL13,ROUND(CB14/CA14,2))</f>
        <v>#REF!</v>
      </c>
      <c r="AT14" s="1178"/>
      <c r="AU14"/>
      <c r="AV14" s="153"/>
      <c r="AW14" s="153"/>
      <c r="AX14" s="153"/>
      <c r="AY14" s="153"/>
      <c r="AZ14" s="153"/>
      <c r="BA14" s="153"/>
      <c r="BB14" s="153"/>
      <c r="BC14" s="153"/>
      <c r="BD14" s="153"/>
      <c r="BE14"/>
      <c r="BF14"/>
      <c r="BG14"/>
      <c r="BH14"/>
      <c r="BI14" s="36"/>
      <c r="BJ14"/>
      <c r="BL14" s="575">
        <f>COUNTIF(D14:H14,"&gt;-")</f>
        <v>0</v>
      </c>
      <c r="BM14" s="575">
        <f>COUNT(D14:H14)</f>
        <v>0</v>
      </c>
      <c r="BN14" s="575">
        <v>4</v>
      </c>
      <c r="BO14" s="575" t="e">
        <f>IF(AND($A10,BM14&gt;=BN14),BM14*10,"--")</f>
        <v>#REF!</v>
      </c>
      <c r="BP14" s="575" t="e">
        <f>IF(AND($A10,BM14&gt;=BN14),SUM(D14:H14),"--")</f>
        <v>#REF!</v>
      </c>
      <c r="BR14" s="575">
        <f>COUNTIF(O14:S14,"&gt;-")</f>
        <v>0</v>
      </c>
      <c r="BS14" s="575">
        <f>COUNT(O14:S14)</f>
        <v>0</v>
      </c>
      <c r="BT14" s="575">
        <v>4</v>
      </c>
      <c r="BU14" s="575" t="e">
        <f>IF(AND($A10,BS14&gt;=BT14),BS14*10,"--")</f>
        <v>#REF!</v>
      </c>
      <c r="BV14" s="575" t="e">
        <f>IF(AND($A10,BS14&gt;=BT14),SUM(O14:S14),"--")</f>
        <v>#REF!</v>
      </c>
      <c r="BX14" s="575">
        <f>COUNTIF(Z14:AD14,"&gt;-")</f>
        <v>0</v>
      </c>
      <c r="BY14" s="575">
        <f>COUNT(Z14:AD14)</f>
        <v>0</v>
      </c>
      <c r="BZ14" s="575">
        <v>4</v>
      </c>
      <c r="CA14" s="575" t="e">
        <f>IF(AND($A10,BY14&gt;=BZ14),BY14*10,"--")</f>
        <v>#REF!</v>
      </c>
      <c r="CB14" s="575" t="e">
        <f>IF(AND($A10,BY14&gt;=BZ14),SUM(Z14:AD14),"--")</f>
        <v>#REF!</v>
      </c>
    </row>
    <row r="15" spans="1:80" ht="15" thickBot="1">
      <c r="B15" s="33"/>
      <c r="C15" s="22"/>
      <c r="N15" s="150"/>
      <c r="O15" s="22"/>
      <c r="P15" s="22"/>
      <c r="T15" s="22"/>
      <c r="V15" s="22"/>
      <c r="W15" s="22"/>
      <c r="X15"/>
      <c r="Y15"/>
      <c r="Z15"/>
      <c r="AA15"/>
      <c r="AB15"/>
      <c r="AC15"/>
      <c r="AD15"/>
      <c r="AE15"/>
      <c r="AF15"/>
      <c r="AJ15"/>
      <c r="AK15"/>
      <c r="AL15"/>
      <c r="AM15"/>
      <c r="AN15"/>
      <c r="AO15"/>
      <c r="AP15"/>
      <c r="AQ15"/>
      <c r="AR15" s="22"/>
      <c r="AS15" s="22"/>
      <c r="AT15" s="22"/>
      <c r="AU15"/>
      <c r="AV15"/>
      <c r="AW15"/>
      <c r="AX15"/>
      <c r="AY15"/>
      <c r="AZ15"/>
      <c r="BA15"/>
      <c r="BB15"/>
      <c r="BC15"/>
      <c r="BD15"/>
      <c r="BE15"/>
      <c r="BF15"/>
      <c r="BG15"/>
      <c r="BH15"/>
      <c r="BI15" s="36"/>
      <c r="BJ15"/>
    </row>
    <row r="16" spans="1:80" ht="15.75" thickBot="1">
      <c r="B16" s="33"/>
      <c r="C16" s="22"/>
      <c r="K16" s="152" t="s">
        <v>98</v>
      </c>
      <c r="L16" s="1177" t="e">
        <f>IF(AND(A10,BM14&gt;=BN14),ROUND(BP14/BO14,2),BL13)</f>
        <v>#REF!</v>
      </c>
      <c r="M16" s="1178"/>
      <c r="N16" s="20"/>
      <c r="T16" s="151"/>
      <c r="V16" s="152" t="s">
        <v>91</v>
      </c>
      <c r="W16" s="1177" t="e">
        <f>IF(AND(A10,BS14&gt;=BT14),ROUND(BV14/BU14,2),BR13)</f>
        <v>#REF!</v>
      </c>
      <c r="X16" s="1178"/>
      <c r="Y16"/>
      <c r="Z16"/>
      <c r="AA16"/>
      <c r="AB16"/>
      <c r="AC16"/>
      <c r="AD16"/>
      <c r="AE16"/>
      <c r="AF16"/>
      <c r="AJ16"/>
      <c r="AK16"/>
      <c r="AL16"/>
      <c r="AM16"/>
      <c r="AN16"/>
      <c r="AO16"/>
      <c r="AP16"/>
      <c r="AQ16"/>
      <c r="AS16" s="151"/>
      <c r="AT16" s="151"/>
      <c r="AU16"/>
      <c r="AV16"/>
      <c r="AW16"/>
      <c r="AX16"/>
      <c r="AY16"/>
      <c r="AZ16"/>
      <c r="BA16"/>
      <c r="BB16"/>
      <c r="BC16"/>
      <c r="BD16"/>
      <c r="BE16"/>
      <c r="BF16"/>
      <c r="BG16"/>
      <c r="BH16"/>
      <c r="BI16" s="36"/>
      <c r="BJ16"/>
    </row>
    <row r="17" spans="1:80" ht="15">
      <c r="B17" s="33"/>
      <c r="C17" s="22"/>
      <c r="D17" s="22"/>
      <c r="E17" s="22"/>
      <c r="F17" s="22"/>
      <c r="G17" s="22"/>
      <c r="H17" s="22"/>
      <c r="I17" s="22"/>
      <c r="J17" s="22"/>
      <c r="K17" s="22"/>
      <c r="L17" s="22"/>
      <c r="M17" s="22"/>
      <c r="N17" s="22"/>
      <c r="O17" s="25"/>
      <c r="P17" s="22"/>
      <c r="Q17" s="22"/>
      <c r="V17" s="22"/>
      <c r="W17" s="22"/>
      <c r="X17"/>
      <c r="Y17"/>
      <c r="Z17"/>
      <c r="AA17"/>
      <c r="AB17"/>
      <c r="AC17"/>
      <c r="AD17"/>
      <c r="AE17"/>
      <c r="AF17"/>
      <c r="AJ17"/>
      <c r="AK17"/>
      <c r="AL17"/>
      <c r="AM17"/>
      <c r="AN17"/>
      <c r="AO17"/>
      <c r="AP17"/>
      <c r="AQ17"/>
      <c r="AR17"/>
      <c r="AS17"/>
      <c r="AT17"/>
      <c r="AU17"/>
      <c r="AV17"/>
      <c r="AW17"/>
      <c r="AX17"/>
      <c r="AY17"/>
      <c r="AZ17"/>
      <c r="BA17"/>
      <c r="BB17"/>
      <c r="BC17"/>
      <c r="BD17"/>
      <c r="BE17"/>
      <c r="BF17"/>
      <c r="BG17"/>
      <c r="BH17"/>
      <c r="BI17" s="36"/>
      <c r="BJ17"/>
    </row>
    <row r="18" spans="1:80" ht="15.75">
      <c r="A18" s="758" t="e">
        <f>#REF!</f>
        <v>#REF!</v>
      </c>
      <c r="B18" s="33"/>
      <c r="C18" s="488" t="s">
        <v>140</v>
      </c>
      <c r="D18" s="488" t="str">
        <f>Questions!C37</f>
        <v>Implementation of the product and process development</v>
      </c>
      <c r="E18" s="489"/>
      <c r="F18" s="489"/>
      <c r="G18" s="489"/>
      <c r="H18" s="489"/>
      <c r="I18" s="489"/>
      <c r="J18" s="489"/>
      <c r="K18" s="489"/>
      <c r="L18" s="489"/>
      <c r="M18" s="489"/>
      <c r="N18" s="489"/>
      <c r="O18" s="490"/>
      <c r="P18" s="489"/>
      <c r="Q18" s="489"/>
      <c r="R18" s="492"/>
      <c r="S18" s="492"/>
      <c r="T18" s="492"/>
      <c r="U18" s="492"/>
      <c r="V18" s="489"/>
      <c r="W18" s="489"/>
      <c r="X18" s="493"/>
      <c r="Y18" s="493"/>
      <c r="Z18" s="493"/>
      <c r="AA18" s="493"/>
      <c r="AB18" s="493"/>
      <c r="AC18" s="493"/>
      <c r="AD18" s="493"/>
      <c r="AE18" s="493"/>
      <c r="AF18" s="493"/>
      <c r="AG18" s="492"/>
      <c r="AH18" s="492"/>
      <c r="AI18" s="492"/>
      <c r="AJ18" s="493"/>
      <c r="AK18" s="493"/>
      <c r="AL18" s="493"/>
      <c r="AM18" s="493"/>
      <c r="AN18" s="493"/>
      <c r="AO18" s="493"/>
      <c r="AP18" s="493"/>
      <c r="AQ18" s="493"/>
      <c r="AR18" s="493"/>
      <c r="AS18" s="493"/>
      <c r="AT18" s="493"/>
      <c r="AU18" s="493"/>
      <c r="AV18" s="493"/>
      <c r="AW18" s="493"/>
      <c r="AX18" s="493"/>
      <c r="AY18" s="493"/>
      <c r="AZ18" s="493"/>
      <c r="BA18" s="493"/>
      <c r="BB18" s="493"/>
      <c r="BC18" s="493"/>
      <c r="BD18" s="493"/>
      <c r="BE18" s="493"/>
      <c r="BF18" s="493"/>
      <c r="BG18" s="493"/>
      <c r="BH18" s="493"/>
      <c r="BI18" s="494"/>
      <c r="BJ18"/>
    </row>
    <row r="19" spans="1:80" ht="6.75" customHeight="1">
      <c r="B19" s="33"/>
      <c r="C19" s="25"/>
      <c r="D19" s="25"/>
      <c r="E19" s="22"/>
      <c r="F19" s="22"/>
      <c r="G19" s="22"/>
      <c r="H19" s="22"/>
      <c r="I19" s="22"/>
      <c r="J19" s="22"/>
      <c r="K19" s="22"/>
      <c r="L19" s="22"/>
      <c r="M19" s="22"/>
      <c r="N19" s="22"/>
      <c r="O19" s="25"/>
      <c r="P19" s="22"/>
      <c r="Q19" s="22"/>
      <c r="V19" s="22"/>
      <c r="W19" s="22"/>
      <c r="X19"/>
      <c r="Y19"/>
      <c r="Z19"/>
      <c r="AA19"/>
      <c r="AB19"/>
      <c r="AC19"/>
      <c r="AD19"/>
      <c r="AE19"/>
      <c r="AF19"/>
      <c r="AJ19"/>
      <c r="AK19"/>
      <c r="AL19"/>
      <c r="AM19"/>
      <c r="AN19"/>
      <c r="AO19"/>
      <c r="AP19"/>
      <c r="AQ19"/>
      <c r="AR19"/>
      <c r="AS19"/>
      <c r="AT19"/>
      <c r="AU19"/>
      <c r="AV19"/>
      <c r="AW19"/>
      <c r="AX19"/>
      <c r="AY19"/>
      <c r="AZ19"/>
      <c r="BA19"/>
      <c r="BB19"/>
      <c r="BC19"/>
      <c r="BD19"/>
      <c r="BE19"/>
      <c r="BF19"/>
      <c r="BG19"/>
      <c r="BH19"/>
      <c r="BI19" s="36"/>
      <c r="BJ19"/>
    </row>
    <row r="20" spans="1:80" ht="14.1" customHeight="1">
      <c r="B20" s="33"/>
      <c r="C20" s="25"/>
      <c r="D20" s="150" t="e">
        <f>#REF!</f>
        <v>#REF!</v>
      </c>
      <c r="E20" s="22"/>
      <c r="F20" s="22"/>
      <c r="G20" s="22"/>
      <c r="H20" s="22"/>
      <c r="I20" s="22"/>
      <c r="J20" s="22"/>
      <c r="L20" s="22"/>
      <c r="M20" s="22"/>
      <c r="N20" s="22"/>
      <c r="P20" s="155"/>
      <c r="Q20" s="150" t="e">
        <f>#REF!</f>
        <v>#REF!</v>
      </c>
      <c r="R20" s="22"/>
      <c r="T20"/>
      <c r="U20"/>
      <c r="V20"/>
      <c r="W20"/>
      <c r="X20"/>
      <c r="Y20"/>
      <c r="Z20"/>
      <c r="AA20"/>
      <c r="AB20"/>
      <c r="AC20" s="39"/>
      <c r="AL20"/>
      <c r="AM20"/>
      <c r="AN20"/>
      <c r="AO20"/>
      <c r="AP20"/>
      <c r="AQ20"/>
      <c r="AR20"/>
      <c r="AS20"/>
      <c r="AT20"/>
      <c r="AU20"/>
      <c r="AV20"/>
      <c r="AW20"/>
      <c r="AX20"/>
      <c r="AY20"/>
      <c r="AZ20"/>
      <c r="BA20"/>
      <c r="BB20"/>
      <c r="BC20"/>
      <c r="BD20"/>
      <c r="BE20"/>
      <c r="BF20"/>
      <c r="BG20"/>
      <c r="BH20"/>
      <c r="BI20" s="36"/>
      <c r="BJ20"/>
    </row>
    <row r="21" spans="1:80" ht="15" thickBot="1">
      <c r="A21" s="197" t="s">
        <v>387</v>
      </c>
      <c r="B21" s="33"/>
      <c r="C21" s="22"/>
      <c r="D21" s="465" t="s">
        <v>318</v>
      </c>
      <c r="E21" s="321" t="s">
        <v>194</v>
      </c>
      <c r="F21" s="321" t="s">
        <v>195</v>
      </c>
      <c r="G21" s="465" t="s">
        <v>319</v>
      </c>
      <c r="H21" s="321" t="s">
        <v>197</v>
      </c>
      <c r="I21" s="321" t="s">
        <v>198</v>
      </c>
      <c r="J21" s="321" t="s">
        <v>199</v>
      </c>
      <c r="K21" s="465" t="s">
        <v>644</v>
      </c>
      <c r="P21" s="39"/>
      <c r="Q21" s="465" t="s">
        <v>318</v>
      </c>
      <c r="R21" s="321" t="s">
        <v>194</v>
      </c>
      <c r="S21" s="321" t="s">
        <v>195</v>
      </c>
      <c r="T21" s="465" t="s">
        <v>319</v>
      </c>
      <c r="U21" s="321" t="s">
        <v>197</v>
      </c>
      <c r="V21" s="321" t="s">
        <v>198</v>
      </c>
      <c r="W21" s="321" t="s">
        <v>199</v>
      </c>
      <c r="X21" s="465" t="s">
        <v>644</v>
      </c>
      <c r="AC21" s="39"/>
      <c r="AD21" s="465" t="s">
        <v>318</v>
      </c>
      <c r="AE21" s="321" t="s">
        <v>194</v>
      </c>
      <c r="AF21" s="321" t="s">
        <v>195</v>
      </c>
      <c r="AG21" s="465" t="s">
        <v>319</v>
      </c>
      <c r="AH21" s="321" t="s">
        <v>197</v>
      </c>
      <c r="AI21" s="321" t="s">
        <v>198</v>
      </c>
      <c r="AJ21" s="321" t="s">
        <v>199</v>
      </c>
      <c r="AK21" s="465" t="s">
        <v>644</v>
      </c>
      <c r="AQ21"/>
      <c r="AR21"/>
      <c r="AS21"/>
      <c r="AT21"/>
      <c r="AU21"/>
      <c r="AV21"/>
      <c r="AW21"/>
      <c r="AX21"/>
      <c r="AY21"/>
      <c r="AZ21"/>
      <c r="BA21"/>
      <c r="BB21"/>
      <c r="BC21"/>
      <c r="BD21"/>
      <c r="BE21"/>
      <c r="BF21"/>
      <c r="BG21"/>
      <c r="BH21"/>
      <c r="BI21" s="36"/>
      <c r="BJ21"/>
      <c r="BL21" s="477" t="e">
        <f>#REF!</f>
        <v>#REF!</v>
      </c>
      <c r="BM21" s="477" t="e">
        <f>#REF!</f>
        <v>#REF!</v>
      </c>
      <c r="BN21" s="477" t="e">
        <f>#REF!</f>
        <v>#REF!</v>
      </c>
      <c r="BO21" s="477" t="e">
        <f>#REF!</f>
        <v>#REF!</v>
      </c>
      <c r="BP21" s="580" t="e">
        <f>#REF!</f>
        <v>#REF!</v>
      </c>
      <c r="BR21" s="477" t="e">
        <f>#REF!</f>
        <v>#REF!</v>
      </c>
      <c r="BS21" s="477" t="e">
        <f>#REF!</f>
        <v>#REF!</v>
      </c>
      <c r="BT21" s="477" t="e">
        <f>#REF!</f>
        <v>#REF!</v>
      </c>
      <c r="BU21" s="477" t="e">
        <f>#REF!</f>
        <v>#REF!</v>
      </c>
      <c r="BV21" s="580" t="e">
        <f>#REF!</f>
        <v>#REF!</v>
      </c>
      <c r="BX21" s="477" t="e">
        <f>#REF!</f>
        <v>#REF!</v>
      </c>
      <c r="BY21" s="477" t="e">
        <f>#REF!</f>
        <v>#REF!</v>
      </c>
      <c r="BZ21" s="477" t="e">
        <f>#REF!</f>
        <v>#REF!</v>
      </c>
      <c r="CA21" s="477" t="e">
        <f>#REF!</f>
        <v>#REF!</v>
      </c>
      <c r="CB21" s="477" t="e">
        <f>#REF!</f>
        <v>#REF!</v>
      </c>
    </row>
    <row r="22" spans="1:80" s="26" customFormat="1" ht="15" customHeight="1" thickBot="1">
      <c r="A22" s="198" t="e">
        <f>IF(COUNT(D22:K22)+COUNT(Q22:X22)=0,BL21,IF(MIN(D22:K22,Q22:X22)=0,"B","A"))</f>
        <v>#REF!</v>
      </c>
      <c r="B22" s="35"/>
      <c r="C22" s="150"/>
      <c r="D22" s="470" t="e">
        <f>IF($A$18=FALSE,$BL$21,IF(ISBLANK(Questions!$D40),"--",Questions!$D40))</f>
        <v>#REF!</v>
      </c>
      <c r="E22" s="189" t="e">
        <f>IF($A$18=FALSE,$BL$21,IF(ISBLANK(Questions!$D43),"--",Questions!$D43))</f>
        <v>#REF!</v>
      </c>
      <c r="F22" s="189" t="e">
        <f>IF($A$18=FALSE,$BL$21,IF(ISBLANK(Questions!$D46),"--",Questions!$D46))</f>
        <v>#REF!</v>
      </c>
      <c r="G22" s="470" t="e">
        <f>IF($A$18=FALSE,$BL$21,IF(ISBLANK(Questions!$D49),"--",Questions!$D49))</f>
        <v>#REF!</v>
      </c>
      <c r="H22" s="189" t="e">
        <f>IF($A$18=FALSE,$BL$21,IF(ISBLANK(Questions!$D52),"--",Questions!$D52))</f>
        <v>#REF!</v>
      </c>
      <c r="I22" s="908" t="e">
        <f>BL21</f>
        <v>#REF!</v>
      </c>
      <c r="J22" s="908" t="e">
        <f>BL21</f>
        <v>#REF!</v>
      </c>
      <c r="K22" s="189" t="e">
        <f>IF($A$18=FALSE,$BL$21,IF(ISBLANK(Questions!$D59),"--",Questions!$D59))</f>
        <v>#REF!</v>
      </c>
      <c r="P22" s="897"/>
      <c r="Q22" s="806" t="e">
        <f>IF($A$18=FALSE,$BR$21,IF(ISBLANK(Questions!$D41),"--",Questions!$D41))</f>
        <v>#REF!</v>
      </c>
      <c r="R22" s="189" t="e">
        <f>IF($A$18=FALSE,$BR$21,IF(ISBLANK(Questions!$D44),"--",Questions!$D44))</f>
        <v>#REF!</v>
      </c>
      <c r="S22" s="189" t="e">
        <f>IF($A$18=FALSE,$BR$21,IF(ISBLANK(Questions!$D47),"--",Questions!$D47))</f>
        <v>#REF!</v>
      </c>
      <c r="T22" s="470" t="e">
        <f>IF($A$18=FALSE,$BR$21,IF(ISBLANK(Questions!$D50),"--",Questions!$D50))</f>
        <v>#REF!</v>
      </c>
      <c r="U22" s="189" t="e">
        <f>IF($A$18=FALSE,$BR$21,IF(ISBLANK(Questions!$D53),"--",Questions!$D53))</f>
        <v>#REF!</v>
      </c>
      <c r="V22" s="189" t="e">
        <f>IF($A$18=FALSE,$BR$21,IF(ISBLANK(Questions!$D55),"--",Questions!$D55))</f>
        <v>#REF!</v>
      </c>
      <c r="W22" s="189" t="e">
        <f>IF($A$18=FALSE,$BR$21,IF(ISBLANK(Questions!$D57),"--",Questions!$D57))</f>
        <v>#REF!</v>
      </c>
      <c r="X22" s="470" t="e">
        <f>IF($A$18=FALSE,$BR$21,IF(ISBLANK(Questions!$D60),"--",Questions!$D60))</f>
        <v>#REF!</v>
      </c>
      <c r="AC22" s="897"/>
      <c r="AD22" s="807" t="e">
        <f t="shared" ref="AD22:AK22" si="0">IF(AND(D22=$BL$21,Q22=$BR$21),$BX$21,IF(AND(D22="--",Q22="--"),"--",IF(COUNT(D22,Q22)&gt;0,ROUND(AVERAGE(D22,Q22),2),"/")))</f>
        <v>#REF!</v>
      </c>
      <c r="AE22" s="748" t="e">
        <f t="shared" si="0"/>
        <v>#REF!</v>
      </c>
      <c r="AF22" s="748" t="e">
        <f t="shared" si="0"/>
        <v>#REF!</v>
      </c>
      <c r="AG22" s="749" t="e">
        <f t="shared" si="0"/>
        <v>#REF!</v>
      </c>
      <c r="AH22" s="748" t="e">
        <f t="shared" si="0"/>
        <v>#REF!</v>
      </c>
      <c r="AI22" s="748" t="e">
        <f t="shared" si="0"/>
        <v>#REF!</v>
      </c>
      <c r="AJ22" s="748" t="e">
        <f t="shared" si="0"/>
        <v>#REF!</v>
      </c>
      <c r="AK22" s="749" t="e">
        <f t="shared" si="0"/>
        <v>#REF!</v>
      </c>
      <c r="AQ22" s="1179" t="s">
        <v>496</v>
      </c>
      <c r="AR22" s="1180"/>
      <c r="AS22" s="1177" t="e">
        <f>IF(AND(O24=BL21,AB24=BR21),BL21,ROUND(CB22/CA22,2))</f>
        <v>#REF!</v>
      </c>
      <c r="AT22" s="1178"/>
      <c r="AU22"/>
      <c r="AV22" s="153"/>
      <c r="AW22" s="153"/>
      <c r="AX22" s="153"/>
      <c r="AY22" s="153"/>
      <c r="AZ22" s="153"/>
      <c r="BA22" s="153"/>
      <c r="BB22" s="153"/>
      <c r="BC22" s="153"/>
      <c r="BD22" s="153"/>
      <c r="BE22"/>
      <c r="BF22"/>
      <c r="BG22"/>
      <c r="BH22"/>
      <c r="BI22" s="36"/>
      <c r="BJ22"/>
      <c r="BL22" s="575">
        <f>COUNTIF(D22:K22,"&gt;-")</f>
        <v>0</v>
      </c>
      <c r="BM22" s="575">
        <f>COUNT(D22:K22)</f>
        <v>0</v>
      </c>
      <c r="BN22" s="575">
        <v>4</v>
      </c>
      <c r="BO22" s="575" t="e">
        <f>IF(AND($A18,BM22&gt;=BN22),BM22*10,"--")</f>
        <v>#REF!</v>
      </c>
      <c r="BP22" s="581" t="e">
        <f>IF(AND($A18,BM22&gt;=BN22),SUM(D22:K22),"--")</f>
        <v>#REF!</v>
      </c>
      <c r="BR22" s="575">
        <f>COUNTIF(Q22:X22,"&gt;-")</f>
        <v>0</v>
      </c>
      <c r="BS22" s="575">
        <f>COUNT(Q22:X22)</f>
        <v>0</v>
      </c>
      <c r="BT22" s="575">
        <v>6</v>
      </c>
      <c r="BU22" s="575" t="e">
        <f>IF(AND($A18,BS22&gt;=BT22),BS22*10,"--")</f>
        <v>#REF!</v>
      </c>
      <c r="BV22" s="581" t="e">
        <f>IF(AND($A18,BS22&gt;=BT22),SUM(Q22:X22),"--")</f>
        <v>#REF!</v>
      </c>
      <c r="BX22" s="575">
        <f>COUNTIF(AD22:AK22,"&gt;-")</f>
        <v>0</v>
      </c>
      <c r="BY22" s="575">
        <f>COUNT(AD22:AK22)</f>
        <v>0</v>
      </c>
      <c r="BZ22" s="575">
        <v>6</v>
      </c>
      <c r="CA22" s="575" t="e">
        <f>IF(AND($A18,BY22&gt;=BZ22),BY22*10,"--")</f>
        <v>#REF!</v>
      </c>
      <c r="CB22" s="575" t="e">
        <f>IF(AND($A18,BY22&gt;=BZ22),SUM(AD22:AK22),"--")</f>
        <v>#REF!</v>
      </c>
    </row>
    <row r="23" spans="1:80" s="499" customFormat="1" ht="15" customHeight="1" thickBot="1">
      <c r="A23" s="495"/>
      <c r="B23" s="496"/>
      <c r="C23" s="497"/>
      <c r="D23" s="750"/>
      <c r="E23" s="750"/>
      <c r="F23" s="750"/>
      <c r="G23" s="750"/>
      <c r="H23" s="750"/>
      <c r="I23" s="750"/>
      <c r="J23" s="750"/>
      <c r="K23" s="750"/>
      <c r="L23" s="498"/>
      <c r="M23" s="498"/>
      <c r="N23" s="498"/>
      <c r="O23" s="498"/>
      <c r="P23" s="898"/>
      <c r="Q23" s="500"/>
      <c r="R23" s="501"/>
      <c r="S23" s="501"/>
      <c r="V23" s="750"/>
      <c r="W23" s="750"/>
      <c r="X23" s="750"/>
      <c r="Y23" s="750"/>
      <c r="Z23" s="750"/>
      <c r="AA23" s="750"/>
      <c r="AB23" s="750"/>
      <c r="AC23" s="899"/>
      <c r="AD23" s="498"/>
      <c r="AE23" s="498"/>
      <c r="AF23" s="498"/>
      <c r="AG23" s="498"/>
      <c r="AK23" s="500"/>
      <c r="AL23" s="501"/>
      <c r="AM23" s="501"/>
      <c r="AQ23" s="502"/>
      <c r="AR23" s="502"/>
      <c r="AS23" s="501"/>
      <c r="AT23" s="501"/>
      <c r="AU23" s="503"/>
      <c r="AV23" s="504"/>
      <c r="AW23" s="504"/>
      <c r="AX23" s="504"/>
      <c r="AY23" s="504"/>
      <c r="AZ23" s="504"/>
      <c r="BA23" s="504"/>
      <c r="BB23" s="504"/>
      <c r="BC23" s="504"/>
      <c r="BD23" s="504"/>
      <c r="BE23" s="506"/>
      <c r="BF23" s="506"/>
      <c r="BG23" s="506"/>
      <c r="BH23" s="506"/>
      <c r="BI23" s="505"/>
      <c r="BJ23" s="506"/>
    </row>
    <row r="24" spans="1:80" s="499" customFormat="1" ht="15" customHeight="1" thickBot="1">
      <c r="A24" s="495"/>
      <c r="B24" s="496"/>
      <c r="C24" s="497"/>
      <c r="D24" s="750"/>
      <c r="E24" s="750"/>
      <c r="F24" s="750"/>
      <c r="G24" s="750"/>
      <c r="H24" s="750"/>
      <c r="I24" s="750"/>
      <c r="J24" s="750"/>
      <c r="K24" s="750"/>
      <c r="L24" s="498"/>
      <c r="M24" s="498"/>
      <c r="N24" s="152" t="s">
        <v>99</v>
      </c>
      <c r="O24" s="1177" t="e">
        <f>IF(AND(A18,BM22&gt;=BN22),ROUND(BP22/BO22,2),BL21)</f>
        <v>#REF!</v>
      </c>
      <c r="P24" s="1178"/>
      <c r="Q24" s="500"/>
      <c r="R24" s="501"/>
      <c r="S24" s="501"/>
      <c r="V24" s="750"/>
      <c r="W24" s="750"/>
      <c r="X24" s="750"/>
      <c r="Y24" s="750"/>
      <c r="Z24" s="750"/>
      <c r="AA24" s="152" t="s">
        <v>100</v>
      </c>
      <c r="AB24" s="1177" t="e">
        <f>IF(AND(A18,BS22&gt;=BT22),ROUND(BV22/BU22,2),BR21)</f>
        <v>#REF!</v>
      </c>
      <c r="AC24" s="1178"/>
      <c r="AD24" s="498"/>
      <c r="AE24" s="498"/>
      <c r="AF24" s="498"/>
      <c r="AG24" s="498"/>
      <c r="AK24" s="500"/>
      <c r="AL24" s="501"/>
      <c r="AM24" s="501"/>
      <c r="AQ24" s="502"/>
      <c r="AR24" s="502"/>
      <c r="AS24" s="501"/>
      <c r="AT24" s="501"/>
      <c r="AU24" s="503"/>
      <c r="AV24" s="504"/>
      <c r="AW24" s="504"/>
      <c r="AX24" s="504"/>
      <c r="AY24" s="504"/>
      <c r="AZ24" s="504"/>
      <c r="BA24" s="504"/>
      <c r="BB24" s="504"/>
      <c r="BC24" s="504"/>
      <c r="BD24" s="504"/>
      <c r="BE24" s="506"/>
      <c r="BF24" s="506"/>
      <c r="BG24" s="506"/>
      <c r="BH24" s="506"/>
      <c r="BI24" s="505"/>
      <c r="BJ24" s="506"/>
    </row>
    <row r="25" spans="1:80" s="499" customFormat="1" ht="15" customHeight="1">
      <c r="A25" s="495"/>
      <c r="B25" s="496"/>
      <c r="C25" s="497"/>
      <c r="D25" s="750"/>
      <c r="E25" s="750"/>
      <c r="F25" s="750"/>
      <c r="G25" s="750"/>
      <c r="H25" s="750"/>
      <c r="I25" s="750"/>
      <c r="J25" s="750"/>
      <c r="K25" s="498"/>
      <c r="L25" s="498"/>
      <c r="M25" s="498"/>
      <c r="N25" s="498"/>
      <c r="O25" s="498"/>
      <c r="Q25" s="500"/>
      <c r="R25" s="501"/>
      <c r="S25" s="501"/>
      <c r="V25" s="750"/>
      <c r="W25" s="750"/>
      <c r="X25" s="750"/>
      <c r="Y25" s="750"/>
      <c r="Z25" s="750"/>
      <c r="AA25" s="750"/>
      <c r="AB25" s="750"/>
      <c r="AC25" s="498"/>
      <c r="AD25" s="498"/>
      <c r="AE25" s="498"/>
      <c r="AF25" s="498"/>
      <c r="AG25" s="498"/>
      <c r="AJ25" s="500"/>
      <c r="AK25" s="501"/>
      <c r="AL25" s="501"/>
      <c r="AQ25" s="502"/>
      <c r="AR25" s="502"/>
      <c r="AS25" s="501"/>
      <c r="AT25" s="501"/>
      <c r="AU25" s="503"/>
      <c r="AV25" s="504"/>
      <c r="AW25" s="504"/>
      <c r="AX25" s="504"/>
      <c r="AY25" s="504"/>
      <c r="AZ25" s="504"/>
      <c r="BA25" s="504"/>
      <c r="BB25" s="504"/>
      <c r="BC25" s="504"/>
      <c r="BD25" s="504"/>
      <c r="BE25" s="506"/>
      <c r="BF25" s="506"/>
      <c r="BG25" s="506"/>
      <c r="BH25" s="506"/>
      <c r="BI25" s="505"/>
      <c r="BJ25" s="506"/>
    </row>
    <row r="26" spans="1:80" ht="9.9499999999999993" customHeight="1">
      <c r="A26" s="471"/>
      <c r="B26" s="472"/>
      <c r="C26" s="225"/>
      <c r="D26" s="473"/>
      <c r="E26" s="474"/>
      <c r="F26" s="474"/>
      <c r="G26" s="474"/>
      <c r="H26" s="474"/>
      <c r="I26" s="474"/>
      <c r="J26" s="474"/>
      <c r="K26" s="359"/>
      <c r="L26" s="473"/>
      <c r="M26" s="474"/>
      <c r="N26" s="474"/>
      <c r="O26" s="474"/>
      <c r="P26" s="474"/>
      <c r="Q26" s="474"/>
      <c r="R26" s="474"/>
      <c r="S26" s="359"/>
      <c r="T26" s="359"/>
      <c r="U26" s="473"/>
      <c r="V26" s="359"/>
      <c r="W26" s="359"/>
      <c r="X26" s="359"/>
      <c r="Y26" s="359"/>
      <c r="Z26" s="359"/>
      <c r="AA26" s="359"/>
      <c r="AB26" s="359"/>
      <c r="AC26" s="359"/>
      <c r="AD26" s="359"/>
      <c r="AE26" s="359"/>
      <c r="AF26" s="359"/>
      <c r="AG26" s="359"/>
      <c r="AH26" s="359"/>
      <c r="AI26" s="359"/>
      <c r="AJ26" s="359"/>
      <c r="AK26" s="359"/>
      <c r="AL26" s="359"/>
      <c r="AM26" s="359"/>
      <c r="AN26" s="359"/>
      <c r="AO26" s="359"/>
      <c r="AP26" s="359"/>
      <c r="AQ26" s="359"/>
      <c r="AR26" s="359"/>
      <c r="AS26" s="475"/>
      <c r="AT26" s="359"/>
      <c r="AU26" s="359"/>
      <c r="AV26" s="359"/>
      <c r="AW26" s="359"/>
      <c r="AX26" s="359"/>
      <c r="AY26" s="359"/>
      <c r="AZ26" s="359"/>
      <c r="BA26" s="359"/>
      <c r="BB26" s="359"/>
      <c r="BC26" s="359"/>
      <c r="BD26" s="359"/>
      <c r="BE26" s="359"/>
      <c r="BF26" s="359"/>
      <c r="BG26" s="359"/>
      <c r="BH26" s="359"/>
      <c r="BI26" s="476"/>
      <c r="BJ26"/>
    </row>
    <row r="27" spans="1:80" ht="18">
      <c r="A27" s="757" t="e">
        <f>#REF!</f>
        <v>#REF!</v>
      </c>
      <c r="B27" s="33"/>
      <c r="C27" s="180" t="s">
        <v>39</v>
      </c>
      <c r="D27" s="22"/>
      <c r="E27" s="147" t="e">
        <f>#REF!</f>
        <v>#REF!</v>
      </c>
      <c r="F27" s="22"/>
      <c r="G27" s="22"/>
      <c r="H27" s="22"/>
      <c r="I27" s="22"/>
      <c r="J27" s="22"/>
      <c r="K27" s="22"/>
      <c r="L27" s="22"/>
      <c r="M27" s="22"/>
      <c r="N27" s="22"/>
      <c r="O27" s="25"/>
      <c r="P27" s="22"/>
      <c r="Q27" s="22"/>
      <c r="R27" s="22"/>
      <c r="S27" s="22"/>
      <c r="T27" s="22"/>
      <c r="U27" s="22"/>
      <c r="V27"/>
      <c r="W27"/>
      <c r="X27"/>
      <c r="Y27"/>
      <c r="Z27"/>
      <c r="AA27"/>
      <c r="AB27"/>
      <c r="AF27"/>
      <c r="AG27"/>
      <c r="AH27"/>
      <c r="AI27"/>
      <c r="AJ27"/>
      <c r="AK27"/>
      <c r="AL27"/>
      <c r="AM27"/>
      <c r="AN27"/>
      <c r="AO27"/>
      <c r="AP27"/>
      <c r="AQ27"/>
      <c r="AR27"/>
      <c r="AS27"/>
      <c r="AT27"/>
      <c r="AU27"/>
      <c r="AV27"/>
      <c r="AW27"/>
      <c r="AX27"/>
      <c r="AY27"/>
      <c r="AZ27"/>
      <c r="BA27"/>
      <c r="BB27"/>
      <c r="BC27"/>
      <c r="BD27"/>
      <c r="BE27"/>
      <c r="BF27"/>
      <c r="BG27"/>
      <c r="BH27"/>
      <c r="BI27" s="36"/>
      <c r="BJ27"/>
    </row>
    <row r="28" spans="1:80" ht="15" thickBot="1">
      <c r="A28" s="197" t="s">
        <v>388</v>
      </c>
      <c r="B28" s="33"/>
      <c r="C28" s="22"/>
      <c r="D28" s="22"/>
      <c r="E28" s="22"/>
      <c r="F28" s="22"/>
      <c r="G28" s="22"/>
      <c r="H28" s="22"/>
      <c r="I28" s="22"/>
      <c r="J28" s="22"/>
      <c r="K28" s="22"/>
      <c r="L28" s="321" t="s">
        <v>95</v>
      </c>
      <c r="M28" s="321" t="s">
        <v>159</v>
      </c>
      <c r="N28" s="321" t="s">
        <v>160</v>
      </c>
      <c r="O28" s="465" t="s">
        <v>310</v>
      </c>
      <c r="P28" s="465" t="s">
        <v>358</v>
      </c>
      <c r="Q28" s="321" t="s">
        <v>165</v>
      </c>
      <c r="R28" s="321" t="s">
        <v>166</v>
      </c>
      <c r="X28" s="22"/>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2"/>
      <c r="BA28" s="22"/>
      <c r="BB28" s="22"/>
      <c r="BC28" s="22"/>
      <c r="BD28" s="22"/>
      <c r="BE28"/>
      <c r="BF28"/>
      <c r="BG28"/>
      <c r="BH28"/>
      <c r="BI28" s="34"/>
      <c r="BJ28" s="22"/>
      <c r="BL28" s="477" t="e">
        <f>$BL$7</f>
        <v>#REF!</v>
      </c>
      <c r="BM28" s="477" t="e">
        <f>$BM$7</f>
        <v>#REF!</v>
      </c>
      <c r="BN28" s="477" t="e">
        <f>$BN$7</f>
        <v>#REF!</v>
      </c>
      <c r="BO28" s="477" t="s">
        <v>444</v>
      </c>
      <c r="BP28" s="477" t="s">
        <v>305</v>
      </c>
    </row>
    <row r="29" spans="1:80" ht="16.5" thickBot="1">
      <c r="A29" s="198" t="e">
        <f>IF(COUNT(L29:R29)=0,BL28,IF(MIN(L29:R29)=0,"B","A"))</f>
        <v>#REF!</v>
      </c>
      <c r="B29" s="33"/>
      <c r="C29" s="53" t="s">
        <v>141</v>
      </c>
      <c r="D29" s="54" t="str">
        <f>Questions!C61</f>
        <v xml:space="preserve">Supplier Management </v>
      </c>
      <c r="E29" s="22"/>
      <c r="F29" s="22"/>
      <c r="G29" s="22"/>
      <c r="H29" s="22"/>
      <c r="I29" s="22"/>
      <c r="J29" s="22"/>
      <c r="K29" s="22"/>
      <c r="L29" s="189" t="e">
        <f>IF($A$27=FALSE,$BL$28,IF(ISBLANK(Questions!$D62),"--",Questions!$D62))</f>
        <v>#REF!</v>
      </c>
      <c r="M29" s="189" t="e">
        <f>IF($A$27=FALSE,$BL$28,IF(ISBLANK(Questions!$D63),"--",Questions!$D63))</f>
        <v>#REF!</v>
      </c>
      <c r="N29" s="189" t="e">
        <f>IF($A$27=FALSE,$BL$28,IF(ISBLANK(Questions!$D64),"--",Questions!$D64))</f>
        <v>#REF!</v>
      </c>
      <c r="O29" s="470" t="e">
        <f>IF($A$27=FALSE,$BL$28,IF(ISBLANK(Questions!$D65),"--",Questions!$D65))</f>
        <v>#REF!</v>
      </c>
      <c r="P29" s="470" t="e">
        <f>IF($A$27=FALSE,$BL$28,IF(ISBLANK(Questions!$D66),"--",Questions!$D66))</f>
        <v>#REF!</v>
      </c>
      <c r="Q29" s="189" t="e">
        <f>IF($A$27=FALSE,$BL$28,IF(ISBLANK(Questions!$D67),"--",Questions!$D67))</f>
        <v>#REF!</v>
      </c>
      <c r="R29" s="189" t="e">
        <f>IF($A$27=FALSE,$BL$28,IF(ISBLANK(Questions!$D68),"--",Questions!$D68))</f>
        <v>#REF!</v>
      </c>
      <c r="X29" s="22"/>
      <c r="Y29" s="22"/>
      <c r="Z29" s="22"/>
      <c r="AA29" s="22"/>
      <c r="AB29" s="22"/>
      <c r="AC29" s="22"/>
      <c r="AD29" s="22"/>
      <c r="AE29" s="22"/>
      <c r="AF29" s="22"/>
      <c r="AG29" s="22"/>
      <c r="AH29" s="22"/>
      <c r="AI29" s="22"/>
      <c r="AJ29" s="22"/>
      <c r="AK29" s="22"/>
      <c r="AL29" s="22"/>
      <c r="AM29" s="22"/>
      <c r="AN29" s="22"/>
      <c r="AO29" s="22"/>
      <c r="AP29" s="22"/>
      <c r="AQ29" s="1179" t="s">
        <v>497</v>
      </c>
      <c r="AR29" s="1180"/>
      <c r="AS29" s="1195" t="e">
        <f>IF(AND(A27,BM29&gt;=BN29),ROUND(BP29/BO29,2),BL28)</f>
        <v>#REF!</v>
      </c>
      <c r="AT29" s="1196"/>
      <c r="AU29"/>
      <c r="AV29" s="153"/>
      <c r="AW29" s="153"/>
      <c r="AX29" s="153"/>
      <c r="AY29" s="153"/>
      <c r="AZ29" s="153"/>
      <c r="BA29" s="153"/>
      <c r="BB29" s="153"/>
      <c r="BC29" s="153"/>
      <c r="BD29" s="153"/>
      <c r="BE29"/>
      <c r="BF29"/>
      <c r="BG29"/>
      <c r="BH29"/>
      <c r="BI29" s="34"/>
      <c r="BJ29" s="22"/>
      <c r="BL29" s="575">
        <f>COUNTIF(L29:R29,"&gt;-")</f>
        <v>0</v>
      </c>
      <c r="BM29" s="575">
        <f>COUNT(L29:R29)</f>
        <v>0</v>
      </c>
      <c r="BN29" s="575">
        <v>5</v>
      </c>
      <c r="BO29" s="575" t="e">
        <f>IF(AND($A27,BM29&gt;=BN29),BM29*10,"--")</f>
        <v>#REF!</v>
      </c>
      <c r="BP29" s="575" t="e">
        <f>IF(AND($A27,BM29&gt;=BN29),SUM(L29:R29),"--")</f>
        <v>#REF!</v>
      </c>
    </row>
    <row r="30" spans="1:80" ht="15">
      <c r="B30" s="33"/>
      <c r="C30" s="22"/>
      <c r="D30" s="22"/>
      <c r="E30" s="22"/>
      <c r="F30" s="22"/>
      <c r="G30" s="22"/>
      <c r="H30" s="22"/>
      <c r="I30" s="22"/>
      <c r="J30" s="22"/>
      <c r="K30" s="22"/>
      <c r="L30" s="22"/>
      <c r="M30" s="22"/>
      <c r="N30" s="22"/>
      <c r="O30" s="22"/>
      <c r="P30" s="22"/>
      <c r="Q30" s="22"/>
      <c r="R30" s="22"/>
      <c r="S30" s="22"/>
      <c r="T30" s="22"/>
      <c r="U30" s="22"/>
      <c r="V30" s="22"/>
      <c r="W30" s="22"/>
      <c r="X30" s="22"/>
      <c r="Y30" s="22"/>
      <c r="Z30" s="22"/>
      <c r="AA30" s="22"/>
      <c r="AB30" s="22"/>
      <c r="AC30" s="22"/>
      <c r="AD30" s="22"/>
      <c r="AE30" s="22"/>
      <c r="AF30" s="22"/>
      <c r="AG30" s="22"/>
      <c r="AH30" s="22"/>
      <c r="AI30" s="25"/>
      <c r="AJ30" s="25"/>
      <c r="AK30" s="25"/>
      <c r="AL30" s="25"/>
      <c r="AM30" s="22"/>
      <c r="AN30" s="22"/>
      <c r="AO30" s="22"/>
      <c r="AP30" s="22"/>
      <c r="AQ30" s="183"/>
      <c r="AR30" s="183"/>
      <c r="AS30" s="208"/>
      <c r="AT30" s="183"/>
      <c r="AU30" s="183"/>
      <c r="AV30" s="183"/>
      <c r="AW30" s="183"/>
      <c r="AX30" s="183"/>
      <c r="AY30" s="183"/>
      <c r="AZ30" s="183"/>
      <c r="BA30" s="183"/>
      <c r="BB30" s="183"/>
      <c r="BC30" s="183"/>
      <c r="BD30" s="183"/>
      <c r="BE30"/>
      <c r="BF30"/>
      <c r="BG30"/>
      <c r="BH30"/>
      <c r="BI30" s="37"/>
      <c r="BJ30" s="183"/>
    </row>
    <row r="31" spans="1:80" ht="15.75">
      <c r="A31" s="757" t="e">
        <f>#REF!</f>
        <v>#REF!</v>
      </c>
      <c r="B31" s="33"/>
      <c r="C31" s="53" t="s">
        <v>142</v>
      </c>
      <c r="D31" s="54" t="str">
        <f>Questions!C69</f>
        <v xml:space="preserve">Process analysis /
production </v>
      </c>
      <c r="E31" s="25"/>
      <c r="F31" s="25"/>
      <c r="G31" s="25"/>
      <c r="H31" s="25"/>
      <c r="I31" s="25"/>
      <c r="J31" s="25"/>
      <c r="K31" s="25"/>
      <c r="L31" s="25"/>
      <c r="M31" s="25"/>
      <c r="N31" s="25"/>
      <c r="O31" s="25"/>
      <c r="P31" s="25"/>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141"/>
      <c r="AR31"/>
      <c r="AS31" s="25"/>
      <c r="AT31" s="25"/>
      <c r="AU31" s="25"/>
      <c r="AV31" s="25"/>
      <c r="AW31" s="25"/>
      <c r="AX31" s="25"/>
      <c r="AY31" s="25"/>
      <c r="AZ31" s="25"/>
      <c r="BA31" s="25"/>
      <c r="BB31" s="25"/>
      <c r="BC31" s="25"/>
      <c r="BD31" s="25"/>
      <c r="BE31"/>
      <c r="BF31"/>
      <c r="BG31"/>
      <c r="BH31"/>
      <c r="BI31" s="155"/>
      <c r="BJ31" s="25"/>
    </row>
    <row r="32" spans="1:80" ht="15">
      <c r="B32" s="33"/>
      <c r="C32" s="22"/>
      <c r="D32" s="22"/>
      <c r="E32" s="22"/>
      <c r="F32" s="22"/>
      <c r="G32" s="22"/>
      <c r="H32" s="22"/>
      <c r="I32" s="22"/>
      <c r="J32" s="22"/>
      <c r="K32" s="22"/>
      <c r="L32" s="22"/>
      <c r="M32" s="22"/>
      <c r="N32" s="22"/>
      <c r="O32" s="25"/>
      <c r="P32" s="22"/>
      <c r="Q32" s="22"/>
      <c r="R32" s="22"/>
      <c r="S32" s="22"/>
      <c r="T32" s="22"/>
      <c r="U32" s="22"/>
      <c r="V32" s="22"/>
      <c r="W32" s="22"/>
      <c r="X32" s="22"/>
      <c r="Y32" s="22"/>
      <c r="Z32" s="22"/>
      <c r="AA32" s="22"/>
      <c r="AB32" s="22"/>
      <c r="AC32" s="22"/>
      <c r="AD32" s="22"/>
      <c r="AE32" s="22"/>
      <c r="AF32" s="22"/>
      <c r="AG32" s="22"/>
      <c r="AH32" s="22"/>
      <c r="AI32" s="22"/>
      <c r="AJ32" s="22"/>
      <c r="AK32" s="22"/>
      <c r="AL32" s="22"/>
      <c r="AM32" s="22"/>
      <c r="AN32" s="22"/>
      <c r="AO32" s="22"/>
      <c r="AP32" s="22"/>
      <c r="AQ32" s="22"/>
      <c r="AR32" s="22"/>
      <c r="AS32" s="22"/>
      <c r="AT32" s="22"/>
      <c r="AU32" s="22"/>
      <c r="AV32" s="22"/>
      <c r="AW32" s="22"/>
      <c r="AX32" s="22"/>
      <c r="AY32" s="22"/>
      <c r="AZ32" s="22"/>
      <c r="BA32" s="22"/>
      <c r="BB32" s="22"/>
      <c r="BC32" s="22"/>
      <c r="BD32" s="22"/>
      <c r="BE32"/>
      <c r="BF32"/>
      <c r="BG32"/>
      <c r="BH32"/>
      <c r="BI32" s="34"/>
      <c r="BJ32" s="22"/>
    </row>
    <row r="33" spans="1:68" ht="30" customHeight="1">
      <c r="B33" s="33"/>
      <c r="C33"/>
      <c r="D33" s="28" t="e">
        <f>#REF!</f>
        <v>#REF!</v>
      </c>
      <c r="E33" s="29"/>
      <c r="F33" s="29"/>
      <c r="G33" s="29"/>
      <c r="H33" s="29"/>
      <c r="I33"/>
      <c r="J33" s="1199" t="e">
        <f>#REF!</f>
        <v>#REF!</v>
      </c>
      <c r="K33" s="1199" t="e">
        <f>#REF!</f>
        <v>#REF!</v>
      </c>
      <c r="L33" s="1199" t="e">
        <f>#REF!</f>
        <v>#REF!</v>
      </c>
      <c r="M33" s="1199" t="e">
        <f>#REF!</f>
        <v>#REF!</v>
      </c>
      <c r="N33" s="1199" t="e">
        <f>#REF!</f>
        <v>#REF!</v>
      </c>
      <c r="O33" s="1199" t="e">
        <f>#REF!</f>
        <v>#REF!</v>
      </c>
      <c r="P33" s="1199" t="e">
        <f>#REF!</f>
        <v>#REF!</v>
      </c>
      <c r="Q33" s="1199" t="e">
        <f>#REF!</f>
        <v>#REF!</v>
      </c>
      <c r="R33" s="1199" t="e">
        <f>#REF!</f>
        <v>#REF!</v>
      </c>
      <c r="S33" s="29"/>
      <c r="T33" s="1200" t="e">
        <f>#REF!</f>
        <v>#REF!</v>
      </c>
      <c r="U33" s="1200" t="e">
        <f>#REF!</f>
        <v>#REF!</v>
      </c>
      <c r="V33" s="1200" t="e">
        <f>#REF!</f>
        <v>#REF!</v>
      </c>
      <c r="W33" s="1200" t="e">
        <f>#REF!</f>
        <v>#REF!</v>
      </c>
      <c r="X33" s="1200" t="e">
        <f>#REF!</f>
        <v>#REF!</v>
      </c>
      <c r="Z33" s="1200" t="e">
        <f>#REF!</f>
        <v>#REF!</v>
      </c>
      <c r="AA33" s="1200" t="e">
        <f>#REF!</f>
        <v>#REF!</v>
      </c>
      <c r="AB33" s="1200" t="e">
        <f>#REF!</f>
        <v>#REF!</v>
      </c>
      <c r="AC33" s="1200" t="e">
        <f>#REF!</f>
        <v>#REF!</v>
      </c>
      <c r="AD33" s="29"/>
      <c r="AE33" s="1200" t="e">
        <f>#REF!</f>
        <v>#REF!</v>
      </c>
      <c r="AF33" s="1200" t="e">
        <f>#REF!</f>
        <v>#REF!</v>
      </c>
      <c r="AG33" s="1200" t="e">
        <f>#REF!</f>
        <v>#REF!</v>
      </c>
      <c r="AH33" s="1200" t="e">
        <f>#REF!</f>
        <v>#REF!</v>
      </c>
      <c r="AI33" s="29"/>
      <c r="AJ33" s="29"/>
      <c r="AK33" s="29"/>
      <c r="AL33" s="29"/>
      <c r="AM33"/>
      <c r="AN33"/>
      <c r="AO33"/>
      <c r="AP33"/>
      <c r="AQ33" s="1201" t="e">
        <f>#REF!</f>
        <v>#REF!</v>
      </c>
      <c r="AR33" s="1201" t="e">
        <f>#REF!</f>
        <v>#REF!</v>
      </c>
      <c r="AS33" s="1201" t="e">
        <f>#REF!</f>
        <v>#REF!</v>
      </c>
      <c r="AT33" s="1201" t="e">
        <f>#REF!</f>
        <v>#REF!</v>
      </c>
      <c r="AU33" s="29"/>
      <c r="AX33" s="156" t="e">
        <f>#REF!</f>
        <v>#REF!</v>
      </c>
      <c r="AY33" s="29"/>
      <c r="AZ33" s="29"/>
      <c r="BA33" s="29"/>
      <c r="BB33" s="29"/>
      <c r="BC33" s="29"/>
      <c r="BD33" s="29"/>
      <c r="BE33" s="29"/>
      <c r="BF33"/>
      <c r="BG33"/>
      <c r="BH33"/>
      <c r="BI33" s="157"/>
      <c r="BJ33" s="29"/>
    </row>
    <row r="34" spans="1:68">
      <c r="B34" s="33"/>
      <c r="C34" s="20"/>
      <c r="D34" s="281" t="s">
        <v>167</v>
      </c>
      <c r="E34" s="282" t="s">
        <v>76</v>
      </c>
      <c r="F34" s="281" t="s">
        <v>62</v>
      </c>
      <c r="G34" s="281" t="s">
        <v>63</v>
      </c>
      <c r="H34" s="466" t="s">
        <v>331</v>
      </c>
      <c r="I34" s="283"/>
      <c r="J34" s="281" t="s">
        <v>169</v>
      </c>
      <c r="K34" s="282" t="s">
        <v>0</v>
      </c>
      <c r="L34" s="466" t="s">
        <v>89</v>
      </c>
      <c r="M34" s="466" t="s">
        <v>90</v>
      </c>
      <c r="N34" s="281" t="s">
        <v>65</v>
      </c>
      <c r="O34"/>
      <c r="P34" s="466" t="s">
        <v>501</v>
      </c>
      <c r="Q34" s="281" t="s">
        <v>4</v>
      </c>
      <c r="R34" s="281" t="s">
        <v>67</v>
      </c>
      <c r="S34" s="282"/>
      <c r="T34" s="466" t="s">
        <v>342</v>
      </c>
      <c r="U34" s="281" t="s">
        <v>171</v>
      </c>
      <c r="V34" s="466" t="s">
        <v>344</v>
      </c>
      <c r="W34" s="281" t="s">
        <v>70</v>
      </c>
      <c r="X34" s="281" t="s">
        <v>345</v>
      </c>
      <c r="Z34" s="281" t="s">
        <v>71</v>
      </c>
      <c r="AA34" s="281" t="s">
        <v>72</v>
      </c>
      <c r="AB34" s="466" t="s">
        <v>646</v>
      </c>
      <c r="AC34" s="281" t="s">
        <v>176</v>
      </c>
      <c r="AD34" s="283"/>
      <c r="AE34" s="281" t="s">
        <v>179</v>
      </c>
      <c r="AF34" s="281" t="s">
        <v>73</v>
      </c>
      <c r="AG34" s="281" t="s">
        <v>74</v>
      </c>
      <c r="AH34" s="466" t="s">
        <v>348</v>
      </c>
      <c r="AI34" s="284"/>
      <c r="AJ34" s="284"/>
      <c r="AK34" s="284"/>
      <c r="AL34" s="284"/>
      <c r="AM34" s="284"/>
      <c r="AN34" s="284"/>
      <c r="AO34" s="284"/>
      <c r="AP34" s="284"/>
      <c r="AQ34" s="284"/>
      <c r="AR34" s="283"/>
      <c r="AS34" s="285"/>
      <c r="AT34" s="282"/>
      <c r="AU34" s="282"/>
      <c r="AX34" s="281" t="s">
        <v>76</v>
      </c>
      <c r="AY34" s="282" t="s">
        <v>62</v>
      </c>
      <c r="AZ34" s="282" t="s">
        <v>63</v>
      </c>
      <c r="BA34" s="282" t="s">
        <v>2</v>
      </c>
      <c r="BB34" s="282" t="s">
        <v>65</v>
      </c>
      <c r="BC34" s="282" t="s">
        <v>179</v>
      </c>
      <c r="BD34" s="282" t="s">
        <v>73</v>
      </c>
      <c r="BE34" s="282" t="s">
        <v>74</v>
      </c>
      <c r="BF34"/>
      <c r="BG34"/>
      <c r="BH34"/>
      <c r="BI34" s="38"/>
      <c r="BJ34" s="21"/>
    </row>
    <row r="35" spans="1:68" ht="15.75" hidden="1" thickBot="1">
      <c r="B35" s="33"/>
      <c r="C35" s="28"/>
      <c r="D35" s="154" t="s">
        <v>92</v>
      </c>
      <c r="E35" s="154"/>
      <c r="F35" s="21"/>
      <c r="G35" s="21"/>
      <c r="H35" s="467"/>
      <c r="I35" s="154" t="str">
        <f>PrSchr1</f>
        <v>Incoming</v>
      </c>
      <c r="K35" s="21"/>
      <c r="L35" s="468"/>
      <c r="M35" s="468"/>
      <c r="N35" s="21"/>
      <c r="O35"/>
      <c r="P35" s="468"/>
      <c r="Q35" s="21"/>
      <c r="R35" s="21"/>
      <c r="S35" s="21"/>
      <c r="T35" s="468"/>
      <c r="U35" s="21"/>
      <c r="V35" s="468"/>
      <c r="W35" s="21"/>
      <c r="X35" s="21"/>
      <c r="Z35" s="21"/>
      <c r="AA35" s="21"/>
      <c r="AB35" s="468"/>
      <c r="AC35" s="21"/>
      <c r="AD35" s="21"/>
      <c r="AE35" s="21"/>
      <c r="AF35" s="21"/>
      <c r="AG35" s="21"/>
      <c r="AH35" s="468"/>
      <c r="AN35" s="477"/>
      <c r="AO35" s="477"/>
      <c r="AP35" s="477"/>
      <c r="AQ35" s="21"/>
      <c r="AR35" s="28" t="s">
        <v>101</v>
      </c>
      <c r="AS35" s="146"/>
      <c r="AT35" s="140"/>
      <c r="AU35" s="140"/>
      <c r="AX35" s="140"/>
      <c r="AY35" s="140"/>
      <c r="AZ35" s="160"/>
      <c r="BA35" s="160"/>
      <c r="BB35" s="160"/>
      <c r="BC35" s="160"/>
      <c r="BD35" s="160"/>
      <c r="BE35" s="160"/>
      <c r="BF35"/>
      <c r="BG35"/>
      <c r="BH35"/>
      <c r="BI35" s="36"/>
      <c r="BJ35"/>
      <c r="BL35" s="477" t="e">
        <f>$BL$7</f>
        <v>#REF!</v>
      </c>
      <c r="BM35" s="477" t="e">
        <f>$BM$7</f>
        <v>#REF!</v>
      </c>
      <c r="BN35" s="477" t="e">
        <f>$BN$7</f>
        <v>#REF!</v>
      </c>
      <c r="BO35" s="477" t="e">
        <f>BO7</f>
        <v>#REF!</v>
      </c>
      <c r="BP35" s="477" t="e">
        <f>BP7</f>
        <v>#REF!</v>
      </c>
    </row>
    <row r="36" spans="1:68" ht="15.75" hidden="1" thickBot="1">
      <c r="A36" s="198" t="str">
        <f>IF(COUNT(D36:AH36)=0,"n.b.",IF(MIN(D36:H36,J36:O36,P36:R36,T36:X36,Z36:AC36,AE36:AH36)=0,"B","A"))</f>
        <v>n.b.</v>
      </c>
      <c r="B36" s="33"/>
      <c r="C36" s="30" t="e">
        <f>IF(AND(#REF!="X",'Input Form'!D53="x"),"X","&lt;&gt;")</f>
        <v>#REF!</v>
      </c>
      <c r="D36" s="189" t="e">
        <f>IF($A$31=FALSE,$BL$35,IF($C36="X",IF(ISBLANK(Questions!$D72),"--",Questions!$D72),"xx"))</f>
        <v>#REF!</v>
      </c>
      <c r="E36" s="189" t="e">
        <f>IF($A$31=FALSE,$BL$35,IF($C36="X",IF(ISBLANK(Questions!$D83),"--",Questions!$D83),"xx"))</f>
        <v>#REF!</v>
      </c>
      <c r="F36" s="189" t="e">
        <f>IF($A$31=FALSE,$BL$35,IF($C36="X",IF(ISBLANK(Questions!$D94),"--",Questions!$D94),"xx"))</f>
        <v>#REF!</v>
      </c>
      <c r="G36" s="189" t="e">
        <f>IF($A$31=FALSE,$BL$35,IF($C36="X",IF(ISBLANK(Questions!$D105),"--",Questions!$D105),"xx"))</f>
        <v>#REF!</v>
      </c>
      <c r="H36" s="470" t="e">
        <f>IF($A$31=FALSE,$BL$35,IF($C36="X",IF(ISBLANK(Questions!$D116),"--",Questions!$D116),"xx"))</f>
        <v>#REF!</v>
      </c>
      <c r="I36" s="183"/>
      <c r="J36" s="189" t="e">
        <f>IF($A$31=FALSE,$BL$35,IF($C36="X",IF(ISBLANK(Questions!$D128),"--",Questions!$D128),"xx"))</f>
        <v>#REF!</v>
      </c>
      <c r="K36" s="189" t="e">
        <f>IF($A$31=FALSE,$BL$35,IF($C36="X",IF(ISBLANK(Questions!$D139),"--",Questions!$D139),"xx"))</f>
        <v>#REF!</v>
      </c>
      <c r="L36" s="470" t="e">
        <f>IF($A$31=FALSE,$BL$35,IF($C36="X",IF(ISBLANK(Questions!$D150),"--",Questions!$D150),"xx"))</f>
        <v>#REF!</v>
      </c>
      <c r="M36" s="470" t="e">
        <f>IF($A$31=FALSE,$BL$35,IF($C36="X",IF(ISBLANK(Questions!$D161),"--",Questions!$D161),"xx"))</f>
        <v>#REF!</v>
      </c>
      <c r="N36" s="189" t="e">
        <f>IF($A$31=FALSE,$BL$35,IF($C36="X",IF(ISBLANK(Questions!$D172),"--",Questions!$D172),"xx"))</f>
        <v>#REF!</v>
      </c>
      <c r="O36"/>
      <c r="P36" s="470" t="e">
        <f>IF($A$31=FALSE,$BL$35,IF($C36="X",IF(ISBLANK(Questions!$D182),"--",Questions!$D182),"xx"))</f>
        <v>#REF!</v>
      </c>
      <c r="Q36" s="189" t="e">
        <f>IF($A$31=FALSE,$BL$35,IF($C36="X",IF(ISBLANK(Questions!$D193),"--",Questions!$D193),"xx"))</f>
        <v>#REF!</v>
      </c>
      <c r="R36" s="189" t="e">
        <f>IF($A$31=FALSE,$BL$35,IF($C36="X",IF(ISBLANK(Questions!$D204),"--",Questions!$D204),"xx"))</f>
        <v>#REF!</v>
      </c>
      <c r="S36" s="183"/>
      <c r="T36" s="470" t="e">
        <f>IF($A$31=FALSE,$BL$35,IF($C36="X",IF(ISBLANK(Questions!$D216),"--",Questions!$D216),"xx"))</f>
        <v>#REF!</v>
      </c>
      <c r="U36" s="189" t="e">
        <f>IF($A$31=FALSE,$BL$35,IF($C36="X",IF(ISBLANK(Questions!$D227),"--",Questions!$D227),"xx"))</f>
        <v>#REF!</v>
      </c>
      <c r="V36" s="470" t="e">
        <f>IF($A$31=FALSE,$BL$35,IF($C36="X",IF(ISBLANK(Questions!$D238),"--",Questions!$D238),"xx"))</f>
        <v>#REF!</v>
      </c>
      <c r="W36" s="189" t="e">
        <f>IF($A$31=FALSE,$BL$35,IF($C36="X",IF(ISBLANK(Questions!$D249),"--",Questions!$D249),"xx"))</f>
        <v>#REF!</v>
      </c>
      <c r="X36" s="189" t="e">
        <f>IF($A$31=FALSE,$BL$35,IF($C36="X",IF(ISBLANK(Questions!$D260),"--",Questions!$D260),"xx"))</f>
        <v>#REF!</v>
      </c>
      <c r="Z36" s="189" t="e">
        <f>IF($A$31=FALSE,$BL$35,IF($C36="X",IF(ISBLANK(Questions!$D272),"--",Questions!$D272),"xx"))</f>
        <v>#REF!</v>
      </c>
      <c r="AA36" s="189" t="e">
        <f>IF($A$31=FALSE,$BL$35,IF($C36="X",IF(ISBLANK(Questions!$D283),"--",Questions!$D283),"xx"))</f>
        <v>#REF!</v>
      </c>
      <c r="AB36" s="470" t="e">
        <f>IF($A$31=FALSE,$BL$35,IF($C36="X",IF(ISBLANK(Questions!$D294),"--",Questions!$D294),"xx"))</f>
        <v>#REF!</v>
      </c>
      <c r="AC36" s="189" t="e">
        <f>IF($A$31=FALSE,$BL$35,IF($C36="X",IF(ISBLANK(Questions!$D305),"--",Questions!$D305),"xx"))</f>
        <v>#REF!</v>
      </c>
      <c r="AD36" s="183"/>
      <c r="AE36" s="189" t="e">
        <f>IF($A$31=FALSE,$BL$35,IF($C36="X",IF(ISBLANK(Questions!$D317),"--",Questions!$D317),"xx"))</f>
        <v>#REF!</v>
      </c>
      <c r="AF36" s="189" t="e">
        <f>IF($A$31=FALSE,$BL$35,IF($C36="X",IF(ISBLANK(Questions!$D328),"--",Questions!$D328),"xx"))</f>
        <v>#REF!</v>
      </c>
      <c r="AG36" s="189" t="e">
        <f>IF($A$31=FALSE,$BL$35,IF($C36="X",IF(ISBLANK(Questions!$D339),"--",Questions!$D339),"xx"))</f>
        <v>#REF!</v>
      </c>
      <c r="AH36" s="470" t="e">
        <f>IF($A$31=FALSE,$BL$35,IF($C36="X",IF(ISBLANK(Questions!$D350),"--",Questions!$D350),"xx"))</f>
        <v>#REF!</v>
      </c>
      <c r="AN36" s="477"/>
      <c r="AO36" s="477"/>
      <c r="AP36" s="477"/>
      <c r="AQ36" s="27"/>
      <c r="AR36" s="30"/>
      <c r="AS36" s="1197" t="e">
        <f>IF($A$31=FALSE,$BL$35,IF(C36="&lt;&gt;","xx",IF(BM36&lt;BN36,$BL$35,ROUND(BP36/BO36,2))))</f>
        <v>#REF!</v>
      </c>
      <c r="AT36" s="1198"/>
      <c r="AU36"/>
      <c r="AX36" s="602" t="e">
        <f>E36</f>
        <v>#REF!</v>
      </c>
      <c r="AY36" s="602" t="e">
        <f>F36</f>
        <v>#REF!</v>
      </c>
      <c r="AZ36" s="602" t="e">
        <f>G36</f>
        <v>#REF!</v>
      </c>
      <c r="BA36" s="602" t="e">
        <f>M36</f>
        <v>#REF!</v>
      </c>
      <c r="BB36" s="602" t="e">
        <f>N36</f>
        <v>#REF!</v>
      </c>
      <c r="BC36" s="602" t="e">
        <f>AE36</f>
        <v>#REF!</v>
      </c>
      <c r="BD36" s="602" t="e">
        <f>AF36</f>
        <v>#REF!</v>
      </c>
      <c r="BE36" s="602" t="e">
        <f>AG36</f>
        <v>#REF!</v>
      </c>
      <c r="BF36"/>
      <c r="BG36"/>
      <c r="BH36"/>
      <c r="BI36" s="36"/>
      <c r="BJ36"/>
      <c r="BL36" s="575">
        <f>COUNTIF(D36:AH36,"&gt;-")</f>
        <v>0</v>
      </c>
      <c r="BM36" s="575">
        <f>COUNT(D36:AH36)</f>
        <v>0</v>
      </c>
      <c r="BN36" s="575">
        <v>17</v>
      </c>
      <c r="BO36" s="575" t="e">
        <f>IF(AND($A$31,BM36&gt;=BN36),BM36*10,"--")</f>
        <v>#REF!</v>
      </c>
      <c r="BP36" s="575" t="e">
        <f>IF(AND($A$31,BM36&gt;=BN36),SUM(D36:AH36),"--")</f>
        <v>#REF!</v>
      </c>
    </row>
    <row r="37" spans="1:68" ht="15.75" hidden="1" thickBot="1">
      <c r="B37" s="33"/>
      <c r="C37" s="28"/>
      <c r="D37" s="154" t="s">
        <v>93</v>
      </c>
      <c r="E37" s="154"/>
      <c r="F37" s="22"/>
      <c r="G37" s="22"/>
      <c r="H37" s="467"/>
      <c r="I37" s="154" t="str">
        <f>PrSchr2</f>
        <v>Manufacturing</v>
      </c>
      <c r="K37" s="22"/>
      <c r="L37" s="469"/>
      <c r="M37" s="469"/>
      <c r="N37" s="22"/>
      <c r="O37"/>
      <c r="P37" s="469"/>
      <c r="Q37" s="22"/>
      <c r="R37" s="22"/>
      <c r="S37" s="22"/>
      <c r="T37" s="469"/>
      <c r="U37" s="22"/>
      <c r="V37" s="469"/>
      <c r="W37" s="22"/>
      <c r="X37" s="22"/>
      <c r="Z37" s="22"/>
      <c r="AA37" s="22"/>
      <c r="AB37" s="469"/>
      <c r="AC37" s="22"/>
      <c r="AD37" s="22"/>
      <c r="AE37" s="22"/>
      <c r="AF37" s="22"/>
      <c r="AG37" s="22"/>
      <c r="AH37" s="469"/>
      <c r="AN37" s="477"/>
      <c r="AO37" s="477"/>
      <c r="AP37" s="477"/>
      <c r="AQ37" s="22"/>
      <c r="AR37" s="28" t="s">
        <v>102</v>
      </c>
      <c r="AS37" s="332"/>
      <c r="AT37" s="333"/>
      <c r="AU37" s="183"/>
      <c r="AX37" s="503"/>
      <c r="AY37" s="503"/>
      <c r="AZ37" s="503"/>
      <c r="BA37" s="503"/>
      <c r="BB37" s="503"/>
      <c r="BC37" s="503"/>
      <c r="BD37" s="503"/>
      <c r="BE37" s="503"/>
      <c r="BF37"/>
      <c r="BG37"/>
      <c r="BH37"/>
      <c r="BI37" s="36"/>
      <c r="BJ37"/>
      <c r="BL37" s="22"/>
      <c r="BM37" s="22"/>
      <c r="BN37" s="22"/>
      <c r="BO37"/>
      <c r="BP37" s="22"/>
    </row>
    <row r="38" spans="1:68" ht="15.75" hidden="1" thickBot="1">
      <c r="A38" s="198" t="str">
        <f>IF(COUNT(D38:AH38)=0,"n.b.",IF(MIN(D38:H38,J38:O38,P38:R38,T38:X38,Z38:AC38,AE38:AH38)=0,"B","A"))</f>
        <v>n.b.</v>
      </c>
      <c r="B38" s="33"/>
      <c r="C38" s="30" t="e">
        <f>IF(AND(#REF!="X",'Input Form'!D54="x"),"X","&lt;&gt;")</f>
        <v>#REF!</v>
      </c>
      <c r="D38" s="189" t="e">
        <f>IF($A$31=FALSE,$BL$35,IF($C38="X",IF(ISBLANK(Questions!$D73),"--",Questions!$D73),"xx"))</f>
        <v>#REF!</v>
      </c>
      <c r="E38" s="189" t="e">
        <f>IF($A$31=FALSE,$BL$35,IF($C38="X",IF(ISBLANK(Questions!$D84),"--",Questions!$D84),"xx"))</f>
        <v>#REF!</v>
      </c>
      <c r="F38" s="189" t="e">
        <f>IF($A$31=FALSE,$BL$35,IF($C38="X",IF(ISBLANK(Questions!$D95),"--",Questions!$D95),"xx"))</f>
        <v>#REF!</v>
      </c>
      <c r="G38" s="189" t="e">
        <f>IF($A$31=FALSE,$BL$35,IF($C38="X",IF(ISBLANK(Questions!$D106),"--",Questions!$D106),"xx"))</f>
        <v>#REF!</v>
      </c>
      <c r="H38" s="470" t="e">
        <f>IF($A$31=FALSE,$BL$35,IF($C38="X",IF(ISBLANK(Questions!$D117),"--",Questions!$D117),"xx"))</f>
        <v>#REF!</v>
      </c>
      <c r="I38" s="183"/>
      <c r="J38" s="189" t="e">
        <f>IF($A$31=FALSE,$BL$35,IF($C38="X",IF(ISBLANK(Questions!$D129),"--",Questions!$D129),"xx"))</f>
        <v>#REF!</v>
      </c>
      <c r="K38" s="189" t="e">
        <f>IF($A$31=FALSE,$BL$35,IF($C38="X",IF(ISBLANK(Questions!$D140),"--",Questions!$D140),"xx"))</f>
        <v>#REF!</v>
      </c>
      <c r="L38" s="470" t="e">
        <f>IF($A$31=FALSE,$BL$35,IF($C38="X",IF(ISBLANK(Questions!$D151),"--",Questions!$D151),"xx"))</f>
        <v>#REF!</v>
      </c>
      <c r="M38" s="470" t="e">
        <f>IF($A$31=FALSE,$BL$35,IF($C38="X",IF(ISBLANK(Questions!$D162),"--",Questions!$D162),"xx"))</f>
        <v>#REF!</v>
      </c>
      <c r="N38" s="189" t="e">
        <f>IF($A$31=FALSE,$BL$35,IF($C38="X",IF(ISBLANK(Questions!$D173),"--",Questions!$D173),"xx"))</f>
        <v>#REF!</v>
      </c>
      <c r="O38"/>
      <c r="P38" s="470" t="e">
        <f>IF($A$31=FALSE,$BL$35,IF($C38="X",IF(ISBLANK(Questions!$D183),"--",Questions!$D183),"xx"))</f>
        <v>#REF!</v>
      </c>
      <c r="Q38" s="189" t="e">
        <f>IF($A$31=FALSE,$BL$35,IF($C38="X",IF(ISBLANK(Questions!$D194),"--",Questions!$D194),"xx"))</f>
        <v>#REF!</v>
      </c>
      <c r="R38" s="189" t="e">
        <f>IF($A$31=FALSE,$BL$35,IF($C38="X",IF(ISBLANK(Questions!$D205),"--",Questions!$D205),"xx"))</f>
        <v>#REF!</v>
      </c>
      <c r="S38" s="183"/>
      <c r="T38" s="470" t="e">
        <f>IF($A$31=FALSE,$BL$35,IF($C38="X",IF(ISBLANK(Questions!$D217),"--",Questions!$D217),"xx"))</f>
        <v>#REF!</v>
      </c>
      <c r="U38" s="189" t="e">
        <f>IF($A$31=FALSE,$BL$35,IF($C38="X",IF(ISBLANK(Questions!$D228),"--",Questions!$D228),"xx"))</f>
        <v>#REF!</v>
      </c>
      <c r="V38" s="470" t="e">
        <f>IF($A$31=FALSE,$BL$35,IF($C38="X",IF(ISBLANK(Questions!$D239),"--",Questions!$D239),"xx"))</f>
        <v>#REF!</v>
      </c>
      <c r="W38" s="189" t="e">
        <f>IF($A$31=FALSE,$BL$35,IF($C38="X",IF(ISBLANK(Questions!$D250),"--",Questions!$D250),"xx"))</f>
        <v>#REF!</v>
      </c>
      <c r="X38" s="189" t="e">
        <f>IF($A$31=FALSE,$BL$35,IF($C38="X",IF(ISBLANK(Questions!$D261),"--",Questions!$D261),"xx"))</f>
        <v>#REF!</v>
      </c>
      <c r="Z38" s="189" t="e">
        <f>IF($A$31=FALSE,$BL$35,IF($C38="X",IF(ISBLANK(Questions!$D273),"--",Questions!$D273),"xx"))</f>
        <v>#REF!</v>
      </c>
      <c r="AA38" s="189" t="e">
        <f>IF($A$31=FALSE,$BL$35,IF($C38="X",IF(ISBLANK(Questions!$D284),"--",Questions!$D284),"xx"))</f>
        <v>#REF!</v>
      </c>
      <c r="AB38" s="470" t="e">
        <f>IF($A$31=FALSE,$BL$35,IF($C38="X",IF(ISBLANK(Questions!$D295),"--",Questions!$D295),"xx"))</f>
        <v>#REF!</v>
      </c>
      <c r="AC38" s="189" t="e">
        <f>IF($A$31=FALSE,$BL$35,IF($C38="X",IF(ISBLANK(Questions!$D306),"--",Questions!$D306),"xx"))</f>
        <v>#REF!</v>
      </c>
      <c r="AD38" s="183"/>
      <c r="AE38" s="189" t="e">
        <f>IF($A$31=FALSE,$BL$35,IF($C38="X",IF(ISBLANK(Questions!$D318),"--",Questions!$D318),"xx"))</f>
        <v>#REF!</v>
      </c>
      <c r="AF38" s="189" t="e">
        <f>IF($A$31=FALSE,$BL$35,IF($C38="X",IF(ISBLANK(Questions!$D329),"--",Questions!$D329),"xx"))</f>
        <v>#REF!</v>
      </c>
      <c r="AG38" s="189" t="e">
        <f>IF($A$31=FALSE,$BL$35,IF($C38="X",IF(ISBLANK(Questions!$D340),"--",Questions!$D340),"xx"))</f>
        <v>#REF!</v>
      </c>
      <c r="AH38" s="470" t="e">
        <f>IF($A$31=FALSE,$BL$35,IF($C38="X",IF(ISBLANK(Questions!$D351),"--",Questions!$D351),"xx"))</f>
        <v>#REF!</v>
      </c>
      <c r="AN38" s="477"/>
      <c r="AO38" s="477"/>
      <c r="AP38" s="477"/>
      <c r="AQ38" s="27"/>
      <c r="AR38" s="30"/>
      <c r="AS38" s="1197" t="e">
        <f>IF($A$31=FALSE,$BL$35,IF(C38="&lt;&gt;","xx",IF(BM38&lt;BN38,$BL$35,ROUND(BP38/BO38,2))))</f>
        <v>#REF!</v>
      </c>
      <c r="AT38" s="1198"/>
      <c r="AU38"/>
      <c r="AX38" s="602" t="e">
        <f>E38</f>
        <v>#REF!</v>
      </c>
      <c r="AY38" s="602" t="e">
        <f>F38</f>
        <v>#REF!</v>
      </c>
      <c r="AZ38" s="602" t="e">
        <f>G38</f>
        <v>#REF!</v>
      </c>
      <c r="BA38" s="602" t="e">
        <f>M38</f>
        <v>#REF!</v>
      </c>
      <c r="BB38" s="602" t="e">
        <f>N38</f>
        <v>#REF!</v>
      </c>
      <c r="BC38" s="602" t="e">
        <f>AE38</f>
        <v>#REF!</v>
      </c>
      <c r="BD38" s="602" t="e">
        <f>AF38</f>
        <v>#REF!</v>
      </c>
      <c r="BE38" s="602" t="e">
        <f>AG38</f>
        <v>#REF!</v>
      </c>
      <c r="BF38"/>
      <c r="BG38"/>
      <c r="BH38"/>
      <c r="BI38" s="36"/>
      <c r="BJ38"/>
      <c r="BL38" s="575">
        <f>COUNTIF(D38:AH38,"&gt;-")</f>
        <v>0</v>
      </c>
      <c r="BM38" s="575">
        <f>COUNT(D38:AH38)</f>
        <v>0</v>
      </c>
      <c r="BN38" s="575">
        <v>17</v>
      </c>
      <c r="BO38" s="575" t="e">
        <f>IF(AND($A$31,BM38&gt;=BN38),BM38*10,"--")</f>
        <v>#REF!</v>
      </c>
      <c r="BP38" s="575" t="e">
        <f>IF(AND($A$31,BM38&gt;=BN38),SUM(D38:AH38),"--")</f>
        <v>#REF!</v>
      </c>
    </row>
    <row r="39" spans="1:68" ht="15.75" hidden="1" thickBot="1">
      <c r="B39" s="33"/>
      <c r="C39" s="28"/>
      <c r="D39" s="154" t="s">
        <v>94</v>
      </c>
      <c r="E39" s="154"/>
      <c r="F39" s="22"/>
      <c r="G39" s="22"/>
      <c r="H39" s="467"/>
      <c r="I39" s="154" t="str">
        <f>PrSchr3</f>
        <v>Shipping</v>
      </c>
      <c r="K39" s="22"/>
      <c r="L39" s="469"/>
      <c r="M39" s="469"/>
      <c r="N39" s="22"/>
      <c r="O39"/>
      <c r="P39" s="469"/>
      <c r="Q39" s="22"/>
      <c r="R39" s="22"/>
      <c r="S39" s="22"/>
      <c r="T39" s="469"/>
      <c r="U39" s="22"/>
      <c r="V39" s="469"/>
      <c r="W39" s="22"/>
      <c r="X39" s="22"/>
      <c r="Z39" s="22"/>
      <c r="AA39" s="22"/>
      <c r="AB39" s="469"/>
      <c r="AC39" s="22"/>
      <c r="AD39" s="22"/>
      <c r="AE39" s="22"/>
      <c r="AF39" s="22"/>
      <c r="AG39" s="22"/>
      <c r="AH39" s="469"/>
      <c r="AN39" s="477"/>
      <c r="AO39" s="477"/>
      <c r="AP39" s="477"/>
      <c r="AQ39" s="22"/>
      <c r="AR39" s="28" t="s">
        <v>103</v>
      </c>
      <c r="AS39" s="183"/>
      <c r="AT39" s="183"/>
      <c r="AU39" s="183"/>
      <c r="AX39" s="503"/>
      <c r="AY39" s="503"/>
      <c r="AZ39" s="503"/>
      <c r="BA39" s="503"/>
      <c r="BB39" s="503"/>
      <c r="BC39" s="503"/>
      <c r="BD39" s="503"/>
      <c r="BE39" s="503"/>
      <c r="BF39"/>
      <c r="BG39"/>
      <c r="BH39"/>
      <c r="BI39" s="36"/>
      <c r="BJ39"/>
      <c r="BL39" s="22"/>
      <c r="BM39" s="22"/>
      <c r="BN39" s="22"/>
      <c r="BO39"/>
      <c r="BP39" s="22"/>
    </row>
    <row r="40" spans="1:68" ht="15.75" hidden="1" thickBot="1">
      <c r="A40" s="198" t="str">
        <f>IF(COUNT(D40:AH40)=0,"n.b.",IF(MIN(D40:H40,J40:O40,P40:R40,T40:X40,Z40:AC40,AE40:AH40)=0,"B","A"))</f>
        <v>n.b.</v>
      </c>
      <c r="B40" s="33"/>
      <c r="C40" s="30" t="e">
        <f>IF(AND(#REF!="X",'Input Form'!D55="x"),"X","&lt;&gt;")</f>
        <v>#REF!</v>
      </c>
      <c r="D40" s="189" t="e">
        <f>IF($A$31=FALSE,$BL$35,IF($C40="X",IF(ISBLANK(Questions!$D74),"--",Questions!$D74),"xx"))</f>
        <v>#REF!</v>
      </c>
      <c r="E40" s="189" t="e">
        <f>IF($A$31=FALSE,$BL$35,IF($C40="X",IF(ISBLANK(Questions!$D85),"--",Questions!$D85),"xx"))</f>
        <v>#REF!</v>
      </c>
      <c r="F40" s="189" t="e">
        <f>IF($A$31=FALSE,$BL$35,IF($C40="X",IF(ISBLANK(Questions!$D98),"--",Questions!$D98),"xx"))</f>
        <v>#REF!</v>
      </c>
      <c r="G40" s="189" t="e">
        <f>IF($A$31=FALSE,$BL$35,IF($C40="X",IF(ISBLANK(Questions!$D107),"--",Questions!$D107),"xx"))</f>
        <v>#REF!</v>
      </c>
      <c r="H40" s="470" t="e">
        <f>IF($A$31=FALSE,$BL$35,IF($C40="X",IF(ISBLANK(Questions!$D118),"--",Questions!$D118),"xx"))</f>
        <v>#REF!</v>
      </c>
      <c r="I40" s="183"/>
      <c r="J40" s="189" t="e">
        <f>IF($A$31=FALSE,$BL$35,IF($C40="X",IF(ISBLANK(Questions!$D130),"--",Questions!$D130),"xx"))</f>
        <v>#REF!</v>
      </c>
      <c r="K40" s="189" t="e">
        <f>IF($A$31=FALSE,$BL$35,IF($C40="X",IF(ISBLANK(Questions!$D141),"--",Questions!$D141),"xx"))</f>
        <v>#REF!</v>
      </c>
      <c r="L40" s="470" t="e">
        <f>IF($A$31=FALSE,$BL$35,IF($C40="X",IF(ISBLANK(Questions!$D152),"--",Questions!$D152),"xx"))</f>
        <v>#REF!</v>
      </c>
      <c r="M40" s="470" t="e">
        <f>IF($A$31=FALSE,$BL$35,IF($C40="X",IF(ISBLANK(Questions!$D163),"--",Questions!$D163),"xx"))</f>
        <v>#REF!</v>
      </c>
      <c r="N40" s="189" t="e">
        <f>IF($A$31=FALSE,$BL$35,IF($C40="X",IF(ISBLANK(Questions!$D174),"--",Questions!$D174),"xx"))</f>
        <v>#REF!</v>
      </c>
      <c r="O40"/>
      <c r="P40" s="470" t="e">
        <f>IF($A$31=FALSE,$BL$35,IF($C40="X",IF(ISBLANK(Questions!$D184),"--",Questions!$D184),"xx"))</f>
        <v>#REF!</v>
      </c>
      <c r="Q40" s="189" t="e">
        <f>IF($A$31=FALSE,$BL$35,IF($C40="X",IF(ISBLANK(Questions!$D195),"--",Questions!$D195),"xx"))</f>
        <v>#REF!</v>
      </c>
      <c r="R40" s="189" t="e">
        <f>IF($A$31=FALSE,$BL$35,IF($C40="X",IF(ISBLANK(Questions!$D206),"--",Questions!$D206),"xx"))</f>
        <v>#REF!</v>
      </c>
      <c r="S40" s="183"/>
      <c r="T40" s="470" t="e">
        <f>IF($A$31=FALSE,$BL$35,IF($C40="X",IF(ISBLANK(Questions!$D218),"--",Questions!$D218),"xx"))</f>
        <v>#REF!</v>
      </c>
      <c r="U40" s="189" t="e">
        <f>IF($A$31=FALSE,$BL$35,IF($C40="X",IF(ISBLANK(Questions!$D229),"--",Questions!$D229),"xx"))</f>
        <v>#REF!</v>
      </c>
      <c r="V40" s="470" t="e">
        <f>IF($A$31=FALSE,$BL$35,IF($C40="X",IF(ISBLANK(Questions!$D240),"--",Questions!$D240),"xx"))</f>
        <v>#REF!</v>
      </c>
      <c r="W40" s="189" t="e">
        <f>IF($A$31=FALSE,$BL$35,IF($C40="X",IF(ISBLANK(Questions!$D251),"--",Questions!$D251),"xx"))</f>
        <v>#REF!</v>
      </c>
      <c r="X40" s="189" t="e">
        <f>IF($A$31=FALSE,$BL$35,IF($C40="X",IF(ISBLANK(Questions!$D262),"--",Questions!$D262),"xx"))</f>
        <v>#REF!</v>
      </c>
      <c r="Z40" s="189" t="e">
        <f>IF($A$31=FALSE,$BL$35,IF($C40="X",IF(ISBLANK(Questions!$D274),"--",Questions!$D274),"xx"))</f>
        <v>#REF!</v>
      </c>
      <c r="AA40" s="189" t="e">
        <f>IF($A$31=FALSE,$BL$35,IF($C40="X",IF(ISBLANK(Questions!$D285),"--",Questions!$D285),"xx"))</f>
        <v>#REF!</v>
      </c>
      <c r="AB40" s="470" t="e">
        <f>IF($A$31=FALSE,$BL$35,IF($C40="X",IF(ISBLANK(Questions!$D296),"--",Questions!$D296),"xx"))</f>
        <v>#REF!</v>
      </c>
      <c r="AC40" s="189" t="e">
        <f>IF($A$31=FALSE,$BL$35,IF($C40="X",IF(ISBLANK(Questions!$D307),"--",Questions!$D307),"xx"))</f>
        <v>#REF!</v>
      </c>
      <c r="AD40" s="183"/>
      <c r="AE40" s="189" t="e">
        <f>IF($A$31=FALSE,$BL$35,IF($C40="X",IF(ISBLANK(Questions!$D319),"--",Questions!$D319),"xx"))</f>
        <v>#REF!</v>
      </c>
      <c r="AF40" s="189" t="e">
        <f>IF($A$31=FALSE,$BL$35,IF($C40="X",IF(ISBLANK(Questions!$D330),"--",Questions!$D330),"xx"))</f>
        <v>#REF!</v>
      </c>
      <c r="AG40" s="189" t="e">
        <f>IF($A$31=FALSE,$BL$35,IF($C40="X",IF(ISBLANK(Questions!$D341),"--",Questions!$D341),"xx"))</f>
        <v>#REF!</v>
      </c>
      <c r="AH40" s="470" t="e">
        <f>IF($A$31=FALSE,$BL$35,IF($C40="X",IF(ISBLANK(Questions!$D352),"--",Questions!$D352),"xx"))</f>
        <v>#REF!</v>
      </c>
      <c r="AN40" s="477"/>
      <c r="AO40" s="477"/>
      <c r="AP40" s="477"/>
      <c r="AQ40" s="27"/>
      <c r="AR40" s="30"/>
      <c r="AS40" s="1197" t="e">
        <f>IF($A$31=FALSE,$BL$35,IF(C40="&lt;&gt;","xx",IF(BM40&lt;BN40,$BL$35,ROUND(BP40/BO40,2))))</f>
        <v>#REF!</v>
      </c>
      <c r="AT40" s="1198"/>
      <c r="AU40"/>
      <c r="AX40" s="602" t="e">
        <f>E40</f>
        <v>#REF!</v>
      </c>
      <c r="AY40" s="602" t="e">
        <f>F40</f>
        <v>#REF!</v>
      </c>
      <c r="AZ40" s="602" t="e">
        <f>G40</f>
        <v>#REF!</v>
      </c>
      <c r="BA40" s="602" t="e">
        <f>M40</f>
        <v>#REF!</v>
      </c>
      <c r="BB40" s="602" t="e">
        <f>N40</f>
        <v>#REF!</v>
      </c>
      <c r="BC40" s="602" t="e">
        <f>AE40</f>
        <v>#REF!</v>
      </c>
      <c r="BD40" s="602" t="e">
        <f>AF40</f>
        <v>#REF!</v>
      </c>
      <c r="BE40" s="602" t="e">
        <f>AG40</f>
        <v>#REF!</v>
      </c>
      <c r="BF40"/>
      <c r="BG40"/>
      <c r="BH40"/>
      <c r="BI40" s="36"/>
      <c r="BJ40"/>
      <c r="BL40" s="575">
        <f>COUNTIF(D40:AH40,"&gt;-")</f>
        <v>0</v>
      </c>
      <c r="BM40" s="575">
        <f>COUNT(D40:AH40)</f>
        <v>0</v>
      </c>
      <c r="BN40" s="575">
        <v>17</v>
      </c>
      <c r="BO40" s="575" t="e">
        <f>IF(AND($A$31,BM40&gt;=BN40),BM40*10,"--")</f>
        <v>#REF!</v>
      </c>
      <c r="BP40" s="575" t="e">
        <f>IF(AND($A$31,BM40&gt;=BN40),SUM(D40:AH40),"--")</f>
        <v>#REF!</v>
      </c>
    </row>
    <row r="41" spans="1:68" ht="15">
      <c r="A41" s="197" t="s">
        <v>383</v>
      </c>
      <c r="B41" s="33"/>
      <c r="C41" s="160"/>
      <c r="D41" s="27"/>
      <c r="E41" s="27"/>
      <c r="F41" s="27"/>
      <c r="G41" s="27"/>
      <c r="H41" s="27"/>
      <c r="I41" s="27"/>
      <c r="J41" s="27"/>
      <c r="K41" s="27"/>
      <c r="L41" s="27"/>
      <c r="M41" s="27"/>
      <c r="N41" s="27"/>
      <c r="O41"/>
      <c r="P41" s="27"/>
      <c r="Q41" s="27"/>
      <c r="R41" s="27"/>
      <c r="S41" s="27"/>
      <c r="T41" s="27"/>
      <c r="U41" s="27"/>
      <c r="V41" s="27"/>
      <c r="W41" s="27"/>
      <c r="X41" s="27"/>
      <c r="Z41" s="27"/>
      <c r="AA41" s="27"/>
      <c r="AB41" s="27"/>
      <c r="AC41" s="27"/>
      <c r="AD41" s="27"/>
      <c r="AE41" s="27"/>
      <c r="AF41" s="27"/>
      <c r="AG41" s="27"/>
      <c r="AH41" s="27"/>
      <c r="AI41" s="27"/>
      <c r="AJ41" s="27"/>
      <c r="AK41" s="27"/>
      <c r="AL41" s="27"/>
      <c r="AM41" s="27"/>
      <c r="AN41" s="477"/>
      <c r="AO41" s="477"/>
      <c r="AP41" s="477"/>
      <c r="AQ41" s="27"/>
      <c r="AR41" s="27"/>
      <c r="AS41" s="27"/>
      <c r="AT41" s="27"/>
      <c r="AU41" s="27"/>
      <c r="AX41" s="601"/>
      <c r="AY41" s="601"/>
      <c r="AZ41" s="601"/>
      <c r="BA41" s="601"/>
      <c r="BB41" s="601"/>
      <c r="BC41" s="601"/>
      <c r="BD41" s="601"/>
      <c r="BE41" s="601"/>
      <c r="BF41"/>
      <c r="BG41"/>
      <c r="BH41"/>
      <c r="BI41" s="36"/>
      <c r="BJ41"/>
    </row>
    <row r="42" spans="1:68" ht="15">
      <c r="A42" s="198" t="str">
        <f>IF(COUNTIF(A36:A40,"n.b.")=10,"n.b.",IF(COUNTIF(A36:A40,"C")&gt;=1,"C",IF(COUNTIF(A36:A40,"B")&gt;=1,"B","A")))</f>
        <v>A</v>
      </c>
      <c r="B42" s="33"/>
      <c r="C42" s="25"/>
      <c r="D42" s="154" t="e">
        <f>#REF!</f>
        <v>#REF!</v>
      </c>
      <c r="E42" s="22"/>
      <c r="F42" s="22"/>
      <c r="G42" s="22"/>
      <c r="H42" s="22"/>
      <c r="I42" s="22"/>
      <c r="J42" s="22"/>
      <c r="K42" s="22"/>
      <c r="L42" s="22"/>
      <c r="M42" s="22"/>
      <c r="N42" s="22"/>
      <c r="O42"/>
      <c r="P42" s="22"/>
      <c r="Q42" s="22"/>
      <c r="R42" s="22"/>
      <c r="S42" s="22"/>
      <c r="T42" s="22"/>
      <c r="U42" s="22"/>
      <c r="V42" s="22"/>
      <c r="W42" s="22"/>
      <c r="X42" s="22"/>
      <c r="Z42" s="22"/>
      <c r="AA42" s="22"/>
      <c r="AB42" s="22"/>
      <c r="AC42" s="22"/>
      <c r="AD42" s="22"/>
      <c r="AE42" s="22"/>
      <c r="AF42" s="22"/>
      <c r="AG42" s="22"/>
      <c r="AH42" s="22"/>
      <c r="AI42" s="22"/>
      <c r="AJ42" s="22"/>
      <c r="AK42" s="22"/>
      <c r="AL42" s="22"/>
      <c r="AM42" s="22"/>
      <c r="AN42" s="477"/>
      <c r="AO42" s="477"/>
      <c r="AP42" s="477"/>
      <c r="AQ42" s="22"/>
      <c r="AR42" s="22"/>
      <c r="AS42" s="22"/>
      <c r="AT42" s="161">
        <f>+COUNTIF(AS36:AT40,$BL$35)</f>
        <v>3</v>
      </c>
      <c r="AU42" s="161"/>
      <c r="AX42" s="161"/>
      <c r="AY42" s="161"/>
      <c r="AZ42" s="161"/>
      <c r="BA42" s="161"/>
      <c r="BB42" s="161"/>
      <c r="BC42" s="161"/>
      <c r="BD42" s="161"/>
      <c r="BE42" s="161"/>
      <c r="BF42"/>
      <c r="BG42"/>
      <c r="BH42"/>
      <c r="BI42" s="34"/>
      <c r="BJ42" s="22"/>
    </row>
    <row r="43" spans="1:68" ht="15" thickBot="1">
      <c r="B43" s="33"/>
      <c r="C43" s="22"/>
      <c r="D43" s="22"/>
      <c r="E43" s="22"/>
      <c r="F43" s="22"/>
      <c r="G43" s="22"/>
      <c r="H43" s="22"/>
      <c r="I43" s="22"/>
      <c r="J43" s="22"/>
      <c r="K43" s="22"/>
      <c r="L43" s="22"/>
      <c r="M43" s="22"/>
      <c r="N43" s="22"/>
      <c r="O43"/>
      <c r="P43" s="22"/>
      <c r="Q43" s="22"/>
      <c r="R43" s="22"/>
      <c r="S43" s="22"/>
      <c r="T43" s="22"/>
      <c r="U43"/>
      <c r="V43"/>
      <c r="W43"/>
      <c r="X43"/>
      <c r="Z43"/>
      <c r="AA43"/>
      <c r="AB43"/>
      <c r="AC43"/>
      <c r="AD43"/>
      <c r="AE43"/>
      <c r="AF43"/>
      <c r="AG43"/>
      <c r="AH43"/>
      <c r="AI43"/>
      <c r="AJ43"/>
      <c r="AK43"/>
      <c r="AL43"/>
      <c r="AM43"/>
      <c r="AN43" s="477"/>
      <c r="AO43" s="477"/>
      <c r="AP43" s="477"/>
      <c r="AQ43"/>
      <c r="AR43"/>
      <c r="AS43"/>
      <c r="AT43"/>
      <c r="AU43"/>
      <c r="AX43"/>
      <c r="AY43"/>
      <c r="AZ43"/>
      <c r="BA43"/>
      <c r="BB43"/>
      <c r="BC43"/>
      <c r="BD43"/>
      <c r="BE43"/>
      <c r="BF43"/>
      <c r="BG43"/>
      <c r="BH43"/>
      <c r="BI43" s="36"/>
      <c r="BJ43"/>
    </row>
    <row r="44" spans="1:68" ht="15" thickBot="1">
      <c r="B44" s="33"/>
      <c r="C44" s="21"/>
      <c r="D44" s="576" t="str">
        <f>D34</f>
        <v>6.1.1</v>
      </c>
      <c r="E44" s="577" t="str">
        <f>E34</f>
        <v>6.1.2</v>
      </c>
      <c r="F44" s="578" t="str">
        <f>F34</f>
        <v>6.1.3</v>
      </c>
      <c r="G44" s="578" t="str">
        <f>G34</f>
        <v>6.1.4</v>
      </c>
      <c r="H44" s="579" t="str">
        <f>H34</f>
        <v>6.1.5*</v>
      </c>
      <c r="I44" s="283"/>
      <c r="J44" s="576" t="str">
        <f>J34</f>
        <v>6.2.1</v>
      </c>
      <c r="K44" s="577" t="str">
        <f>K34</f>
        <v>6.2.2</v>
      </c>
      <c r="L44" s="585" t="str">
        <f>L34</f>
        <v>6.2.3*</v>
      </c>
      <c r="M44" s="585" t="str">
        <f>M34</f>
        <v>6.2.4*</v>
      </c>
      <c r="N44" s="586" t="str">
        <f>N34</f>
        <v>6.2.5</v>
      </c>
      <c r="O44" s="904"/>
      <c r="P44" s="578" t="str">
        <f>P34</f>
        <v>6.3.1*</v>
      </c>
      <c r="Q44" s="578" t="str">
        <f>Q34</f>
        <v>6.3.2</v>
      </c>
      <c r="R44" s="586" t="str">
        <f>R34</f>
        <v>6.3.3</v>
      </c>
      <c r="S44" s="282"/>
      <c r="T44" s="592" t="str">
        <f>T34</f>
        <v>6.4.1*</v>
      </c>
      <c r="U44" s="578" t="str">
        <f>U34</f>
        <v>6.4.2</v>
      </c>
      <c r="V44" s="585" t="str">
        <f>V34</f>
        <v>6.4.3*</v>
      </c>
      <c r="W44" s="578" t="str">
        <f>W34</f>
        <v>6.4.4</v>
      </c>
      <c r="X44" s="586" t="str">
        <f>X34</f>
        <v>6.4.5</v>
      </c>
      <c r="Z44" s="576" t="str">
        <f>Z34</f>
        <v>6.5.1</v>
      </c>
      <c r="AA44" s="578" t="str">
        <f>AA34</f>
        <v>6.5.2</v>
      </c>
      <c r="AB44" s="585" t="str">
        <f>AB34</f>
        <v>6.5.3*</v>
      </c>
      <c r="AC44" s="586" t="str">
        <f>AC34</f>
        <v>6.5.4</v>
      </c>
      <c r="AD44" s="283"/>
      <c r="AE44" s="576" t="str">
        <f>AE34</f>
        <v>6.6.1</v>
      </c>
      <c r="AF44" s="578" t="str">
        <f>AF34</f>
        <v>6.6.2</v>
      </c>
      <c r="AG44" s="578" t="str">
        <f>AG34</f>
        <v>6.6.3</v>
      </c>
      <c r="AH44" s="579" t="str">
        <f>AH34</f>
        <v>6.6.4*</v>
      </c>
      <c r="AN44" s="477"/>
      <c r="AO44" s="477"/>
      <c r="AP44" s="477"/>
      <c r="AQ44" s="21"/>
      <c r="AR44"/>
      <c r="AS44"/>
      <c r="AT44"/>
      <c r="AU44"/>
      <c r="AX44" s="595" t="str">
        <f t="shared" ref="AX44:BE44" si="1">AX34</f>
        <v>6.1.2</v>
      </c>
      <c r="AY44" s="596" t="str">
        <f t="shared" si="1"/>
        <v>6.1.3</v>
      </c>
      <c r="AZ44" s="596" t="str">
        <f t="shared" si="1"/>
        <v>6.1.4</v>
      </c>
      <c r="BA44" s="596" t="str">
        <f t="shared" si="1"/>
        <v>6.2.4</v>
      </c>
      <c r="BB44" s="596" t="str">
        <f t="shared" si="1"/>
        <v>6.2.5</v>
      </c>
      <c r="BC44" s="596" t="str">
        <f t="shared" si="1"/>
        <v>6.6.1</v>
      </c>
      <c r="BD44" s="596" t="str">
        <f t="shared" si="1"/>
        <v>6.6.2</v>
      </c>
      <c r="BE44" s="597" t="str">
        <f t="shared" si="1"/>
        <v>6.6.3</v>
      </c>
      <c r="BF44"/>
      <c r="BG44"/>
      <c r="BH44"/>
      <c r="BI44" s="36"/>
      <c r="BJ44"/>
      <c r="BL44" s="477" t="e">
        <f>#REF!</f>
        <v>#REF!</v>
      </c>
      <c r="BM44" s="477" t="e">
        <f>#REF!</f>
        <v>#REF!</v>
      </c>
      <c r="BN44" s="477" t="e">
        <f>#REF!</f>
        <v>#REF!</v>
      </c>
      <c r="BO44" s="477" t="e">
        <f>#REF!</f>
        <v>#REF!</v>
      </c>
      <c r="BP44" s="477" t="e">
        <f>#REF!</f>
        <v>#REF!</v>
      </c>
    </row>
    <row r="45" spans="1:68" ht="15.75" thickBot="1">
      <c r="B45" s="33"/>
      <c r="C45" s="25"/>
      <c r="D45" s="507" t="e">
        <f>IF(ISERROR(AVERAGE(D36:D40)),$BL$35,ROUND(AVERAGE(D36:D40),2))</f>
        <v>#REF!</v>
      </c>
      <c r="E45" s="486" t="e">
        <f>IF(ISERROR(AVERAGE(E36:E40)),$BL$35,ROUND(AVERAGE(E36:E40),2))</f>
        <v>#REF!</v>
      </c>
      <c r="F45" s="486" t="e">
        <f>IF(ISERROR(AVERAGE(F36:F40)),$BL$35,ROUND(AVERAGE(F36:F40),2))</f>
        <v>#REF!</v>
      </c>
      <c r="G45" s="486" t="e">
        <f>IF(ISERROR(AVERAGE(G36:G40)),$BL$35,ROUND(AVERAGE(G36:G40),2))</f>
        <v>#REF!</v>
      </c>
      <c r="H45" s="508" t="e">
        <f>IF(ISERROR(AVERAGE(H36:H40)),$BL$35,ROUND(AVERAGE(H36:H40),2))</f>
        <v>#REF!</v>
      </c>
      <c r="I45" s="184"/>
      <c r="J45" s="507" t="e">
        <f>IF(ISERROR(AVERAGE(J36:J40)),$BL$35,ROUND(AVERAGE(J36:J40),2))</f>
        <v>#REF!</v>
      </c>
      <c r="K45" s="486" t="e">
        <f>IF(ISERROR(AVERAGE(K36:K40)),$BL$35,ROUND(AVERAGE(K36:K40),2))</f>
        <v>#REF!</v>
      </c>
      <c r="L45" s="509" t="e">
        <f>IF(ISERROR(AVERAGE(L36:L40)),$BL$35,ROUND(AVERAGE(L36:L40),2))</f>
        <v>#REF!</v>
      </c>
      <c r="M45" s="509" t="e">
        <f>IF(ISERROR(AVERAGE(M36:M40)),$BL$35,ROUND(AVERAGE(M36:M40),2))</f>
        <v>#REF!</v>
      </c>
      <c r="N45" s="510" t="e">
        <f>IF(ISERROR(AVERAGE(N36:N40)),$BL$35,ROUND(AVERAGE(N36:N40),2))</f>
        <v>#REF!</v>
      </c>
      <c r="O45" s="904"/>
      <c r="P45" s="903" t="e">
        <f>IF(ISERROR(AVERAGE(P36:P40)),$BL$35,ROUND(AVERAGE(P36:P40),2))</f>
        <v>#REF!</v>
      </c>
      <c r="Q45" s="486" t="e">
        <f>IF(ISERROR(AVERAGE(Q36:Q40)),$BL$35,ROUND(AVERAGE(Q36:Q40),2))</f>
        <v>#REF!</v>
      </c>
      <c r="R45" s="510" t="e">
        <f>IF(ISERROR(AVERAGE(R36:R40)),$BL$35,ROUND(AVERAGE(R36:R40),2))</f>
        <v>#REF!</v>
      </c>
      <c r="S45" s="185"/>
      <c r="T45" s="511" t="e">
        <f>IF(ISERROR(AVERAGE(T36:T40)),$BL$35,ROUND(AVERAGE(T36:T40),2))</f>
        <v>#REF!</v>
      </c>
      <c r="U45" s="486" t="e">
        <f>IF(ISERROR(AVERAGE(U36:U40)),$BL$35,ROUND(AVERAGE(U36:U40),2))</f>
        <v>#REF!</v>
      </c>
      <c r="V45" s="509" t="e">
        <f>IF(ISERROR(AVERAGE(V36:V40)),$BL$35,ROUND(AVERAGE(V36:V40),2))</f>
        <v>#REF!</v>
      </c>
      <c r="W45" s="486" t="e">
        <f>IF(ISERROR(AVERAGE(W36:W40)),$BL$35,ROUND(AVERAGE(W36:W40),2))</f>
        <v>#REF!</v>
      </c>
      <c r="X45" s="510" t="e">
        <f>IF(ISERROR(AVERAGE(X36:X40)),$BL$35,ROUND(AVERAGE(X36:X40),2))</f>
        <v>#REF!</v>
      </c>
      <c r="Z45" s="507" t="e">
        <f>IF(ISERROR(AVERAGE(Z36:Z40)),$BL$35,ROUND(AVERAGE(Z36:Z40),2))</f>
        <v>#REF!</v>
      </c>
      <c r="AA45" s="486" t="e">
        <f>IF(ISERROR(AVERAGE(AA36:AA40)),$BL$35,ROUND(AVERAGE(AA36:AA40),2))</f>
        <v>#REF!</v>
      </c>
      <c r="AB45" s="509" t="e">
        <f>IF(ISERROR(AVERAGE(AB36:AB40)),$BL$35,ROUND(AVERAGE(AB36:AB40),2))</f>
        <v>#REF!</v>
      </c>
      <c r="AC45" s="510" t="e">
        <f>IF(ISERROR(AVERAGE(AC36:AC40)),$BL$35,ROUND(AVERAGE(AC36:AC40),2))</f>
        <v>#REF!</v>
      </c>
      <c r="AD45" s="185"/>
      <c r="AE45" s="507" t="e">
        <f>IF(ISERROR(AVERAGE(AE36:AE40)),$BL$35,ROUND(AVERAGE(AE36:AE40),2))</f>
        <v>#REF!</v>
      </c>
      <c r="AF45" s="486" t="e">
        <f>IF(ISERROR(AVERAGE(AF36:AF40)),$BL$35,ROUND(AVERAGE(AF36:AF40),2))</f>
        <v>#REF!</v>
      </c>
      <c r="AG45" s="486" t="e">
        <f>IF(ISERROR(AVERAGE(AG36:AG40)),$BL$35,ROUND(AVERAGE(AG36:AG40),2))</f>
        <v>#REF!</v>
      </c>
      <c r="AH45" s="508" t="e">
        <f>IF(ISERROR(AVERAGE(AH36:AH40)),$BL$35,ROUND(AVERAGE(AH36:AH40),2))</f>
        <v>#REF!</v>
      </c>
      <c r="AN45" s="477"/>
      <c r="AO45" s="477"/>
      <c r="AP45" s="477"/>
      <c r="AQ45" s="162"/>
      <c r="AR45" s="279" t="s">
        <v>498</v>
      </c>
      <c r="AS45" s="1197" t="e">
        <f>IF(COUNTIF(AS36:AT40,$BL$35)&gt;0,$BL$35,ROUND(BP45/BO45,2))</f>
        <v>#REF!</v>
      </c>
      <c r="AT45" s="1198"/>
      <c r="AU45"/>
      <c r="AX45" s="551" t="e">
        <f t="shared" ref="AX45:BE45" si="2">IF(ISERROR(AVERAGE(AX36:AX40)),$BL$35,ROUND(AVERAGE(AX36:AX40),2))</f>
        <v>#REF!</v>
      </c>
      <c r="AY45" s="510" t="e">
        <f t="shared" si="2"/>
        <v>#REF!</v>
      </c>
      <c r="AZ45" s="510" t="e">
        <f t="shared" si="2"/>
        <v>#REF!</v>
      </c>
      <c r="BA45" s="510" t="e">
        <f t="shared" si="2"/>
        <v>#REF!</v>
      </c>
      <c r="BB45" s="510" t="e">
        <f t="shared" si="2"/>
        <v>#REF!</v>
      </c>
      <c r="BC45" s="510" t="e">
        <f t="shared" si="2"/>
        <v>#REF!</v>
      </c>
      <c r="BD45" s="510" t="e">
        <f t="shared" si="2"/>
        <v>#REF!</v>
      </c>
      <c r="BE45" s="510" t="e">
        <f t="shared" si="2"/>
        <v>#REF!</v>
      </c>
      <c r="BF45"/>
      <c r="BG45"/>
      <c r="BH45"/>
      <c r="BI45" s="36"/>
      <c r="BJ45"/>
      <c r="BL45" s="575">
        <f>SUM(BL36:BL40)</f>
        <v>0</v>
      </c>
      <c r="BM45" s="575">
        <f>SUM(BM36:BM40)</f>
        <v>0</v>
      </c>
      <c r="BN45" s="575">
        <f>SUM(F47,L47,P47,V47,AA47,AF47)</f>
        <v>0</v>
      </c>
      <c r="BO45" s="575">
        <f>COUNT(D45:AH45)*10</f>
        <v>0</v>
      </c>
      <c r="BP45" s="575" t="e">
        <f>SUM(D45:AH45)</f>
        <v>#REF!</v>
      </c>
    </row>
    <row r="46" spans="1:68" ht="15" hidden="1" thickBot="1">
      <c r="B46" s="33"/>
      <c r="C46" s="22"/>
      <c r="D46" s="33"/>
      <c r="E46" s="477" t="e">
        <f>$BM$7</f>
        <v>#REF!</v>
      </c>
      <c r="F46" s="477" t="e">
        <f>$BN$7</f>
        <v>#REF!</v>
      </c>
      <c r="G46" s="477" t="s">
        <v>444</v>
      </c>
      <c r="H46" s="580" t="s">
        <v>305</v>
      </c>
      <c r="J46" s="587"/>
      <c r="K46" s="477" t="e">
        <f>$BM$7</f>
        <v>#REF!</v>
      </c>
      <c r="L46" s="477" t="e">
        <f>$BN$7</f>
        <v>#REF!</v>
      </c>
      <c r="M46" s="477" t="s">
        <v>444</v>
      </c>
      <c r="N46" s="580" t="s">
        <v>305</v>
      </c>
      <c r="O46" s="905" t="e">
        <f>$BM$7</f>
        <v>#REF!</v>
      </c>
      <c r="P46" s="477" t="e">
        <f>$BN$7</f>
        <v>#REF!</v>
      </c>
      <c r="Q46" s="477" t="s">
        <v>444</v>
      </c>
      <c r="R46" s="580" t="s">
        <v>305</v>
      </c>
      <c r="T46" s="587"/>
      <c r="U46" s="477" t="e">
        <f>$BM$7</f>
        <v>#REF!</v>
      </c>
      <c r="V46" s="477" t="e">
        <f>$BN$7</f>
        <v>#REF!</v>
      </c>
      <c r="W46" s="477" t="s">
        <v>444</v>
      </c>
      <c r="X46" s="580" t="s">
        <v>305</v>
      </c>
      <c r="Y46" s="22"/>
      <c r="Z46" s="589" t="e">
        <f>$BM$7</f>
        <v>#REF!</v>
      </c>
      <c r="AA46" s="477" t="e">
        <f>$BN$7</f>
        <v>#REF!</v>
      </c>
      <c r="AB46" s="477" t="s">
        <v>444</v>
      </c>
      <c r="AC46" s="580" t="s">
        <v>305</v>
      </c>
      <c r="AD46" s="22"/>
      <c r="AE46" s="589" t="e">
        <f>$BM$7</f>
        <v>#REF!</v>
      </c>
      <c r="AF46" s="477" t="e">
        <f>$BN$7</f>
        <v>#REF!</v>
      </c>
      <c r="AG46" s="477" t="s">
        <v>444</v>
      </c>
      <c r="AH46" s="580" t="s">
        <v>305</v>
      </c>
      <c r="AI46" s="22"/>
      <c r="AJ46" s="22"/>
      <c r="AK46" s="22"/>
      <c r="AL46" s="22"/>
      <c r="AM46" s="183"/>
      <c r="AN46" s="477"/>
      <c r="AO46" s="477"/>
      <c r="AP46" s="477"/>
      <c r="AQ46" s="183"/>
      <c r="AR46" s="183"/>
      <c r="AS46" s="183"/>
      <c r="AT46" s="183"/>
      <c r="AU46" s="183"/>
      <c r="AX46" s="900" t="e">
        <f>$BL$7</f>
        <v>#REF!</v>
      </c>
      <c r="AY46" s="901" t="e">
        <f>$BM$7</f>
        <v>#REF!</v>
      </c>
      <c r="AZ46" s="901" t="e">
        <f>$BN$7</f>
        <v>#REF!</v>
      </c>
      <c r="BA46" s="901" t="e">
        <f>$BO$7</f>
        <v>#REF!</v>
      </c>
      <c r="BB46" s="901" t="e">
        <f>$BP$7</f>
        <v>#REF!</v>
      </c>
      <c r="BC46" s="333"/>
      <c r="BD46" s="333"/>
      <c r="BE46" s="902"/>
      <c r="BF46"/>
      <c r="BG46"/>
      <c r="BH46"/>
      <c r="BI46" s="37"/>
      <c r="BJ46" s="183"/>
    </row>
    <row r="47" spans="1:68" ht="15.75" hidden="1" thickBot="1">
      <c r="B47" s="33"/>
      <c r="D47" s="33"/>
      <c r="E47" s="575">
        <f>COUNT(D36:H40)</f>
        <v>0</v>
      </c>
      <c r="F47" s="575">
        <f>ROUNDUP(COUNTIF($C$36:$C$40,"X")*5/3*2,0)</f>
        <v>0</v>
      </c>
      <c r="G47" s="575" t="e">
        <f>IF(AND($A31,E47&gt;=F47),E47*10,"--")</f>
        <v>#REF!</v>
      </c>
      <c r="H47" s="581" t="e">
        <f>IF(AND($A31,E47&gt;=F47),SUM(D36:H40),"--")</f>
        <v>#REF!</v>
      </c>
      <c r="J47" s="33"/>
      <c r="K47" s="575">
        <f>COUNT(J36:N40)</f>
        <v>0</v>
      </c>
      <c r="L47" s="575">
        <f>ROUNDUP(COUNTIF($C$36:$C$40,"X")*5/3*2,0)</f>
        <v>0</v>
      </c>
      <c r="M47" s="575" t="e">
        <f>IF(AND($A31,K47&gt;=L47),K47*10,"--")</f>
        <v>#REF!</v>
      </c>
      <c r="N47" s="581" t="e">
        <f>IF(AND($A31,K47&gt;=L47),SUM(J36:N40),"--")</f>
        <v>#REF!</v>
      </c>
      <c r="O47" s="906">
        <f>COUNT(P36:R40)</f>
        <v>0</v>
      </c>
      <c r="P47" s="575">
        <f>ROUNDUP(COUNTIF($C$36:$C$40,"X")*3/3*2,0)</f>
        <v>0</v>
      </c>
      <c r="Q47" s="575" t="e">
        <f>IF(AND($A31,O47&gt;=P47),O47*10,"--")</f>
        <v>#REF!</v>
      </c>
      <c r="R47" s="581" t="e">
        <f>IF(AND($A31,O47&gt;=P47),SUM(P36:R40),"--")</f>
        <v>#REF!</v>
      </c>
      <c r="T47" s="33"/>
      <c r="U47" s="575">
        <f>COUNT(T36:X40)</f>
        <v>0</v>
      </c>
      <c r="V47" s="575">
        <f>ROUNDUP(COUNTIF($C$36:$C$40,"X")*5/3*2,0)</f>
        <v>0</v>
      </c>
      <c r="W47" s="575" t="e">
        <f>IF(AND($A31,U47&gt;=V47),U47*10,"--")</f>
        <v>#REF!</v>
      </c>
      <c r="X47" s="581" t="e">
        <f>IF(AND($A31,U47&gt;=V47),SUM(T36:X40),"--")</f>
        <v>#REF!</v>
      </c>
      <c r="Z47" s="600">
        <f>COUNT(Z36:AC40)</f>
        <v>0</v>
      </c>
      <c r="AA47" s="575">
        <f>ROUNDUP(COUNTIF($C$36:$C$40,"X")*4/3*2,0)</f>
        <v>0</v>
      </c>
      <c r="AB47" s="575" t="e">
        <f>IF(AND($A31,Z47&gt;=AA47),Z47*10,"--")</f>
        <v>#REF!</v>
      </c>
      <c r="AC47" s="581" t="e">
        <f>IF(AND($A31,Z47&gt;=AA47),SUM(Z36:AC40),"--")</f>
        <v>#REF!</v>
      </c>
      <c r="AD47" s="30"/>
      <c r="AE47" s="600">
        <f>COUNT(AE36:AH40)</f>
        <v>0</v>
      </c>
      <c r="AF47" s="575">
        <f>ROUNDUP(COUNTIF($C$36:$C$40,"X")*4/3*2,0)</f>
        <v>0</v>
      </c>
      <c r="AG47" s="575" t="e">
        <f>IF(AND($A31,AE47&gt;=AF47),AE47*10,"--")</f>
        <v>#REF!</v>
      </c>
      <c r="AH47" s="581" t="e">
        <f>IF(AND($A31,AE47&gt;=AF47),SUM(AE36:AH40),"--")</f>
        <v>#REF!</v>
      </c>
      <c r="AS47" s="164"/>
      <c r="AT47" s="276"/>
      <c r="AX47" s="600">
        <f>COUNTIF(AX45:BE45,"&gt;-")</f>
        <v>0</v>
      </c>
      <c r="AY47" s="575">
        <f>COUNT(AX36:BE40)</f>
        <v>0</v>
      </c>
      <c r="AZ47" s="575">
        <f>ROUNDUP(COUNTIF($C$36:$C$40,"X")*8/3*2,0)</f>
        <v>0</v>
      </c>
      <c r="BA47" s="575">
        <f>IF(AND($B48,AY47&gt;=AZ47),COUNTIF(AX45:BE45,"&lt;&gt;"&amp;AX46)*10,"--")</f>
        <v>80</v>
      </c>
      <c r="BB47" s="575" t="e">
        <f>IF(AND($B48,AY47&gt;=AZ47),SUM(AX45:BE45),"--")</f>
        <v>#REF!</v>
      </c>
      <c r="BC47" s="164"/>
      <c r="BD47" s="164"/>
      <c r="BE47" s="598"/>
      <c r="BF47"/>
      <c r="BG47"/>
      <c r="BH47"/>
      <c r="BI47" s="39"/>
    </row>
    <row r="48" spans="1:68" ht="15.75" thickBot="1">
      <c r="B48" s="33"/>
      <c r="C48" s="30"/>
      <c r="D48" s="582"/>
      <c r="E48" s="583"/>
      <c r="F48" s="584" t="s">
        <v>88</v>
      </c>
      <c r="G48" s="1177" t="e">
        <f>IF(OR($A$31=FALSE,F47&gt;E47),$BL$35,IFERROR(ROUND(H47/G47,2),$BL$35))</f>
        <v>#REF!</v>
      </c>
      <c r="H48" s="1178"/>
      <c r="I48"/>
      <c r="J48" s="582"/>
      <c r="K48" s="583"/>
      <c r="L48" s="588" t="s">
        <v>87</v>
      </c>
      <c r="M48" s="1177" t="e">
        <f>IF(OR($A$31=FALSE,L47&gt;K47),$BL$35,IFERROR(ROUND(N47/M47,2),$BL$35))</f>
        <v>#REF!</v>
      </c>
      <c r="N48" s="1178"/>
      <c r="O48" s="904"/>
      <c r="P48" s="591" t="s">
        <v>86</v>
      </c>
      <c r="Q48" s="1177" t="e">
        <f>IF(OR($A$31=FALSE,P47&gt;O47),$BL$35,IFERROR(ROUND(R47/Q47,2),$BL$35))</f>
        <v>#REF!</v>
      </c>
      <c r="R48" s="1178"/>
      <c r="S48"/>
      <c r="T48" s="593"/>
      <c r="U48" s="594"/>
      <c r="V48" s="591" t="s">
        <v>85</v>
      </c>
      <c r="W48" s="1177" t="e">
        <f>IF(OR($A$31=FALSE,V47&gt;U47),$BL$35,IFERROR(ROUND(X47/W47,2),$BL$35))</f>
        <v>#REF!</v>
      </c>
      <c r="X48" s="1178"/>
      <c r="Y48"/>
      <c r="Z48" s="582"/>
      <c r="AA48" s="584" t="s">
        <v>84</v>
      </c>
      <c r="AB48" s="1177" t="e">
        <f>IF(OR($A$31=FALSE,AA47&gt;Z47),$BL$35,IFERROR(ROUND(AC47/AB47,2),$BL$35))</f>
        <v>#REF!</v>
      </c>
      <c r="AC48" s="1178"/>
      <c r="AD48"/>
      <c r="AE48" s="582"/>
      <c r="AF48" s="588" t="s">
        <v>83</v>
      </c>
      <c r="AG48" s="1177" t="e">
        <f>IF(OR($A$31=FALSE,AF47&gt;AE47),$BL$35,IFERROR(ROUND(AH47/AG47,2),$BL$35))</f>
        <v>#REF!</v>
      </c>
      <c r="AH48" s="1178"/>
      <c r="AI48"/>
      <c r="AM48" s="153"/>
      <c r="AN48" s="153"/>
      <c r="AO48" s="153"/>
      <c r="AP48" s="153"/>
      <c r="AQ48" s="153"/>
      <c r="AS48" s="164"/>
      <c r="AT48" s="277"/>
      <c r="AU48" s="164"/>
      <c r="AX48" s="79"/>
      <c r="AY48" s="594"/>
      <c r="AZ48" s="594"/>
      <c r="BA48" s="594"/>
      <c r="BB48" s="594"/>
      <c r="BC48" s="599" t="s">
        <v>82</v>
      </c>
      <c r="BD48" s="1195" t="e">
        <f>IF(A31=FALSE,AX46,IF(AY47&gt;=AZ47,ROUND(BB47/BA47,2),$BL$35))</f>
        <v>#REF!</v>
      </c>
      <c r="BE48" s="1196"/>
      <c r="BF48"/>
      <c r="BG48"/>
      <c r="BH48"/>
      <c r="BI48" s="39"/>
    </row>
    <row r="49" spans="1:68" ht="15">
      <c r="B49" s="33"/>
      <c r="C49" s="30"/>
      <c r="D49" s="163"/>
      <c r="E49" s="30"/>
      <c r="G49" s="153"/>
      <c r="H49" s="153"/>
      <c r="I49"/>
      <c r="J49" s="163"/>
      <c r="K49" s="30"/>
      <c r="M49" s="30"/>
      <c r="N49" s="153"/>
      <c r="O49" s="153"/>
      <c r="P49"/>
      <c r="Q49" s="163"/>
      <c r="R49" s="30"/>
      <c r="S49" s="30"/>
      <c r="T49" s="153"/>
      <c r="U49" s="153"/>
      <c r="V49" s="163"/>
      <c r="X49" s="153"/>
      <c r="Y49" s="153"/>
      <c r="Z49" s="163"/>
      <c r="AC49" s="153"/>
      <c r="AD49" s="153"/>
      <c r="AE49" s="163"/>
      <c r="AF49" s="30"/>
      <c r="AG49" s="30"/>
      <c r="AH49" s="30"/>
      <c r="AM49" s="153"/>
      <c r="AN49" s="153"/>
      <c r="AO49" s="153"/>
      <c r="AP49" s="153"/>
      <c r="AQ49" s="153"/>
      <c r="AS49" s="164"/>
      <c r="AT49" s="163"/>
      <c r="AU49" s="164"/>
      <c r="AW49" s="164"/>
      <c r="AX49" s="164"/>
      <c r="AY49" s="164"/>
      <c r="AZ49" s="164"/>
      <c r="BA49" s="164"/>
      <c r="BB49" s="164"/>
      <c r="BE49" s="165"/>
      <c r="BF49"/>
      <c r="BG49"/>
      <c r="BH49"/>
      <c r="BI49" s="39"/>
    </row>
    <row r="50" spans="1:68" ht="15">
      <c r="B50" s="33"/>
      <c r="C50" s="22"/>
      <c r="D50" s="22"/>
      <c r="E50" s="22"/>
      <c r="F50" s="22"/>
      <c r="G50" s="22"/>
      <c r="H50" s="22"/>
      <c r="I50" s="22"/>
      <c r="J50" s="22"/>
      <c r="K50" s="22"/>
      <c r="L50" s="22"/>
      <c r="M50" s="22"/>
      <c r="N50" s="22"/>
      <c r="O50" s="25"/>
      <c r="P50" s="22"/>
      <c r="Q50" s="22"/>
      <c r="R50" s="22"/>
      <c r="S50" s="22"/>
      <c r="T50" s="22"/>
      <c r="U50" s="22"/>
      <c r="V50" s="22"/>
      <c r="W50" s="22"/>
      <c r="X50" s="22"/>
      <c r="Y50" s="22"/>
      <c r="Z50" s="22"/>
      <c r="AA50" s="22"/>
      <c r="AB50" s="22"/>
      <c r="AC50" s="22"/>
      <c r="AD50" s="22"/>
      <c r="AE50" s="22"/>
      <c r="AF50" s="22"/>
      <c r="AG50" s="22"/>
      <c r="AH50" s="22"/>
      <c r="AI50" s="22"/>
      <c r="AJ50" s="22"/>
      <c r="AK50" s="22"/>
      <c r="AL50" s="22"/>
      <c r="AM50" s="22"/>
      <c r="AN50" s="22"/>
      <c r="AO50" s="22"/>
      <c r="AP50" s="22"/>
      <c r="AQ50" s="22"/>
      <c r="AR50" s="22"/>
      <c r="AS50" s="22"/>
      <c r="AT50" s="22"/>
      <c r="AU50" s="22"/>
      <c r="AV50" s="22"/>
      <c r="AW50" s="22"/>
      <c r="AX50" s="22"/>
      <c r="AY50" s="22"/>
      <c r="AZ50" s="22"/>
      <c r="BA50" s="22"/>
      <c r="BB50" s="22"/>
      <c r="BC50" s="22"/>
      <c r="BD50" s="22"/>
      <c r="BE50"/>
      <c r="BF50"/>
      <c r="BG50"/>
      <c r="BH50"/>
      <c r="BI50" s="34"/>
      <c r="BJ50" s="22"/>
    </row>
    <row r="51" spans="1:68" ht="15" thickBot="1">
      <c r="A51" s="199" t="s">
        <v>384</v>
      </c>
      <c r="B51" s="33"/>
      <c r="C51" s="22"/>
      <c r="D51" s="22"/>
      <c r="E51" s="22"/>
      <c r="F51" s="22"/>
      <c r="G51" s="148"/>
      <c r="H51" s="22"/>
      <c r="I51" s="22"/>
      <c r="J51" s="22"/>
      <c r="K51" s="22"/>
      <c r="L51" s="22"/>
      <c r="M51" s="22"/>
      <c r="N51" s="148"/>
      <c r="O51" s="22"/>
      <c r="P51" s="22"/>
      <c r="Q51" s="22"/>
      <c r="R51" s="148"/>
      <c r="S51"/>
      <c r="T51"/>
      <c r="U51" s="321" t="s">
        <v>180</v>
      </c>
      <c r="V51" s="321" t="s">
        <v>181</v>
      </c>
      <c r="W51" s="465" t="s">
        <v>311</v>
      </c>
      <c r="X51" s="465" t="s">
        <v>353</v>
      </c>
      <c r="Y51" s="321" t="s">
        <v>185</v>
      </c>
      <c r="AQ51" s="183"/>
      <c r="AR51" s="183"/>
      <c r="AS51" s="183"/>
      <c r="AT51" s="183"/>
      <c r="AU51" s="183"/>
      <c r="AV51" s="183"/>
      <c r="AW51" s="183"/>
      <c r="AX51" s="183"/>
      <c r="AY51" s="183"/>
      <c r="AZ51" s="183"/>
      <c r="BA51" s="183"/>
      <c r="BB51" s="183"/>
      <c r="BC51" s="183"/>
      <c r="BD51" s="183"/>
      <c r="BE51"/>
      <c r="BF51"/>
      <c r="BG51"/>
      <c r="BH51"/>
      <c r="BI51" s="37"/>
      <c r="BJ51" s="183"/>
      <c r="BL51" s="477" t="e">
        <f>#REF!</f>
        <v>#REF!</v>
      </c>
      <c r="BM51" s="477" t="e">
        <f>#REF!</f>
        <v>#REF!</v>
      </c>
      <c r="BN51" s="477" t="e">
        <f>#REF!</f>
        <v>#REF!</v>
      </c>
      <c r="BO51" s="477" t="e">
        <f>#REF!</f>
        <v>#REF!</v>
      </c>
      <c r="BP51" s="477" t="e">
        <f>#REF!</f>
        <v>#REF!</v>
      </c>
    </row>
    <row r="52" spans="1:68" ht="16.5" thickBot="1">
      <c r="A52" s="198" t="e">
        <f>IF(COUNT(U52:Y52)=0,BL51,IF(MIN(U52:Y52)=0,"B","A"))</f>
        <v>#REF!</v>
      </c>
      <c r="B52" s="33"/>
      <c r="C52" s="53" t="s">
        <v>143</v>
      </c>
      <c r="D52" s="54" t="str">
        <f>Questions!C360</f>
        <v>Customer care / customer satisfaction / service</v>
      </c>
      <c r="E52" s="22"/>
      <c r="F52" s="22"/>
      <c r="G52" s="22"/>
      <c r="H52" s="22"/>
      <c r="I52" s="22"/>
      <c r="J52" s="22"/>
      <c r="K52" s="22"/>
      <c r="L52" s="22"/>
      <c r="M52" s="22"/>
      <c r="N52" s="22"/>
      <c r="O52" s="25"/>
      <c r="P52" s="22"/>
      <c r="Q52" s="22"/>
      <c r="R52" s="22"/>
      <c r="S52"/>
      <c r="T52"/>
      <c r="U52" s="189" t="e">
        <f>IF($A$53=FALSE,$BL$51,IF(ISBLANK(Questions!D$361),"--",Questions!D$361))</f>
        <v>#REF!</v>
      </c>
      <c r="V52" s="189" t="e">
        <f>IF($A$53=FALSE,$BL$51,IF(ISBLANK(Questions!D$362),"--",Questions!D$362))</f>
        <v>#REF!</v>
      </c>
      <c r="W52" s="470" t="e">
        <f>IF($A$53=FALSE,$BL$51,IF(ISBLANK(Questions!D$363),"--",Questions!D$363))</f>
        <v>#REF!</v>
      </c>
      <c r="X52" s="470" t="e">
        <f>IF($A$53=FALSE,$BL$51,IF(ISBLANK(Questions!D$364),"--",Questions!D$364))</f>
        <v>#REF!</v>
      </c>
      <c r="Y52" s="189" t="e">
        <f>IF($A$53=FALSE,$BL$51,IF(ISBLANK(Questions!D$365),"--",Questions!D$365))</f>
        <v>#REF!</v>
      </c>
      <c r="AR52" s="166" t="s">
        <v>726</v>
      </c>
      <c r="AS52" s="1195" t="e">
        <f>IF(A53=FALSE,BL51,IF(BM52&gt;=BN52,ROUND(BP52/BO52,2),$BL$35))</f>
        <v>#REF!</v>
      </c>
      <c r="AT52" s="1196"/>
      <c r="AU52"/>
      <c r="AV52" s="153"/>
      <c r="AW52" s="153"/>
      <c r="AX52" s="153"/>
      <c r="AY52" s="153"/>
      <c r="AZ52" s="153"/>
      <c r="BA52" s="153"/>
      <c r="BB52" s="153"/>
      <c r="BC52" s="153"/>
      <c r="BD52" s="153"/>
      <c r="BE52"/>
      <c r="BF52"/>
      <c r="BG52"/>
      <c r="BH52"/>
      <c r="BI52" s="34"/>
      <c r="BJ52" s="22"/>
      <c r="BL52" s="575">
        <f>COUNTIF(U52:Y52,"&gt;-")</f>
        <v>0</v>
      </c>
      <c r="BM52" s="575">
        <f>COUNT(U52:Y52)</f>
        <v>0</v>
      </c>
      <c r="BN52" s="575">
        <v>4</v>
      </c>
      <c r="BO52" s="575" t="e">
        <f>IF(AND($A53,BM52&gt;=BN52),BM52*10,"--")</f>
        <v>#REF!</v>
      </c>
      <c r="BP52" s="575" t="e">
        <f>IF(AND($A53,BM52&gt;=BN52),SUM(U52:Y52),"--")</f>
        <v>#REF!</v>
      </c>
    </row>
    <row r="53" spans="1:68">
      <c r="A53" s="757" t="e">
        <f>#REF!</f>
        <v>#REF!</v>
      </c>
      <c r="B53" s="472"/>
      <c r="C53" s="225"/>
      <c r="D53" s="359"/>
      <c r="E53" s="359"/>
      <c r="F53" s="359"/>
      <c r="G53" s="359"/>
      <c r="H53" s="359"/>
      <c r="I53" s="22"/>
      <c r="J53"/>
      <c r="K53"/>
      <c r="L53"/>
      <c r="M53"/>
      <c r="N53"/>
      <c r="O53"/>
      <c r="P53"/>
      <c r="Q53"/>
      <c r="R53"/>
      <c r="S53" s="22"/>
      <c r="T53" s="22"/>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s="36"/>
      <c r="BJ53"/>
    </row>
    <row r="54" spans="1:68">
      <c r="B54" s="982"/>
      <c r="C54" s="983"/>
      <c r="D54" s="983"/>
      <c r="E54" s="983"/>
      <c r="F54" s="983"/>
      <c r="G54" s="983"/>
      <c r="H54" s="983"/>
      <c r="I54" s="983"/>
      <c r="J54" s="983"/>
      <c r="K54" s="983"/>
      <c r="L54" s="983"/>
      <c r="M54" s="983"/>
      <c r="N54" s="983"/>
      <c r="O54" s="983"/>
      <c r="P54" s="983"/>
      <c r="Q54" s="983"/>
      <c r="R54" s="983"/>
      <c r="S54" s="983"/>
      <c r="T54" s="983"/>
      <c r="U54" s="983"/>
      <c r="V54" s="983"/>
      <c r="W54" s="983"/>
      <c r="X54" s="983"/>
      <c r="Y54" s="983"/>
      <c r="Z54" s="983"/>
      <c r="AA54" s="983"/>
      <c r="AB54" s="983"/>
      <c r="AC54" s="983"/>
      <c r="AD54" s="983"/>
      <c r="AE54" s="983"/>
      <c r="AF54" s="983"/>
      <c r="AG54" s="983"/>
      <c r="AH54" s="983"/>
      <c r="AI54" s="983"/>
      <c r="AJ54" s="983"/>
      <c r="AK54" s="983"/>
      <c r="AL54" s="983"/>
      <c r="AM54" s="983"/>
      <c r="AN54" s="983"/>
      <c r="AO54" s="983"/>
      <c r="AP54" s="983"/>
      <c r="AQ54" s="983"/>
      <c r="AR54" s="983"/>
      <c r="AS54" s="983"/>
      <c r="AT54" s="983"/>
      <c r="AU54" s="983"/>
      <c r="AV54" s="983"/>
      <c r="AW54" s="983"/>
      <c r="AX54" s="983"/>
      <c r="AY54" s="983"/>
      <c r="AZ54" s="983"/>
      <c r="BA54" s="983"/>
      <c r="BB54" s="983"/>
      <c r="BC54" s="983"/>
      <c r="BD54" s="983"/>
      <c r="BE54" s="983"/>
      <c r="BF54" s="983"/>
      <c r="BG54" s="983"/>
      <c r="BH54" s="983"/>
      <c r="BI54" s="984"/>
      <c r="BJ54" s="22"/>
    </row>
    <row r="55" spans="1:68">
      <c r="A55" s="199"/>
      <c r="B55" s="33"/>
      <c r="C55" s="421"/>
      <c r="D55" s="422"/>
      <c r="E55" s="422"/>
      <c r="F55" s="422"/>
      <c r="G55" s="422"/>
      <c r="H55" s="422"/>
      <c r="I55" s="422"/>
      <c r="J55" s="422"/>
      <c r="K55" s="422"/>
      <c r="L55" s="422"/>
      <c r="M55" s="422"/>
      <c r="N55" s="422"/>
      <c r="O55" s="422"/>
      <c r="P55" s="422"/>
      <c r="Q55" s="422"/>
      <c r="R55" s="422"/>
      <c r="S55" s="422"/>
      <c r="T55" s="422"/>
      <c r="U55" s="422"/>
      <c r="V55" s="422"/>
      <c r="W55" s="422"/>
      <c r="X55" s="422"/>
      <c r="Y55" s="422"/>
      <c r="Z55" s="422"/>
      <c r="AA55" s="422"/>
      <c r="AB55" s="422"/>
      <c r="AC55" s="422"/>
      <c r="AD55" s="422"/>
      <c r="AE55" s="422"/>
      <c r="AF55" s="422"/>
      <c r="AG55" s="422"/>
      <c r="AH55" s="422"/>
      <c r="AI55" s="423"/>
      <c r="AJ55" s="423"/>
      <c r="AK55" s="423"/>
      <c r="AL55" s="423"/>
      <c r="AM55" s="423"/>
      <c r="AN55" s="423"/>
      <c r="AO55" s="423"/>
      <c r="AP55" s="423"/>
      <c r="AQ55" s="423"/>
      <c r="AR55" s="423"/>
      <c r="AS55" s="423"/>
      <c r="AT55" s="423"/>
      <c r="AU55" s="423"/>
      <c r="AV55" s="423"/>
      <c r="AW55" s="423"/>
      <c r="AX55" s="423"/>
      <c r="AY55" s="423"/>
      <c r="AZ55" s="423"/>
      <c r="BA55" s="423"/>
      <c r="BB55" s="423"/>
      <c r="BC55" s="423"/>
      <c r="BD55" s="423"/>
      <c r="BE55" s="423"/>
      <c r="BF55" s="423"/>
      <c r="BG55" s="423"/>
      <c r="BH55" s="423"/>
      <c r="BI55" s="424"/>
      <c r="BJ55" s="423"/>
    </row>
    <row r="56" spans="1:68">
      <c r="B56" s="33"/>
      <c r="C56" s="422"/>
      <c r="D56" s="422"/>
      <c r="E56" s="422"/>
      <c r="F56" s="422"/>
      <c r="G56" s="422"/>
      <c r="H56" s="422"/>
      <c r="I56" s="422"/>
      <c r="J56" s="422"/>
      <c r="K56" s="422"/>
      <c r="L56" s="422"/>
      <c r="M56" s="422"/>
      <c r="N56" s="422"/>
      <c r="O56" s="422"/>
      <c r="P56" s="422"/>
      <c r="Q56" s="422"/>
      <c r="R56" s="422"/>
      <c r="S56" s="422"/>
      <c r="T56" s="422"/>
      <c r="U56" s="422"/>
      <c r="V56" s="422"/>
      <c r="W56" s="422"/>
      <c r="X56" s="422"/>
      <c r="Y56" s="422"/>
      <c r="Z56" s="422"/>
      <c r="AA56" s="422"/>
      <c r="AB56" s="422"/>
      <c r="AC56" s="422"/>
      <c r="AD56" s="422"/>
      <c r="AE56" s="422"/>
      <c r="AF56" s="422"/>
      <c r="AG56" s="422"/>
      <c r="AH56" s="422"/>
      <c r="AI56" s="423"/>
      <c r="AJ56" s="423"/>
      <c r="AK56" s="423"/>
      <c r="AL56" s="423"/>
      <c r="AM56" s="423"/>
      <c r="AN56" s="423"/>
      <c r="AO56" s="423"/>
      <c r="AP56" s="423"/>
      <c r="AQ56" s="423"/>
      <c r="AR56" s="423"/>
      <c r="AS56" s="423"/>
      <c r="AT56" s="423"/>
      <c r="AU56" s="423"/>
      <c r="AV56" s="423"/>
      <c r="BE56" s="423"/>
      <c r="BF56" s="423"/>
      <c r="BG56" s="423"/>
      <c r="BH56" s="423"/>
      <c r="BI56" s="424"/>
      <c r="BJ56" s="423"/>
    </row>
    <row r="57" spans="1:68" s="183" customFormat="1" ht="18">
      <c r="A57" s="197"/>
      <c r="B57" s="425"/>
      <c r="D57" s="426" t="e">
        <f>#REF!</f>
        <v>#REF!</v>
      </c>
      <c r="E57" s="427"/>
      <c r="F57" s="427"/>
      <c r="H57" s="427"/>
      <c r="I57" s="428"/>
      <c r="J57" s="428"/>
      <c r="K57" s="428"/>
      <c r="L57" s="428"/>
      <c r="M57" s="1202"/>
      <c r="N57" s="1202"/>
      <c r="O57" s="1202"/>
      <c r="P57" s="1202"/>
      <c r="Q57" s="428"/>
      <c r="R57" s="428"/>
      <c r="S57" s="428"/>
      <c r="T57"/>
      <c r="U57"/>
      <c r="V57"/>
      <c r="W57"/>
      <c r="X57"/>
      <c r="Y57"/>
      <c r="Z57"/>
      <c r="AA57"/>
      <c r="AB57"/>
      <c r="AC57"/>
      <c r="AD57"/>
      <c r="AE57"/>
      <c r="AF57"/>
      <c r="AG57" s="422"/>
      <c r="AH57" s="422"/>
      <c r="AI57" s="429"/>
      <c r="AJ57" s="429"/>
      <c r="AK57" s="429"/>
      <c r="AL57" s="429"/>
      <c r="AM57" s="429"/>
      <c r="AN57" s="1223">
        <f>'Input Form'!D34</f>
        <v>0</v>
      </c>
      <c r="AO57" s="1223"/>
      <c r="AP57" s="1223"/>
      <c r="AQ57" s="1223"/>
      <c r="AR57" s="1223"/>
      <c r="AS57" s="1223"/>
      <c r="AT57" s="1223"/>
      <c r="AU57" s="430" t="e">
        <f>#REF!</f>
        <v>#REF!</v>
      </c>
      <c r="AV57" s="431"/>
      <c r="AW57" s="432"/>
      <c r="AX57" s="432"/>
      <c r="AY57" s="432"/>
      <c r="AZ57" s="432"/>
      <c r="BA57" s="432"/>
      <c r="BB57" s="432"/>
      <c r="BC57" s="432"/>
      <c r="BD57" s="432"/>
      <c r="BE57" s="423"/>
      <c r="BF57" s="423"/>
      <c r="BG57" s="423"/>
      <c r="BH57" s="423"/>
      <c r="BI57" s="433"/>
      <c r="BJ57" s="434"/>
    </row>
    <row r="58" spans="1:68" ht="16.5" thickBot="1">
      <c r="B58" s="33"/>
      <c r="C58" s="422"/>
      <c r="D58" s="1203"/>
      <c r="E58" s="1203"/>
      <c r="F58" s="1203"/>
      <c r="G58" s="1203"/>
      <c r="H58" s="1203"/>
      <c r="I58" s="1204"/>
      <c r="J58" s="1204"/>
      <c r="K58" s="1204"/>
      <c r="L58" s="1204"/>
      <c r="M58" s="1204"/>
      <c r="N58" s="1204"/>
      <c r="O58" s="1204"/>
      <c r="P58" s="1204"/>
      <c r="Q58" s="550"/>
      <c r="R58" s="550"/>
      <c r="S58" s="550"/>
      <c r="T58"/>
      <c r="U58"/>
      <c r="V58"/>
      <c r="W58"/>
      <c r="X58"/>
      <c r="Y58"/>
      <c r="Z58"/>
      <c r="AA58"/>
      <c r="AB58"/>
      <c r="AC58"/>
      <c r="AD58"/>
      <c r="AE58"/>
      <c r="AF58"/>
      <c r="AG58" s="422"/>
      <c r="AH58" s="422"/>
      <c r="AI58" s="429"/>
      <c r="AJ58" s="429"/>
      <c r="AK58" s="429"/>
      <c r="AL58" s="429"/>
      <c r="AM58" s="429"/>
      <c r="AN58" s="429"/>
      <c r="AO58" s="429"/>
      <c r="AP58" s="429"/>
      <c r="AQ58" s="429"/>
      <c r="AR58" s="429"/>
      <c r="AS58" s="429"/>
      <c r="AT58" s="429"/>
      <c r="AW58" s="432"/>
      <c r="AX58" s="432"/>
      <c r="AY58" s="432"/>
      <c r="AZ58" s="432"/>
      <c r="BA58" s="432"/>
      <c r="BB58" s="432"/>
      <c r="BC58" s="432"/>
      <c r="BD58" s="432"/>
      <c r="BE58" s="423"/>
      <c r="BF58" s="423"/>
      <c r="BG58" s="423"/>
      <c r="BH58" s="423"/>
      <c r="BI58" s="424"/>
      <c r="BJ58" s="423"/>
    </row>
    <row r="59" spans="1:68" ht="15.75">
      <c r="B59" s="33"/>
      <c r="D59" s="435" t="e">
        <f>+IF(K149="n.b.","n.b.",+IF(K149&lt;80%,"C",+IF(K149&lt;90%,"B","A")))</f>
        <v>#REF!</v>
      </c>
      <c r="E59" s="436" t="e">
        <f>#REF!</f>
        <v>#REF!</v>
      </c>
      <c r="F59" s="437"/>
      <c r="G59" s="437"/>
      <c r="H59" s="437"/>
      <c r="I59" s="437"/>
      <c r="J59" s="437"/>
      <c r="K59" s="437"/>
      <c r="L59" s="437"/>
      <c r="M59" s="438"/>
      <c r="N59" s="438"/>
      <c r="O59" s="439"/>
      <c r="P59" s="439"/>
      <c r="Q59" s="439"/>
      <c r="R59" s="440"/>
      <c r="T59"/>
      <c r="U59"/>
      <c r="V59"/>
      <c r="W59"/>
      <c r="X59"/>
      <c r="Y59"/>
      <c r="Z59"/>
      <c r="AA59"/>
      <c r="AB59"/>
      <c r="AC59"/>
      <c r="AD59"/>
      <c r="AE59"/>
      <c r="AF59"/>
      <c r="AG59" s="422"/>
      <c r="AH59" s="422"/>
      <c r="AI59" s="429"/>
      <c r="AJ59" s="429"/>
      <c r="AK59" s="429"/>
      <c r="AL59" s="429"/>
      <c r="AM59" s="429"/>
      <c r="AN59" s="429"/>
      <c r="AO59" s="429"/>
      <c r="AP59" s="429"/>
      <c r="AQ59" s="429"/>
      <c r="AR59" s="429"/>
      <c r="AS59" s="429"/>
      <c r="AT59" s="429"/>
      <c r="AU59" s="423"/>
      <c r="AV59" s="423"/>
      <c r="AW59" s="432"/>
      <c r="AX59" s="432"/>
      <c r="AY59" s="432"/>
      <c r="AZ59" s="432"/>
      <c r="BA59" s="432"/>
      <c r="BB59" s="432"/>
      <c r="BC59" s="432"/>
      <c r="BD59" s="432"/>
      <c r="BE59" s="423"/>
      <c r="BF59" s="423"/>
      <c r="BG59" s="423"/>
      <c r="BH59" s="423"/>
      <c r="BI59" s="424"/>
      <c r="BJ59" s="423"/>
    </row>
    <row r="60" spans="1:68" ht="18">
      <c r="B60" s="33"/>
      <c r="D60" s="441" t="str">
        <f>+E146</f>
        <v>A</v>
      </c>
      <c r="E60" s="442" t="e">
        <f>#REF!</f>
        <v>#REF!</v>
      </c>
      <c r="F60" s="443"/>
      <c r="G60" s="443"/>
      <c r="H60" s="443"/>
      <c r="I60" s="443"/>
      <c r="J60" s="443"/>
      <c r="K60" s="443"/>
      <c r="L60" s="443"/>
      <c r="M60" s="218"/>
      <c r="N60" s="218"/>
      <c r="O60" s="444"/>
      <c r="P60" s="444"/>
      <c r="Q60" s="444"/>
      <c r="R60" s="445"/>
      <c r="T60"/>
      <c r="U60"/>
      <c r="V60"/>
      <c r="W60"/>
      <c r="X60"/>
      <c r="Y60"/>
      <c r="Z60"/>
      <c r="AA60"/>
      <c r="AB60"/>
      <c r="AC60"/>
      <c r="AD60"/>
      <c r="AE60"/>
      <c r="AF60"/>
      <c r="AG60" s="422"/>
      <c r="AH60" s="422"/>
      <c r="AI60" s="211"/>
      <c r="AJ60" s="211"/>
      <c r="AK60" s="211"/>
      <c r="AL60" s="211"/>
      <c r="AM60" s="422"/>
      <c r="AN60" s="422"/>
      <c r="AO60" s="422"/>
      <c r="AP60" s="422"/>
      <c r="AS60" s="430"/>
      <c r="AT60" s="430"/>
      <c r="AU60" s="430"/>
      <c r="AV60" s="430"/>
      <c r="AW60" s="430"/>
      <c r="AX60" s="430"/>
      <c r="AY60" s="430"/>
      <c r="AZ60" s="430"/>
      <c r="BA60" s="430"/>
      <c r="BB60" s="430"/>
      <c r="BC60" s="430"/>
      <c r="BD60" s="423"/>
      <c r="BE60" s="446"/>
      <c r="BF60" s="423"/>
      <c r="BG60" s="423"/>
      <c r="BH60" s="423"/>
      <c r="BI60" s="424"/>
      <c r="BJ60" s="423"/>
    </row>
    <row r="61" spans="1:68" ht="16.5" thickBot="1">
      <c r="B61" s="33"/>
      <c r="D61" s="447" t="str">
        <f>IF(COUNTIF(A8:A52,BL51)=16,BL51,+IF(COUNTIF((A8:A52),"C")&gt;=1,"C",+IF(+COUNTIF((A8:A52),"B")&gt;=1,"B","A")))</f>
        <v>A</v>
      </c>
      <c r="E61" s="442" t="e">
        <f>#REF!</f>
        <v>#REF!</v>
      </c>
      <c r="F61" s="443"/>
      <c r="G61" s="443"/>
      <c r="H61" s="443"/>
      <c r="I61" s="443"/>
      <c r="J61" s="443"/>
      <c r="K61" s="443"/>
      <c r="L61" s="443"/>
      <c r="M61" s="218"/>
      <c r="N61" s="218"/>
      <c r="O61" s="444"/>
      <c r="P61" s="444"/>
      <c r="Q61" s="444"/>
      <c r="R61" s="445"/>
      <c r="T61"/>
      <c r="U61"/>
      <c r="V61"/>
      <c r="W61"/>
      <c r="X61"/>
      <c r="Y61"/>
      <c r="Z61"/>
      <c r="AA61"/>
      <c r="AB61"/>
      <c r="AC61"/>
      <c r="AD61"/>
      <c r="AE61"/>
      <c r="AF61"/>
      <c r="AG61" s="422"/>
      <c r="AH61" s="422"/>
      <c r="AI61" s="448"/>
      <c r="AJ61" s="448"/>
      <c r="AK61" s="448"/>
      <c r="AL61" s="1221" t="e">
        <f>#REF!</f>
        <v>#REF!</v>
      </c>
      <c r="AM61" s="1221" t="e">
        <f>#REF!</f>
        <v>#REF!</v>
      </c>
      <c r="AN61" s="1221" t="e">
        <f>#REF!</f>
        <v>#REF!</v>
      </c>
      <c r="AO61" s="1221" t="e">
        <f>#REF!</f>
        <v>#REF!</v>
      </c>
      <c r="AP61" s="1221" t="e">
        <f>#REF!</f>
        <v>#REF!</v>
      </c>
      <c r="AQ61" s="1221" t="e">
        <f>#REF!</f>
        <v>#REF!</v>
      </c>
      <c r="AR61" s="1221" t="e">
        <f>#REF!</f>
        <v>#REF!</v>
      </c>
      <c r="AS61" s="1221" t="e">
        <f>#REF!</f>
        <v>#REF!</v>
      </c>
      <c r="AT61" s="1221" t="e">
        <f>#REF!</f>
        <v>#REF!</v>
      </c>
      <c r="AU61" s="1221" t="e">
        <f>#REF!</f>
        <v>#REF!</v>
      </c>
      <c r="AV61" s="1221" t="e">
        <f>#REF!</f>
        <v>#REF!</v>
      </c>
      <c r="AW61" s="1221" t="e">
        <f>#REF!</f>
        <v>#REF!</v>
      </c>
      <c r="AX61" s="1221" t="e">
        <f>#REF!</f>
        <v>#REF!</v>
      </c>
      <c r="AY61" s="1222" t="e">
        <f>SUM(BP8,CB14,CB22,BP29,BP45,BP52)</f>
        <v>#REF!</v>
      </c>
      <c r="AZ61" s="1222"/>
      <c r="BA61" s="565"/>
      <c r="BB61" s="1205" t="s">
        <v>439</v>
      </c>
      <c r="BC61" s="1205"/>
      <c r="BD61" s="1205"/>
      <c r="BE61" s="1205" t="e">
        <f>#REF!</f>
        <v>#REF!</v>
      </c>
      <c r="BF61" s="1205" t="e">
        <f>#REF!</f>
        <v>#REF!</v>
      </c>
      <c r="BG61" s="449"/>
      <c r="BH61" s="423"/>
      <c r="BI61" s="424"/>
      <c r="BJ61" s="423"/>
    </row>
    <row r="62" spans="1:68" ht="15.75">
      <c r="B62" s="33"/>
      <c r="D62" s="441" t="e">
        <f>+AD152</f>
        <v>#REF!</v>
      </c>
      <c r="E62" s="442" t="e">
        <f>#REF!</f>
        <v>#REF!</v>
      </c>
      <c r="F62" s="443"/>
      <c r="G62" s="443"/>
      <c r="H62" s="443"/>
      <c r="I62" s="443"/>
      <c r="J62" s="443"/>
      <c r="K62" s="443"/>
      <c r="L62" s="443"/>
      <c r="M62" s="218"/>
      <c r="N62" s="218"/>
      <c r="O62" s="444"/>
      <c r="P62" s="444"/>
      <c r="Q62" s="444"/>
      <c r="R62" s="445"/>
      <c r="T62"/>
      <c r="U62"/>
      <c r="V62"/>
      <c r="W62"/>
      <c r="X62"/>
      <c r="Y62"/>
      <c r="Z62"/>
      <c r="AA62"/>
      <c r="AB62"/>
      <c r="AC62"/>
      <c r="AD62"/>
      <c r="AE62"/>
      <c r="AF62"/>
      <c r="AG62" s="422"/>
      <c r="AH62" s="422"/>
      <c r="AI62" s="448"/>
      <c r="AJ62" s="448"/>
      <c r="AK62" s="448"/>
      <c r="AL62" s="1221" t="e">
        <f>#REF!</f>
        <v>#REF!</v>
      </c>
      <c r="AM62" s="1221" t="e">
        <f>#REF!</f>
        <v>#REF!</v>
      </c>
      <c r="AN62" s="1221" t="e">
        <f>#REF!</f>
        <v>#REF!</v>
      </c>
      <c r="AO62" s="1221" t="e">
        <f>#REF!</f>
        <v>#REF!</v>
      </c>
      <c r="AP62" s="1221" t="e">
        <f>#REF!</f>
        <v>#REF!</v>
      </c>
      <c r="AQ62" s="1221" t="e">
        <f>#REF!</f>
        <v>#REF!</v>
      </c>
      <c r="AR62" s="1221" t="e">
        <f>#REF!</f>
        <v>#REF!</v>
      </c>
      <c r="AS62" s="1221" t="e">
        <f>#REF!</f>
        <v>#REF!</v>
      </c>
      <c r="AT62" s="1221" t="e">
        <f>#REF!</f>
        <v>#REF!</v>
      </c>
      <c r="AU62" s="1221" t="e">
        <f>#REF!</f>
        <v>#REF!</v>
      </c>
      <c r="AV62" s="1221" t="e">
        <f>#REF!</f>
        <v>#REF!</v>
      </c>
      <c r="AW62" s="1221" t="e">
        <f>#REF!</f>
        <v>#REF!</v>
      </c>
      <c r="AX62" s="1221" t="e">
        <f>#REF!</f>
        <v>#REF!</v>
      </c>
      <c r="AY62" s="1222"/>
      <c r="AZ62" s="1222"/>
      <c r="BA62" s="565"/>
      <c r="BB62" s="1206" t="e">
        <f>IF(OR(AN57=0,ISERROR(AVERAGE(epm,epp,epr,ez,epg,ek))),$BL$35,ROUND(AY61/AY64,2))</f>
        <v>#REF!</v>
      </c>
      <c r="BC62" s="1207"/>
      <c r="BD62" s="1208"/>
      <c r="BE62" s="1215" t="e">
        <f>+IF(BB62=$BL$35,$BL$35,+D65)</f>
        <v>#REF!</v>
      </c>
      <c r="BF62" s="1216"/>
      <c r="BG62" s="449"/>
      <c r="BI62" s="424"/>
      <c r="BJ62" s="423"/>
    </row>
    <row r="63" spans="1:68" ht="30">
      <c r="B63" s="33"/>
      <c r="D63" s="441" t="e">
        <f>+AD167</f>
        <v>#REF!</v>
      </c>
      <c r="E63" s="442" t="e">
        <f>#REF!</f>
        <v>#REF!</v>
      </c>
      <c r="F63" s="443"/>
      <c r="G63" s="443"/>
      <c r="H63" s="443"/>
      <c r="I63" s="443"/>
      <c r="J63" s="443"/>
      <c r="K63" s="443"/>
      <c r="L63" s="443"/>
      <c r="M63" s="218"/>
      <c r="N63" s="218"/>
      <c r="O63" s="444"/>
      <c r="P63" s="444"/>
      <c r="Q63" s="444"/>
      <c r="R63" s="445"/>
      <c r="T63"/>
      <c r="U63"/>
      <c r="V63"/>
      <c r="W63"/>
      <c r="X63"/>
      <c r="Y63"/>
      <c r="Z63"/>
      <c r="AA63"/>
      <c r="AB63"/>
      <c r="AC63"/>
      <c r="AD63"/>
      <c r="AE63"/>
      <c r="AF63"/>
      <c r="AG63" s="422"/>
      <c r="AH63" s="422"/>
      <c r="AI63" s="448"/>
      <c r="AJ63" s="448"/>
      <c r="AK63" s="448"/>
      <c r="AL63" s="355" t="s">
        <v>443</v>
      </c>
      <c r="AM63" s="355"/>
      <c r="AN63" s="355"/>
      <c r="AO63" s="355"/>
      <c r="AP63" s="355"/>
      <c r="AQ63" s="355"/>
      <c r="AR63" s="355"/>
      <c r="AS63" s="355"/>
      <c r="AT63" s="355"/>
      <c r="AU63" s="355"/>
      <c r="AV63" s="355"/>
      <c r="AW63" s="355"/>
      <c r="AX63" s="355"/>
      <c r="AY63" s="355"/>
      <c r="AZ63" s="355"/>
      <c r="BA63" s="355"/>
      <c r="BB63" s="1209"/>
      <c r="BC63" s="1210"/>
      <c r="BD63" s="1211"/>
      <c r="BE63" s="1217"/>
      <c r="BF63" s="1218"/>
      <c r="BG63" s="450"/>
      <c r="BH63" s="450"/>
      <c r="BI63" s="424"/>
      <c r="BJ63" s="423"/>
    </row>
    <row r="64" spans="1:68" ht="30.75" thickBot="1">
      <c r="B64" s="33"/>
      <c r="D64" s="441" t="e">
        <f>++IF(K149=$BL$35,$BL$35,+IF(MIN(epm,ede,epe,elm,ek,epg)&lt;70%,"C",+IF(MIN(epm,ede,epe,elm,ek,epg)&lt;80%,"B","A")))</f>
        <v>#REF!</v>
      </c>
      <c r="E64" s="442" t="e">
        <f>#REF!</f>
        <v>#REF!</v>
      </c>
      <c r="F64" s="443"/>
      <c r="G64" s="443"/>
      <c r="H64" s="443"/>
      <c r="I64" s="443"/>
      <c r="J64" s="443"/>
      <c r="K64" s="443"/>
      <c r="L64" s="443"/>
      <c r="M64" s="218"/>
      <c r="N64" s="218"/>
      <c r="O64" s="444"/>
      <c r="P64" s="444"/>
      <c r="Q64" s="444"/>
      <c r="R64" s="445"/>
      <c r="T64"/>
      <c r="U64"/>
      <c r="V64"/>
      <c r="W64"/>
      <c r="X64"/>
      <c r="Y64"/>
      <c r="Z64"/>
      <c r="AA64"/>
      <c r="AB64"/>
      <c r="AC64"/>
      <c r="AD64"/>
      <c r="AE64"/>
      <c r="AF64"/>
      <c r="AG64" s="422"/>
      <c r="AH64" s="422"/>
      <c r="AI64" s="448"/>
      <c r="AJ64" s="448"/>
      <c r="AK64" s="448"/>
      <c r="AL64" s="1221" t="e">
        <f>#REF!</f>
        <v>#REF!</v>
      </c>
      <c r="AM64" s="1221" t="e">
        <f>#REF!</f>
        <v>#REF!</v>
      </c>
      <c r="AN64" s="1221" t="e">
        <f>#REF!</f>
        <v>#REF!</v>
      </c>
      <c r="AO64" s="1221" t="e">
        <f>#REF!</f>
        <v>#REF!</v>
      </c>
      <c r="AP64" s="1221" t="e">
        <f>#REF!</f>
        <v>#REF!</v>
      </c>
      <c r="AQ64" s="1221" t="e">
        <f>#REF!</f>
        <v>#REF!</v>
      </c>
      <c r="AR64" s="1221" t="e">
        <f>#REF!</f>
        <v>#REF!</v>
      </c>
      <c r="AS64" s="1221" t="e">
        <f>#REF!</f>
        <v>#REF!</v>
      </c>
      <c r="AT64" s="1221" t="e">
        <f>#REF!</f>
        <v>#REF!</v>
      </c>
      <c r="AU64" s="1221" t="e">
        <f>#REF!</f>
        <v>#REF!</v>
      </c>
      <c r="AV64" s="1221" t="e">
        <f>#REF!</f>
        <v>#REF!</v>
      </c>
      <c r="AW64" s="1221" t="e">
        <f>#REF!</f>
        <v>#REF!</v>
      </c>
      <c r="AX64" s="1221" t="e">
        <f>#REF!</f>
        <v>#REF!</v>
      </c>
      <c r="AY64" s="1222" t="e">
        <f>SUM(BO8,CA14,CA22,BO29,BO45,BO52)</f>
        <v>#REF!</v>
      </c>
      <c r="AZ64" s="1222"/>
      <c r="BA64" s="565"/>
      <c r="BB64" s="1212"/>
      <c r="BC64" s="1213"/>
      <c r="BD64" s="1214"/>
      <c r="BE64" s="1219"/>
      <c r="BF64" s="1220"/>
      <c r="BG64" s="450"/>
      <c r="BI64" s="424"/>
      <c r="BJ64" s="423"/>
    </row>
    <row r="65" spans="2:62" ht="30.75" thickBot="1">
      <c r="B65" s="33"/>
      <c r="D65" s="451" t="str">
        <f>IF(COUNTIF(D59:D64,"n.b.")=6,"n.b.",IF(COUNTIF(D59:D64,"C")&gt;=1,"C",IF(COUNTIF(D59:D64,"B")&gt;=1,"B","A")))</f>
        <v>A</v>
      </c>
      <c r="E65" s="452" t="e">
        <f>#REF!</f>
        <v>#REF!</v>
      </c>
      <c r="F65" s="453"/>
      <c r="G65" s="453"/>
      <c r="H65" s="453"/>
      <c r="I65" s="453"/>
      <c r="J65" s="453"/>
      <c r="K65" s="453"/>
      <c r="L65" s="453"/>
      <c r="M65" s="454"/>
      <c r="N65" s="454"/>
      <c r="O65" s="455"/>
      <c r="P65" s="455"/>
      <c r="Q65" s="455"/>
      <c r="R65" s="456"/>
      <c r="T65"/>
      <c r="U65"/>
      <c r="V65"/>
      <c r="W65"/>
      <c r="X65"/>
      <c r="Y65"/>
      <c r="Z65"/>
      <c r="AA65"/>
      <c r="AB65"/>
      <c r="AC65"/>
      <c r="AD65"/>
      <c r="AE65"/>
      <c r="AF65"/>
      <c r="AG65" s="422"/>
      <c r="AH65" s="422"/>
      <c r="AI65" s="448"/>
      <c r="AJ65" s="448"/>
      <c r="AK65" s="448"/>
      <c r="AL65" s="1221" t="e">
        <f>#REF!</f>
        <v>#REF!</v>
      </c>
      <c r="AM65" s="1221" t="e">
        <f>#REF!</f>
        <v>#REF!</v>
      </c>
      <c r="AN65" s="1221" t="e">
        <f>#REF!</f>
        <v>#REF!</v>
      </c>
      <c r="AO65" s="1221" t="e">
        <f>#REF!</f>
        <v>#REF!</v>
      </c>
      <c r="AP65" s="1221" t="e">
        <f>#REF!</f>
        <v>#REF!</v>
      </c>
      <c r="AQ65" s="1221" t="e">
        <f>#REF!</f>
        <v>#REF!</v>
      </c>
      <c r="AR65" s="1221" t="e">
        <f>#REF!</f>
        <v>#REF!</v>
      </c>
      <c r="AS65" s="1221" t="e">
        <f>#REF!</f>
        <v>#REF!</v>
      </c>
      <c r="AT65" s="1221" t="e">
        <f>#REF!</f>
        <v>#REF!</v>
      </c>
      <c r="AU65" s="1221" t="e">
        <f>#REF!</f>
        <v>#REF!</v>
      </c>
      <c r="AV65" s="1221" t="e">
        <f>#REF!</f>
        <v>#REF!</v>
      </c>
      <c r="AW65" s="1221" t="e">
        <f>#REF!</f>
        <v>#REF!</v>
      </c>
      <c r="AX65" s="1221" t="e">
        <f>#REF!</f>
        <v>#REF!</v>
      </c>
      <c r="AY65" s="1222"/>
      <c r="AZ65" s="1222"/>
      <c r="BA65" s="565"/>
      <c r="BB65" s="355"/>
      <c r="BG65" s="450"/>
      <c r="BI65" s="424"/>
      <c r="BJ65" s="423"/>
    </row>
    <row r="66" spans="2:62" ht="19.5" customHeight="1">
      <c r="B66" s="33"/>
      <c r="C66" s="423"/>
      <c r="D66" s="444"/>
      <c r="E66" s="444"/>
      <c r="F66" s="444"/>
      <c r="G66" s="444"/>
      <c r="H66" s="444"/>
      <c r="I66" s="444"/>
      <c r="J66" s="444"/>
      <c r="K66" s="444"/>
      <c r="L66" s="444"/>
      <c r="M66" s="444"/>
      <c r="N66" s="444"/>
      <c r="O66" s="444"/>
      <c r="P66" s="444"/>
      <c r="Q66" s="444"/>
      <c r="R66" s="444"/>
      <c r="S66" s="444"/>
      <c r="T66" s="423"/>
      <c r="U66" s="422"/>
      <c r="V66" s="422"/>
      <c r="W66" s="422"/>
      <c r="X66" s="422"/>
      <c r="Y66" s="422"/>
      <c r="Z66" s="422"/>
      <c r="AA66" s="422"/>
      <c r="AB66" s="422"/>
      <c r="AC66" s="422"/>
      <c r="AD66" s="422"/>
      <c r="AE66" s="422"/>
      <c r="AF66" s="422"/>
      <c r="AG66" s="422"/>
      <c r="AH66" s="422"/>
      <c r="AI66" s="448"/>
      <c r="AJ66" s="448"/>
      <c r="AK66" s="448"/>
      <c r="AL66" s="448"/>
      <c r="AM66" s="448"/>
      <c r="AN66" s="448"/>
      <c r="AO66" s="448"/>
      <c r="AP66" s="448"/>
      <c r="AQ66" s="448"/>
      <c r="AR66" s="448"/>
      <c r="AS66" s="448"/>
      <c r="AT66" s="448"/>
      <c r="AU66" s="448"/>
      <c r="AV66" s="448"/>
      <c r="AW66" s="448"/>
      <c r="AX66" s="448"/>
      <c r="AY66" s="448"/>
      <c r="BD66" s="450"/>
      <c r="BI66" s="424"/>
      <c r="BJ66" s="423"/>
    </row>
    <row r="67" spans="2:62" ht="15" customHeight="1">
      <c r="B67" s="33"/>
      <c r="D67" s="444"/>
      <c r="E67" s="444"/>
      <c r="F67" s="444"/>
      <c r="G67" s="444"/>
      <c r="H67" s="444"/>
      <c r="I67" s="444"/>
      <c r="J67" s="444"/>
      <c r="K67" s="444"/>
      <c r="L67" s="444"/>
      <c r="M67" s="444"/>
      <c r="N67" s="444"/>
      <c r="O67" s="444"/>
      <c r="P67" s="444"/>
      <c r="Q67" s="444"/>
      <c r="R67" s="444"/>
      <c r="S67" s="444"/>
      <c r="T67" s="22"/>
      <c r="U67" s="422"/>
      <c r="W67" s="422"/>
      <c r="X67" s="422"/>
      <c r="Y67" s="422"/>
      <c r="Z67" s="422"/>
      <c r="AA67" s="422"/>
      <c r="AB67" s="422"/>
      <c r="AC67" s="422"/>
      <c r="AD67" s="422"/>
      <c r="AE67" s="422"/>
      <c r="AF67" s="422"/>
      <c r="AG67" s="422"/>
      <c r="AH67" s="422"/>
      <c r="AI67" s="1228"/>
      <c r="AJ67" s="1228"/>
      <c r="AK67" s="1228"/>
      <c r="AL67" s="1228"/>
      <c r="AM67" s="1228"/>
      <c r="AN67" s="1228"/>
      <c r="AO67" s="1228"/>
      <c r="AP67" s="1228"/>
      <c r="AQ67" s="1229"/>
      <c r="AR67" s="356"/>
      <c r="AS67" s="356"/>
      <c r="AT67" s="753"/>
      <c r="AX67" s="457"/>
      <c r="AY67" s="457"/>
      <c r="BE67" s="446"/>
      <c r="BF67" s="457"/>
      <c r="BG67" s="457"/>
      <c r="BH67" s="457"/>
      <c r="BI67" s="458"/>
      <c r="BJ67" s="22"/>
    </row>
    <row r="68" spans="2:62" ht="14.25" customHeight="1">
      <c r="B68" s="33"/>
      <c r="C68" s="22"/>
      <c r="D68" s="22"/>
      <c r="E68" s="22"/>
      <c r="F68" s="22"/>
      <c r="G68" s="22"/>
      <c r="H68" s="22"/>
      <c r="I68" s="22"/>
      <c r="J68" s="22"/>
      <c r="K68" s="22"/>
      <c r="L68" s="22"/>
      <c r="M68" s="22"/>
      <c r="N68" s="22"/>
      <c r="O68" s="149"/>
      <c r="P68" s="22"/>
      <c r="Q68" s="22"/>
      <c r="R68" s="22"/>
      <c r="S68" s="22"/>
      <c r="T68" s="22"/>
      <c r="U68" s="22"/>
      <c r="V68" s="754"/>
      <c r="W68" s="754"/>
      <c r="X68" s="754"/>
      <c r="Y68" s="446"/>
      <c r="Z68" s="174"/>
      <c r="AA68" s="174"/>
      <c r="AB68" s="22"/>
      <c r="AC68" s="22"/>
      <c r="AD68" s="22"/>
      <c r="AE68" s="459"/>
      <c r="AF68" s="434"/>
      <c r="AG68" s="755"/>
      <c r="AH68" s="434"/>
      <c r="AI68" s="175"/>
      <c r="AJ68" s="175"/>
      <c r="AK68" s="175"/>
      <c r="AL68" s="175"/>
      <c r="AM68" s="175"/>
      <c r="AN68" s="175"/>
      <c r="AO68" s="175"/>
      <c r="AP68" s="175"/>
      <c r="AQ68" s="434"/>
      <c r="AR68" s="174"/>
      <c r="AS68" s="174"/>
      <c r="AT68" s="754"/>
      <c r="AX68" s="457"/>
      <c r="AY68" s="457"/>
      <c r="BF68" s="457"/>
      <c r="BG68" s="457"/>
      <c r="BH68" s="457"/>
      <c r="BI68" s="458"/>
      <c r="BJ68" s="22"/>
    </row>
    <row r="69" spans="2:62" ht="15" customHeight="1">
      <c r="B69" s="33"/>
      <c r="C69" s="460" t="e">
        <f>#REF!</f>
        <v>#REF!</v>
      </c>
      <c r="D69" s="423"/>
      <c r="E69" s="423"/>
      <c r="F69" s="423"/>
      <c r="G69" s="423"/>
      <c r="H69" s="423"/>
      <c r="I69" s="22"/>
      <c r="J69" s="423"/>
      <c r="K69" s="423"/>
      <c r="L69" s="423"/>
      <c r="M69" s="423"/>
      <c r="N69" s="422"/>
      <c r="O69" s="461"/>
      <c r="P69" s="422"/>
      <c r="Q69" s="422"/>
      <c r="R69" s="422"/>
      <c r="S69" s="218"/>
      <c r="T69" s="218"/>
      <c r="U69" s="422"/>
      <c r="V69" s="422"/>
      <c r="X69" s="422"/>
      <c r="Y69" s="422"/>
      <c r="Z69" s="422"/>
      <c r="AA69" s="423"/>
      <c r="AB69" s="423"/>
      <c r="AC69" s="423"/>
      <c r="AD69" s="423"/>
      <c r="AG69" s="23" t="e">
        <f>#REF!</f>
        <v>#REF!</v>
      </c>
      <c r="AX69" s="457"/>
      <c r="AY69" s="457"/>
      <c r="AZ69" s="457"/>
      <c r="BA69" s="457"/>
      <c r="BB69" s="457"/>
      <c r="BC69" s="457"/>
      <c r="BD69" s="457"/>
      <c r="BE69" s="457"/>
      <c r="BF69" s="457"/>
      <c r="BG69" s="457"/>
      <c r="BH69" s="457"/>
      <c r="BI69" s="424"/>
      <c r="BJ69" s="423"/>
    </row>
    <row r="70" spans="2:62" ht="7.15" customHeight="1" thickBot="1">
      <c r="B70" s="79"/>
      <c r="C70" s="462"/>
      <c r="D70" s="463"/>
      <c r="E70" s="463"/>
      <c r="F70" s="463"/>
      <c r="G70" s="463"/>
      <c r="H70" s="463"/>
      <c r="I70" s="463"/>
      <c r="J70" s="463"/>
      <c r="K70" s="463"/>
      <c r="L70" s="463"/>
      <c r="M70" s="463"/>
      <c r="N70" s="463"/>
      <c r="O70" s="463"/>
      <c r="P70" s="463"/>
      <c r="Q70" s="463"/>
      <c r="R70" s="463"/>
      <c r="S70" s="463"/>
      <c r="T70" s="463"/>
      <c r="U70" s="463"/>
      <c r="V70" s="463"/>
      <c r="W70" s="463"/>
      <c r="X70" s="463"/>
      <c r="Y70" s="463"/>
      <c r="Z70" s="463"/>
      <c r="AA70" s="463"/>
      <c r="AB70" s="463"/>
      <c r="AC70" s="463"/>
      <c r="AD70" s="463"/>
      <c r="AE70" s="463"/>
      <c r="AF70" s="463"/>
      <c r="AG70" s="463"/>
      <c r="AH70" s="463"/>
      <c r="AI70" s="463"/>
      <c r="AJ70" s="463"/>
      <c r="AK70" s="463"/>
      <c r="AL70" s="463"/>
      <c r="AM70" s="463"/>
      <c r="AN70" s="463"/>
      <c r="AO70" s="463"/>
      <c r="AP70" s="463"/>
      <c r="AQ70" s="463"/>
      <c r="AR70" s="463"/>
      <c r="AS70" s="463"/>
      <c r="AT70" s="463"/>
      <c r="AU70" s="463"/>
      <c r="AV70" s="463"/>
      <c r="AW70" s="463"/>
      <c r="AX70" s="463"/>
      <c r="AY70" s="463"/>
      <c r="AZ70" s="463"/>
      <c r="BA70" s="463"/>
      <c r="BB70" s="463"/>
      <c r="BC70" s="463"/>
      <c r="BD70" s="463"/>
      <c r="BE70" s="463"/>
      <c r="BF70" s="463"/>
      <c r="BG70" s="463"/>
      <c r="BH70" s="463"/>
      <c r="BI70" s="464"/>
      <c r="BJ70" s="423"/>
    </row>
    <row r="71" spans="2:62" ht="10.5" customHeight="1">
      <c r="C71" s="176"/>
      <c r="D71" s="177"/>
      <c r="E71" s="177"/>
      <c r="F71" s="177"/>
      <c r="G71" s="177"/>
      <c r="H71" s="177"/>
      <c r="I71" s="177"/>
      <c r="J71" s="177"/>
      <c r="K71" s="177"/>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row>
    <row r="72" spans="2:62" ht="21" customHeight="1">
      <c r="T72" s="237"/>
      <c r="U72" s="237"/>
      <c r="V72" s="237"/>
      <c r="W72" s="237"/>
      <c r="X72" s="237"/>
      <c r="Y72" s="237"/>
      <c r="Z72" s="237"/>
      <c r="AA72" s="237"/>
      <c r="AB72" s="237"/>
      <c r="AC72" s="237"/>
      <c r="AD72" s="237"/>
      <c r="AE72" s="237"/>
      <c r="AF72" s="237"/>
      <c r="AG72" s="237"/>
      <c r="AH72" s="237"/>
      <c r="AI72" s="237"/>
      <c r="AJ72" s="237"/>
      <c r="AK72" s="237"/>
      <c r="AL72" s="237"/>
      <c r="AM72" s="237"/>
      <c r="AN72" s="237"/>
      <c r="AO72" s="237"/>
      <c r="AP72" s="237"/>
      <c r="AQ72" s="237"/>
      <c r="AR72" s="237"/>
      <c r="AS72" s="237"/>
      <c r="AT72" s="237"/>
      <c r="AU72" s="237"/>
      <c r="AV72" s="237"/>
      <c r="AW72" s="1226"/>
      <c r="AX72" s="1226"/>
      <c r="AY72" s="1226"/>
      <c r="AZ72" s="1226"/>
      <c r="BA72" s="1226"/>
      <c r="BB72" s="1226"/>
      <c r="BC72" s="1226"/>
      <c r="BD72" s="1226"/>
      <c r="BE72" s="1226"/>
      <c r="BF72" s="1226"/>
      <c r="BG72" s="1226"/>
      <c r="BH72" s="1226"/>
      <c r="BI72" s="1226"/>
    </row>
    <row r="73" spans="2:62" ht="138" customHeight="1">
      <c r="D73" s="256" t="s">
        <v>110</v>
      </c>
      <c r="E73" s="257" t="s">
        <v>211</v>
      </c>
      <c r="F73" s="257"/>
      <c r="G73" s="223"/>
      <c r="H73" s="257" t="s">
        <v>217</v>
      </c>
      <c r="I73" s="258" t="s">
        <v>218</v>
      </c>
      <c r="J73" s="236"/>
      <c r="K73" s="236"/>
      <c r="L73" s="236"/>
      <c r="T73" s="237"/>
      <c r="U73" s="237"/>
      <c r="V73" s="237"/>
      <c r="W73" s="237"/>
      <c r="X73" s="237"/>
      <c r="Y73" s="237"/>
      <c r="Z73" s="237"/>
      <c r="AA73" s="237"/>
      <c r="AB73" s="237"/>
      <c r="AC73" s="237"/>
      <c r="AD73" s="237"/>
      <c r="AE73" s="237"/>
      <c r="AF73" s="236"/>
      <c r="AG73" s="236"/>
      <c r="AH73" s="236"/>
      <c r="AI73" s="236"/>
      <c r="AJ73" s="236"/>
      <c r="AK73" s="236"/>
      <c r="AL73" s="236"/>
      <c r="AM73" s="237"/>
      <c r="AN73" s="237"/>
      <c r="AO73" s="237"/>
      <c r="AP73" s="237"/>
      <c r="AQ73" s="237"/>
      <c r="AR73" s="237"/>
      <c r="AS73" s="237"/>
      <c r="AT73" s="237"/>
      <c r="AU73" s="237"/>
      <c r="AV73" s="237"/>
      <c r="AW73" s="1226"/>
      <c r="AX73" s="1226"/>
      <c r="AY73" s="1226"/>
      <c r="AZ73" s="1226"/>
      <c r="BA73" s="1226"/>
      <c r="BB73" s="1226"/>
      <c r="BC73" s="1226"/>
      <c r="BD73" s="1226"/>
      <c r="BE73" s="1226"/>
      <c r="BF73" s="1226"/>
      <c r="BG73" s="1226"/>
      <c r="BH73" s="1226"/>
      <c r="BI73" s="1226"/>
    </row>
    <row r="74" spans="2:62" ht="15.75">
      <c r="D74" s="259" t="s">
        <v>138</v>
      </c>
      <c r="I74" s="224"/>
      <c r="T74" s="237"/>
      <c r="U74" s="237"/>
      <c r="V74" s="237"/>
      <c r="W74" s="237"/>
      <c r="X74" s="237"/>
      <c r="Y74" s="237"/>
      <c r="Z74" s="237"/>
      <c r="AA74" s="237"/>
      <c r="AB74" s="237"/>
      <c r="AC74" s="237"/>
      <c r="AD74" s="237"/>
      <c r="AE74" s="237"/>
      <c r="AM74" s="237"/>
      <c r="AN74" s="237"/>
      <c r="AO74" s="237"/>
      <c r="AP74" s="237"/>
      <c r="AQ74" s="237"/>
      <c r="AR74" s="237"/>
      <c r="AS74" s="237"/>
      <c r="AT74" s="237"/>
      <c r="AU74" s="237"/>
      <c r="AV74" s="237"/>
      <c r="AW74" s="1230"/>
      <c r="AX74" s="1230"/>
      <c r="AY74" s="1230"/>
      <c r="AZ74" s="1230"/>
      <c r="BA74" s="1230"/>
      <c r="BB74" s="1230"/>
      <c r="BC74" s="1230"/>
      <c r="BD74" s="1230"/>
      <c r="BE74" s="1230"/>
      <c r="BF74" s="1230"/>
      <c r="BG74" s="1230"/>
      <c r="BH74" s="1230"/>
      <c r="BI74" s="1230"/>
    </row>
    <row r="75" spans="2:62" ht="15">
      <c r="D75" s="260" t="str">
        <f>+Questions!$A13</f>
        <v>2.1</v>
      </c>
      <c r="I75" s="224"/>
      <c r="T75" s="237"/>
      <c r="U75" s="237"/>
      <c r="V75" s="237"/>
      <c r="W75" s="237"/>
      <c r="X75" s="237"/>
      <c r="Y75" s="237"/>
      <c r="Z75" s="237"/>
      <c r="AA75" s="237"/>
      <c r="AB75" s="237"/>
      <c r="AC75" s="237"/>
      <c r="AD75" s="237"/>
      <c r="AE75" s="237"/>
      <c r="AM75" s="237"/>
      <c r="AN75" s="237"/>
      <c r="AO75" s="237"/>
      <c r="AP75" s="237"/>
      <c r="AQ75" s="237"/>
      <c r="AR75" s="237"/>
      <c r="AS75" s="237"/>
      <c r="AT75" s="237"/>
      <c r="AU75" s="237"/>
      <c r="AV75" s="237"/>
      <c r="AW75" s="1230"/>
      <c r="AX75" s="1230"/>
      <c r="AY75" s="1230"/>
      <c r="AZ75" s="1230"/>
      <c r="BA75" s="1230"/>
      <c r="BB75" s="1230"/>
      <c r="BC75" s="1230"/>
      <c r="BD75" s="1230"/>
      <c r="BE75" s="1230"/>
      <c r="BF75" s="1230"/>
      <c r="BG75" s="1230"/>
      <c r="BH75" s="1230"/>
      <c r="BI75" s="1230"/>
    </row>
    <row r="76" spans="2:62" ht="15">
      <c r="D76" s="260" t="str">
        <f>+Questions!$A14</f>
        <v>2.2</v>
      </c>
      <c r="I76" s="224"/>
      <c r="T76" s="237"/>
      <c r="U76" s="568"/>
      <c r="V76" s="568"/>
      <c r="W76" s="238"/>
      <c r="X76" s="568"/>
      <c r="Y76" s="568"/>
      <c r="Z76" s="568"/>
      <c r="AA76" s="568"/>
      <c r="AB76" s="568"/>
      <c r="AC76" s="568"/>
      <c r="AD76" s="568"/>
      <c r="AE76" s="568"/>
      <c r="AF76" s="568"/>
      <c r="AG76" s="568"/>
      <c r="AH76" s="568"/>
      <c r="AI76" s="568"/>
      <c r="AJ76" s="568"/>
      <c r="AK76" s="568"/>
      <c r="AL76" s="568"/>
      <c r="AM76" s="568"/>
      <c r="AN76" s="568"/>
      <c r="AO76" s="568"/>
      <c r="AP76" s="568"/>
      <c r="AQ76" s="568"/>
      <c r="AR76" s="568"/>
      <c r="AS76" s="568"/>
      <c r="AT76" s="568"/>
      <c r="AU76" s="568"/>
      <c r="AV76" s="568"/>
      <c r="AW76" s="1226"/>
      <c r="AX76" s="1226"/>
      <c r="AY76" s="1226"/>
      <c r="AZ76" s="1226"/>
      <c r="BA76" s="1226"/>
      <c r="BB76" s="1226"/>
      <c r="BC76" s="1226"/>
      <c r="BD76" s="1226"/>
      <c r="BE76" s="1226"/>
      <c r="BF76" s="1226"/>
      <c r="BG76" s="1226"/>
      <c r="BH76" s="1226"/>
      <c r="BI76" s="1226"/>
    </row>
    <row r="77" spans="2:62" ht="15">
      <c r="D77" s="260" t="str">
        <f>+Questions!$A15</f>
        <v>2.3</v>
      </c>
      <c r="I77" s="224"/>
      <c r="T77" s="237"/>
      <c r="U77" s="568"/>
      <c r="V77" s="568"/>
      <c r="W77" s="568"/>
      <c r="X77" s="568"/>
      <c r="Y77" s="568"/>
      <c r="Z77" s="568"/>
      <c r="AA77" s="568"/>
      <c r="AB77" s="568"/>
      <c r="AC77" s="568"/>
      <c r="AD77" s="568"/>
      <c r="AE77" s="568"/>
      <c r="AF77" s="568"/>
      <c r="AG77" s="568"/>
      <c r="AH77" s="568"/>
      <c r="AI77" s="568"/>
      <c r="AJ77" s="568"/>
      <c r="AK77" s="568"/>
      <c r="AL77" s="568"/>
      <c r="AM77" s="568"/>
      <c r="AN77" s="568"/>
      <c r="AO77" s="568"/>
      <c r="AP77" s="568"/>
      <c r="AQ77" s="568"/>
      <c r="AR77" s="568"/>
      <c r="AS77" s="568"/>
      <c r="AT77" s="568"/>
      <c r="AU77" s="568"/>
      <c r="AV77" s="568"/>
      <c r="AW77" s="1226"/>
      <c r="AX77" s="1226"/>
      <c r="AY77" s="1226"/>
      <c r="AZ77" s="1226"/>
      <c r="BA77" s="1226"/>
      <c r="BB77" s="1226"/>
      <c r="BC77" s="1226"/>
      <c r="BD77" s="1226"/>
      <c r="BE77" s="1226"/>
      <c r="BF77" s="1226"/>
      <c r="BG77" s="1226"/>
      <c r="BH77" s="1226"/>
      <c r="BI77" s="1226"/>
    </row>
    <row r="78" spans="2:62" ht="15">
      <c r="D78" s="260" t="str">
        <f>+Questions!$A16</f>
        <v>2.4</v>
      </c>
      <c r="I78" s="224"/>
      <c r="T78" s="237"/>
      <c r="U78" s="568"/>
      <c r="V78" s="568"/>
      <c r="W78" s="1231"/>
      <c r="X78" s="1232"/>
      <c r="Y78" s="1232"/>
      <c r="Z78" s="1232"/>
      <c r="AA78" s="1232"/>
      <c r="AB78" s="1232"/>
      <c r="AC78" s="1232"/>
      <c r="AD78" s="1232"/>
      <c r="AE78" s="1232"/>
      <c r="AF78" s="1232"/>
      <c r="AG78" s="1232"/>
      <c r="AH78" s="1232"/>
      <c r="AI78" s="1232"/>
      <c r="AJ78" s="1232"/>
      <c r="AK78" s="1232"/>
      <c r="AL78" s="1232"/>
      <c r="AM78" s="1232"/>
      <c r="AN78" s="1232"/>
      <c r="AO78" s="1232"/>
      <c r="AP78" s="1232"/>
      <c r="AQ78" s="1232"/>
      <c r="AR78" s="1232"/>
      <c r="AS78" s="1232"/>
      <c r="AT78" s="1232"/>
      <c r="AU78" s="1232"/>
      <c r="AV78" s="1232"/>
      <c r="AW78" s="1226"/>
      <c r="AX78" s="1226"/>
      <c r="AY78" s="1226"/>
      <c r="AZ78" s="1226"/>
      <c r="BA78" s="1226"/>
      <c r="BB78" s="1226"/>
      <c r="BC78" s="1226"/>
      <c r="BD78" s="1226"/>
      <c r="BE78" s="1226"/>
      <c r="BF78" s="1226"/>
      <c r="BG78" s="1226"/>
      <c r="BH78" s="1226"/>
      <c r="BI78" s="1226"/>
    </row>
    <row r="79" spans="2:62" ht="15">
      <c r="D79" s="260" t="str">
        <f>+Questions!$A17</f>
        <v>2.5</v>
      </c>
      <c r="E79" s="23" t="e">
        <f>H8</f>
        <v>#REF!</v>
      </c>
      <c r="I79" s="224"/>
      <c r="T79" s="237"/>
      <c r="U79" s="568"/>
      <c r="V79" s="568"/>
      <c r="W79" s="1232"/>
      <c r="X79" s="1232"/>
      <c r="Y79" s="1232"/>
      <c r="Z79" s="1232"/>
      <c r="AA79" s="1232"/>
      <c r="AB79" s="1232"/>
      <c r="AC79" s="1232"/>
      <c r="AD79" s="1232"/>
      <c r="AE79" s="1232"/>
      <c r="AF79" s="1232"/>
      <c r="AG79" s="1232"/>
      <c r="AH79" s="1232"/>
      <c r="AI79" s="1232"/>
      <c r="AJ79" s="1232"/>
      <c r="AK79" s="1232"/>
      <c r="AL79" s="1232"/>
      <c r="AM79" s="1232"/>
      <c r="AN79" s="1232"/>
      <c r="AO79" s="1232"/>
      <c r="AP79" s="1232"/>
      <c r="AQ79" s="1232"/>
      <c r="AR79" s="1232"/>
      <c r="AS79" s="1232"/>
      <c r="AT79" s="1232"/>
      <c r="AU79" s="1232"/>
      <c r="AV79" s="1232"/>
      <c r="AW79" s="1226"/>
      <c r="AX79" s="1226"/>
      <c r="AY79" s="1226"/>
      <c r="AZ79" s="1226"/>
      <c r="BA79" s="1226"/>
      <c r="BB79" s="1226"/>
      <c r="BC79" s="1226"/>
      <c r="BD79" s="1226"/>
      <c r="BE79" s="1226"/>
      <c r="BF79" s="1226"/>
      <c r="BG79" s="1226"/>
      <c r="BH79" s="1226"/>
      <c r="BI79" s="1226"/>
    </row>
    <row r="80" spans="2:62" ht="15">
      <c r="D80" s="260" t="str">
        <f>+Questions!$A18</f>
        <v>2.6</v>
      </c>
      <c r="E80" s="23" t="e">
        <f>I8</f>
        <v>#REF!</v>
      </c>
      <c r="I80" s="224"/>
      <c r="T80" s="237"/>
      <c r="U80" s="568"/>
      <c r="V80" s="568"/>
      <c r="W80" s="1224"/>
      <c r="X80" s="1225"/>
      <c r="Y80" s="1225"/>
      <c r="Z80" s="1225"/>
      <c r="AA80" s="1225"/>
      <c r="AB80" s="1225"/>
      <c r="AC80" s="1225"/>
      <c r="AD80" s="1225"/>
      <c r="AE80" s="1225"/>
      <c r="AF80" s="1225"/>
      <c r="AG80" s="1225"/>
      <c r="AH80" s="1225"/>
      <c r="AI80" s="1225"/>
      <c r="AJ80" s="1225"/>
      <c r="AK80" s="1225"/>
      <c r="AL80" s="1225"/>
      <c r="AM80" s="1225"/>
      <c r="AN80" s="1225"/>
      <c r="AO80" s="1225"/>
      <c r="AP80" s="1225"/>
      <c r="AQ80" s="1225"/>
      <c r="AR80" s="1225"/>
      <c r="AS80" s="1225"/>
      <c r="AT80" s="1225"/>
      <c r="AU80" s="1225"/>
      <c r="AV80" s="1225"/>
      <c r="AW80" s="1226"/>
      <c r="AX80" s="1226"/>
      <c r="AY80" s="1226"/>
      <c r="AZ80" s="1226"/>
      <c r="BA80" s="1226"/>
      <c r="BB80" s="1226"/>
      <c r="BC80" s="1226"/>
      <c r="BD80" s="1226"/>
      <c r="BE80" s="1226"/>
      <c r="BF80" s="1226"/>
      <c r="BG80" s="1226"/>
      <c r="BH80" s="1226"/>
      <c r="BI80" s="1226"/>
    </row>
    <row r="81" spans="4:61" ht="15">
      <c r="D81" s="260" t="str">
        <f>+Questions!$A19</f>
        <v>2.7</v>
      </c>
      <c r="I81" s="224"/>
      <c r="T81" s="237"/>
      <c r="U81" s="568"/>
      <c r="V81" s="568"/>
      <c r="W81" s="1225"/>
      <c r="X81" s="1225"/>
      <c r="Y81" s="1225"/>
      <c r="Z81" s="1225"/>
      <c r="AA81" s="1225"/>
      <c r="AB81" s="1225"/>
      <c r="AC81" s="1225"/>
      <c r="AD81" s="1225"/>
      <c r="AE81" s="1225"/>
      <c r="AF81" s="1225"/>
      <c r="AG81" s="1225"/>
      <c r="AH81" s="1225"/>
      <c r="AI81" s="1225"/>
      <c r="AJ81" s="1225"/>
      <c r="AK81" s="1225"/>
      <c r="AL81" s="1225"/>
      <c r="AM81" s="1225"/>
      <c r="AN81" s="1225"/>
      <c r="AO81" s="1225"/>
      <c r="AP81" s="1225"/>
      <c r="AQ81" s="1225"/>
      <c r="AR81" s="1225"/>
      <c r="AS81" s="1225"/>
      <c r="AT81" s="1225"/>
      <c r="AU81" s="1225"/>
      <c r="AV81" s="1225"/>
      <c r="AW81" s="1226"/>
      <c r="AX81" s="1226"/>
      <c r="AY81" s="1226"/>
      <c r="AZ81" s="1226"/>
      <c r="BA81" s="1226"/>
      <c r="BB81" s="1226"/>
      <c r="BC81" s="1226"/>
      <c r="BD81" s="1226"/>
      <c r="BE81" s="1226"/>
      <c r="BF81" s="1226"/>
      <c r="BG81" s="1226"/>
      <c r="BH81" s="1226"/>
      <c r="BI81" s="1226"/>
    </row>
    <row r="82" spans="4:61" ht="15.75">
      <c r="D82" s="261" t="str">
        <f>+Questions!$A20</f>
        <v>P3</v>
      </c>
      <c r="G82" s="23" t="s">
        <v>138</v>
      </c>
      <c r="H82" s="23" t="str">
        <f>+IF(COUNT(E75:E81)=0,"n.b.",+IF(MIN(E75:E81)=0,"C",+IF(MIN(E75:E81)=4,"B","A")))</f>
        <v>n.b.</v>
      </c>
      <c r="I82" s="224" t="e">
        <f>+A8</f>
        <v>#REF!</v>
      </c>
      <c r="T82" s="237"/>
      <c r="U82" s="568"/>
      <c r="V82" s="568"/>
      <c r="W82" s="1225"/>
      <c r="X82" s="1225"/>
      <c r="Y82" s="1225"/>
      <c r="Z82" s="1225"/>
      <c r="AA82" s="1225"/>
      <c r="AB82" s="1225"/>
      <c r="AC82" s="1225"/>
      <c r="AD82" s="1225"/>
      <c r="AE82" s="1225"/>
      <c r="AF82" s="1225"/>
      <c r="AG82" s="1225"/>
      <c r="AH82" s="1225"/>
      <c r="AI82" s="1225"/>
      <c r="AJ82" s="1225"/>
      <c r="AK82" s="1225"/>
      <c r="AL82" s="1225"/>
      <c r="AM82" s="1225"/>
      <c r="AN82" s="1225"/>
      <c r="AO82" s="1225"/>
      <c r="AP82" s="1225"/>
      <c r="AQ82" s="1225"/>
      <c r="AR82" s="1225"/>
      <c r="AS82" s="1225"/>
      <c r="AT82" s="1225"/>
      <c r="AU82" s="1225"/>
      <c r="AV82" s="1225"/>
      <c r="AW82" s="1227"/>
      <c r="AX82" s="1227"/>
      <c r="AY82" s="1227"/>
      <c r="AZ82" s="1227"/>
      <c r="BA82" s="1227"/>
      <c r="BB82" s="1227"/>
      <c r="BC82" s="1227"/>
      <c r="BD82" s="1227"/>
      <c r="BE82" s="1227"/>
      <c r="BF82" s="1227"/>
      <c r="BG82" s="1227"/>
      <c r="BH82" s="1227"/>
      <c r="BI82" s="1227"/>
    </row>
    <row r="83" spans="4:61" ht="15">
      <c r="D83" s="260" t="str">
        <f>+Questions!$A22</f>
        <v>3.1</v>
      </c>
      <c r="I83" s="224"/>
      <c r="T83" s="237"/>
      <c r="U83" s="568"/>
      <c r="V83" s="568"/>
      <c r="W83" s="1224"/>
      <c r="X83" s="1225"/>
      <c r="Y83" s="1225"/>
      <c r="Z83" s="1225"/>
      <c r="AA83" s="1225"/>
      <c r="AB83" s="1225"/>
      <c r="AC83" s="1225"/>
      <c r="AD83" s="1225"/>
      <c r="AE83" s="1225"/>
      <c r="AF83" s="1225"/>
      <c r="AG83" s="1225"/>
      <c r="AH83" s="1225"/>
      <c r="AI83" s="1225"/>
      <c r="AJ83" s="1225"/>
      <c r="AK83" s="1225"/>
      <c r="AL83" s="1225"/>
      <c r="AM83" s="1225"/>
      <c r="AN83" s="1225"/>
      <c r="AO83" s="1225"/>
      <c r="AP83" s="1225"/>
      <c r="AQ83" s="1225"/>
      <c r="AR83" s="1225"/>
      <c r="AS83" s="1225"/>
      <c r="AT83" s="1225"/>
      <c r="AU83" s="1225"/>
      <c r="AV83" s="1225"/>
      <c r="AW83" s="1227"/>
      <c r="AX83" s="1227"/>
      <c r="AY83" s="1227"/>
      <c r="AZ83" s="1227"/>
      <c r="BA83" s="1227"/>
      <c r="BB83" s="1227"/>
      <c r="BC83" s="1227"/>
      <c r="BD83" s="1227"/>
      <c r="BE83" s="1227"/>
      <c r="BF83" s="1227"/>
      <c r="BG83" s="1227"/>
      <c r="BH83" s="1227"/>
      <c r="BI83" s="1227"/>
    </row>
    <row r="84" spans="4:61" ht="15">
      <c r="D84" s="260" t="str">
        <f>+Questions!$A25</f>
        <v>3.2</v>
      </c>
      <c r="E84" s="23" t="str">
        <f>IF(COUNT(J84:K84)&gt;0,MIN(J84:K84),"n.b")</f>
        <v>n.b</v>
      </c>
      <c r="I84" s="224"/>
      <c r="J84" s="142" t="e">
        <f>E14</f>
        <v>#REF!</v>
      </c>
      <c r="K84" s="142" t="e">
        <f>P14</f>
        <v>#REF!</v>
      </c>
      <c r="T84" s="237"/>
      <c r="U84" s="568"/>
      <c r="V84" s="568"/>
      <c r="W84" s="1225"/>
      <c r="X84" s="1225"/>
      <c r="Y84" s="1225"/>
      <c r="Z84" s="1225"/>
      <c r="AA84" s="1225"/>
      <c r="AB84" s="1225"/>
      <c r="AC84" s="1225"/>
      <c r="AD84" s="1225"/>
      <c r="AE84" s="1225"/>
      <c r="AF84" s="1225"/>
      <c r="AG84" s="1225"/>
      <c r="AH84" s="1225"/>
      <c r="AI84" s="1225"/>
      <c r="AJ84" s="1225"/>
      <c r="AK84" s="1225"/>
      <c r="AL84" s="1225"/>
      <c r="AM84" s="1225"/>
      <c r="AN84" s="1225"/>
      <c r="AO84" s="1225"/>
      <c r="AP84" s="1225"/>
      <c r="AQ84" s="1225"/>
      <c r="AR84" s="1225"/>
      <c r="AS84" s="1225"/>
      <c r="AT84" s="1225"/>
      <c r="AU84" s="1225"/>
      <c r="AV84" s="1225"/>
      <c r="AW84" s="1227"/>
      <c r="AX84" s="1227"/>
      <c r="AY84" s="1227"/>
      <c r="AZ84" s="1227"/>
      <c r="BA84" s="1227"/>
      <c r="BB84" s="1227"/>
      <c r="BC84" s="1227"/>
      <c r="BD84" s="1227"/>
      <c r="BE84" s="1227"/>
      <c r="BF84" s="1227"/>
      <c r="BG84" s="1227"/>
      <c r="BH84" s="1227"/>
      <c r="BI84" s="1227"/>
    </row>
    <row r="85" spans="4:61" ht="15">
      <c r="D85" s="260" t="str">
        <f>+Questions!$A28</f>
        <v>3.3</v>
      </c>
      <c r="I85" s="224"/>
      <c r="J85" s="142"/>
      <c r="K85" s="142"/>
      <c r="T85" s="237"/>
      <c r="U85" s="568"/>
      <c r="V85" s="568"/>
      <c r="W85" s="1234"/>
      <c r="X85" s="1234"/>
      <c r="Y85" s="1234"/>
      <c r="Z85" s="1234"/>
      <c r="AA85" s="1234"/>
      <c r="AB85" s="1234"/>
      <c r="AC85" s="1234"/>
      <c r="AD85" s="1234"/>
      <c r="AE85" s="1234"/>
      <c r="AF85" s="1234"/>
      <c r="AG85" s="1234"/>
      <c r="AH85" s="1234"/>
      <c r="AI85" s="1234"/>
      <c r="AJ85" s="1234"/>
      <c r="AK85" s="1234"/>
      <c r="AL85" s="1234"/>
      <c r="AM85" s="1234"/>
      <c r="AN85" s="1234"/>
      <c r="AO85" s="1234"/>
      <c r="AP85" s="1234"/>
      <c r="AQ85" s="1234"/>
      <c r="AR85" s="1234"/>
      <c r="AS85" s="1234"/>
      <c r="AT85" s="1234"/>
      <c r="AU85" s="1234"/>
      <c r="AV85" s="1234"/>
      <c r="AW85" s="1227"/>
      <c r="AX85" s="1227"/>
      <c r="AY85" s="1227"/>
      <c r="AZ85" s="1227"/>
      <c r="BA85" s="1227"/>
      <c r="BB85" s="1227"/>
      <c r="BC85" s="1227"/>
      <c r="BD85" s="1227"/>
      <c r="BE85" s="1227"/>
      <c r="BF85" s="1227"/>
      <c r="BG85" s="1227"/>
      <c r="BH85" s="1227"/>
      <c r="BI85" s="1227"/>
    </row>
    <row r="86" spans="4:61" ht="15">
      <c r="D86" s="260" t="str">
        <f>+Questions!$A31</f>
        <v>3.4</v>
      </c>
      <c r="I86" s="224"/>
      <c r="J86" s="142"/>
      <c r="K86" s="142"/>
      <c r="T86" s="237"/>
      <c r="U86" s="568"/>
      <c r="V86" s="568"/>
      <c r="W86" s="1234"/>
      <c r="X86" s="1234"/>
      <c r="Y86" s="1234"/>
      <c r="Z86" s="1234"/>
      <c r="AA86" s="1234"/>
      <c r="AB86" s="1234"/>
      <c r="AC86" s="1234"/>
      <c r="AD86" s="1234"/>
      <c r="AE86" s="1234"/>
      <c r="AF86" s="1234"/>
      <c r="AG86" s="1234"/>
      <c r="AH86" s="1234"/>
      <c r="AI86" s="1234"/>
      <c r="AJ86" s="1234"/>
      <c r="AK86" s="1234"/>
      <c r="AL86" s="1234"/>
      <c r="AM86" s="1234"/>
      <c r="AN86" s="1234"/>
      <c r="AO86" s="1234"/>
      <c r="AP86" s="1234"/>
      <c r="AQ86" s="1234"/>
      <c r="AR86" s="1234"/>
      <c r="AS86" s="1234"/>
      <c r="AT86" s="1234"/>
      <c r="AU86" s="1234"/>
      <c r="AV86" s="1234"/>
      <c r="AW86" s="1227"/>
      <c r="AX86" s="1227"/>
      <c r="AY86" s="1227"/>
      <c r="AZ86" s="1227"/>
      <c r="BA86" s="1227"/>
      <c r="BB86" s="1227"/>
      <c r="BC86" s="1227"/>
      <c r="BD86" s="1227"/>
      <c r="BE86" s="1227"/>
      <c r="BF86" s="1227"/>
      <c r="BG86" s="1227"/>
      <c r="BH86" s="1227"/>
      <c r="BI86" s="1227"/>
    </row>
    <row r="87" spans="4:61">
      <c r="D87" s="260" t="str">
        <f>+Questions!$A34</f>
        <v>3.5</v>
      </c>
      <c r="I87" s="224"/>
      <c r="J87" s="142"/>
      <c r="K87" s="142"/>
      <c r="T87" s="211"/>
      <c r="U87" s="1233"/>
      <c r="V87" s="1233"/>
      <c r="W87" s="1233"/>
      <c r="X87" s="1233"/>
      <c r="Y87" s="1233"/>
      <c r="Z87" s="1233"/>
      <c r="AA87" s="1233"/>
      <c r="AB87" s="1233"/>
      <c r="AC87" s="1233"/>
      <c r="AD87" s="1233"/>
      <c r="AE87" s="1233"/>
      <c r="AF87" s="1233"/>
      <c r="AG87" s="1233"/>
      <c r="AH87" s="1233"/>
      <c r="AI87" s="1233"/>
      <c r="AJ87" s="1233"/>
      <c r="AK87" s="1233"/>
      <c r="AL87" s="1233"/>
      <c r="AM87" s="1233"/>
      <c r="AN87" s="1233"/>
      <c r="AO87" s="1233"/>
      <c r="AP87" s="1233"/>
      <c r="AQ87" s="1233"/>
      <c r="AR87" s="1233"/>
      <c r="AS87" s="1233"/>
      <c r="AT87" s="1233"/>
      <c r="AU87" s="1233"/>
      <c r="AV87" s="1233"/>
      <c r="AW87" s="1227"/>
      <c r="AX87" s="1227"/>
      <c r="AY87" s="1227"/>
      <c r="AZ87" s="1227"/>
      <c r="BA87" s="1227"/>
      <c r="BB87" s="1227"/>
      <c r="BC87" s="1227"/>
      <c r="BD87" s="1227"/>
      <c r="BE87" s="1227"/>
      <c r="BF87" s="1227"/>
      <c r="BG87" s="1227"/>
      <c r="BH87" s="1227"/>
      <c r="BI87" s="1227"/>
    </row>
    <row r="88" spans="4:61" ht="15">
      <c r="D88" s="261" t="str">
        <f>+Questions!$A37</f>
        <v>P4</v>
      </c>
      <c r="G88" s="23" t="s">
        <v>139</v>
      </c>
      <c r="H88" s="23" t="str">
        <f>+IF(COUNT(E82:E87)=0,"n.b.",+IF(MIN(E82:E87)=0,"C",+IF(MIN(E82:E87)=4,"B","A")))</f>
        <v>n.b.</v>
      </c>
      <c r="I88" s="224" t="e">
        <f>+A14</f>
        <v>#REF!</v>
      </c>
      <c r="J88" s="142"/>
      <c r="K88" s="142"/>
      <c r="T88" s="211"/>
      <c r="U88" s="1233"/>
      <c r="V88" s="1233"/>
      <c r="W88" s="1233"/>
      <c r="X88" s="1233"/>
      <c r="Y88" s="1233"/>
      <c r="Z88" s="1233"/>
      <c r="AA88" s="1233"/>
      <c r="AB88" s="1233"/>
      <c r="AC88" s="1233"/>
      <c r="AD88" s="1233"/>
      <c r="AE88" s="1233"/>
      <c r="AF88" s="1233"/>
      <c r="AG88" s="1233"/>
      <c r="AH88" s="1233"/>
      <c r="AI88" s="1233"/>
      <c r="AJ88" s="1233"/>
      <c r="AK88" s="1233"/>
      <c r="AL88" s="1233"/>
      <c r="AM88" s="1233"/>
      <c r="AN88" s="1233"/>
      <c r="AO88" s="1233"/>
      <c r="AP88" s="1233"/>
      <c r="AQ88" s="1233"/>
      <c r="AR88" s="1233"/>
      <c r="AS88" s="1233"/>
      <c r="AT88" s="1233"/>
      <c r="AU88" s="1233"/>
      <c r="AV88" s="1233"/>
      <c r="AW88" s="1227"/>
      <c r="AX88" s="1227"/>
      <c r="AY88" s="1227"/>
      <c r="AZ88" s="1227"/>
      <c r="BA88" s="1227"/>
      <c r="BB88" s="1227"/>
      <c r="BC88" s="1227"/>
      <c r="BD88" s="1227"/>
      <c r="BE88" s="1227"/>
      <c r="BF88" s="1227"/>
      <c r="BG88" s="1227"/>
      <c r="BH88" s="1227"/>
      <c r="BI88" s="1227"/>
    </row>
    <row r="89" spans="4:61">
      <c r="D89" s="260" t="str">
        <f>+Questions!$A39</f>
        <v>4.1</v>
      </c>
      <c r="E89" s="23" t="str">
        <f>IF(COUNT(J89:K89)&gt;0,MIN(J89:K89),"n.b")</f>
        <v>n.b</v>
      </c>
      <c r="I89" s="224"/>
      <c r="J89" s="142" t="e">
        <f>D22</f>
        <v>#REF!</v>
      </c>
      <c r="K89" s="142" t="e">
        <f>Q22</f>
        <v>#REF!</v>
      </c>
      <c r="T89" s="211"/>
      <c r="U89" s="1233"/>
      <c r="V89" s="1233"/>
      <c r="W89" s="1233"/>
      <c r="X89" s="1233"/>
      <c r="Y89" s="1233"/>
      <c r="Z89" s="1233"/>
      <c r="AA89" s="1233"/>
      <c r="AB89" s="1233"/>
      <c r="AC89" s="1233"/>
      <c r="AD89" s="1233"/>
      <c r="AE89" s="1233"/>
      <c r="AF89" s="1233"/>
      <c r="AG89" s="1233"/>
      <c r="AH89" s="1233"/>
      <c r="AI89" s="1233"/>
      <c r="AJ89" s="1233"/>
      <c r="AK89" s="1233"/>
      <c r="AL89" s="1233"/>
      <c r="AM89" s="1233"/>
      <c r="AN89" s="1233"/>
      <c r="AO89" s="1233"/>
      <c r="AP89" s="1233"/>
      <c r="AQ89" s="1233"/>
      <c r="AR89" s="1233"/>
      <c r="AS89" s="1233"/>
      <c r="AT89" s="1233"/>
      <c r="AU89" s="1233"/>
      <c r="AV89" s="1233"/>
      <c r="AW89" s="1227"/>
      <c r="AX89" s="1227"/>
      <c r="AY89" s="1227"/>
      <c r="AZ89" s="1227"/>
      <c r="BA89" s="1227"/>
      <c r="BB89" s="1227"/>
      <c r="BC89" s="1227"/>
      <c r="BD89" s="1227"/>
      <c r="BE89" s="1227"/>
      <c r="BF89" s="1227"/>
      <c r="BG89" s="1227"/>
      <c r="BH89" s="1227"/>
      <c r="BI89" s="1227"/>
    </row>
    <row r="90" spans="4:61">
      <c r="D90" s="260" t="str">
        <f>+Questions!$A42</f>
        <v>4.2</v>
      </c>
      <c r="I90" s="224"/>
      <c r="J90" s="142"/>
      <c r="K90" s="142"/>
      <c r="T90" s="211"/>
      <c r="U90" s="1233"/>
      <c r="V90" s="1233"/>
      <c r="W90" s="1233"/>
      <c r="X90" s="1233"/>
      <c r="Y90" s="1233"/>
      <c r="Z90" s="1233"/>
      <c r="AA90" s="1233"/>
      <c r="AB90" s="1233"/>
      <c r="AC90" s="1233"/>
      <c r="AD90" s="1233"/>
      <c r="AE90" s="1233"/>
      <c r="AF90" s="1233"/>
      <c r="AG90" s="1233"/>
      <c r="AH90" s="1233"/>
      <c r="AI90" s="1233"/>
      <c r="AJ90" s="1233"/>
      <c r="AK90" s="1233"/>
      <c r="AL90" s="1233"/>
      <c r="AM90" s="1233"/>
      <c r="AN90" s="1233"/>
      <c r="AO90" s="1233"/>
      <c r="AP90" s="1233"/>
      <c r="AQ90" s="1233"/>
      <c r="AR90" s="1233"/>
      <c r="AS90" s="1233"/>
      <c r="AT90" s="1233"/>
      <c r="AU90" s="1233"/>
      <c r="AV90" s="1233"/>
      <c r="AW90" s="1227"/>
      <c r="AX90" s="1227"/>
      <c r="AY90" s="1227"/>
      <c r="AZ90" s="1227"/>
      <c r="BA90" s="1227"/>
      <c r="BB90" s="1227"/>
      <c r="BC90" s="1227"/>
      <c r="BD90" s="1227"/>
      <c r="BE90" s="1227"/>
      <c r="BF90" s="1227"/>
      <c r="BG90" s="1227"/>
      <c r="BH90" s="1227"/>
      <c r="BI90" s="1227"/>
    </row>
    <row r="91" spans="4:61">
      <c r="D91" s="260" t="str">
        <f>+Questions!$A45</f>
        <v>4.3</v>
      </c>
      <c r="I91" s="224"/>
      <c r="J91" s="142"/>
      <c r="K91" s="142"/>
      <c r="T91" s="211"/>
      <c r="U91" s="1233"/>
      <c r="V91" s="1233"/>
      <c r="W91" s="1233"/>
      <c r="X91" s="1233"/>
      <c r="Y91" s="1233"/>
      <c r="Z91" s="1233"/>
      <c r="AA91" s="1233"/>
      <c r="AB91" s="1233"/>
      <c r="AC91" s="1233"/>
      <c r="AD91" s="1233"/>
      <c r="AE91" s="1233"/>
      <c r="AF91" s="1233"/>
      <c r="AG91" s="1233"/>
      <c r="AH91" s="1233"/>
      <c r="AI91" s="1233"/>
      <c r="AJ91" s="1233"/>
      <c r="AK91" s="1233"/>
      <c r="AL91" s="1233"/>
      <c r="AM91" s="1233"/>
      <c r="AN91" s="1233"/>
      <c r="AO91" s="1233"/>
      <c r="AP91" s="1233"/>
      <c r="AQ91" s="1233"/>
      <c r="AR91" s="1233"/>
      <c r="AS91" s="1233"/>
      <c r="AT91" s="1233"/>
      <c r="AU91" s="1233"/>
      <c r="AV91" s="1233"/>
      <c r="AW91" s="1227"/>
      <c r="AX91" s="1227"/>
      <c r="AY91" s="1227"/>
      <c r="AZ91" s="1227"/>
      <c r="BA91" s="1227"/>
      <c r="BB91" s="1227"/>
      <c r="BC91" s="1227"/>
      <c r="BD91" s="1227"/>
      <c r="BE91" s="1227"/>
      <c r="BF91" s="1227"/>
      <c r="BG91" s="1227"/>
      <c r="BH91" s="1227"/>
      <c r="BI91" s="1227"/>
    </row>
    <row r="92" spans="4:61">
      <c r="D92" s="260" t="str">
        <f>+Questions!$A48</f>
        <v>4.4</v>
      </c>
      <c r="E92" s="23" t="str">
        <f>IF(COUNT(J92:K92)&gt;0,MIN(J92:K92),"n.b")</f>
        <v>n.b</v>
      </c>
      <c r="I92" s="224"/>
      <c r="J92" s="142" t="e">
        <f>G22</f>
        <v>#REF!</v>
      </c>
      <c r="K92" s="142" t="e">
        <f>T22</f>
        <v>#REF!</v>
      </c>
      <c r="T92" s="211"/>
      <c r="U92" s="1233"/>
      <c r="V92" s="1233"/>
      <c r="W92" s="1233"/>
      <c r="X92" s="1233"/>
      <c r="Y92" s="1233"/>
      <c r="Z92" s="1233"/>
      <c r="AA92" s="1233"/>
      <c r="AB92" s="1233"/>
      <c r="AC92" s="1233"/>
      <c r="AD92" s="1233"/>
      <c r="AE92" s="1233"/>
      <c r="AF92" s="1233"/>
      <c r="AG92" s="1233"/>
      <c r="AH92" s="1233"/>
      <c r="AI92" s="1233"/>
      <c r="AJ92" s="1233"/>
      <c r="AK92" s="1233"/>
      <c r="AL92" s="1233"/>
      <c r="AM92" s="1233"/>
      <c r="AN92" s="1233"/>
      <c r="AO92" s="1233"/>
      <c r="AP92" s="1233"/>
      <c r="AQ92" s="1233"/>
      <c r="AR92" s="1233"/>
      <c r="AS92" s="1233"/>
      <c r="AT92" s="1233"/>
      <c r="AU92" s="1233"/>
      <c r="AV92" s="1233"/>
      <c r="AW92" s="1227"/>
      <c r="AX92" s="1227"/>
      <c r="AY92" s="1227"/>
      <c r="AZ92" s="1227"/>
      <c r="BA92" s="1227"/>
      <c r="BB92" s="1227"/>
      <c r="BC92" s="1227"/>
      <c r="BD92" s="1227"/>
      <c r="BE92" s="1227"/>
      <c r="BF92" s="1227"/>
      <c r="BG92" s="1227"/>
      <c r="BH92" s="1227"/>
      <c r="BI92" s="1227"/>
    </row>
    <row r="93" spans="4:61">
      <c r="D93" s="260" t="str">
        <f>+Questions!$A51</f>
        <v>4.5</v>
      </c>
      <c r="I93" s="224"/>
      <c r="J93" s="142"/>
      <c r="K93" s="142"/>
      <c r="T93" s="211"/>
      <c r="U93" s="1233"/>
      <c r="V93" s="1233"/>
      <c r="W93" s="1233"/>
      <c r="X93" s="1233"/>
      <c r="Y93" s="1233"/>
      <c r="Z93" s="1233"/>
      <c r="AA93" s="1233"/>
      <c r="AB93" s="1233"/>
      <c r="AC93" s="1233"/>
      <c r="AD93" s="1233"/>
      <c r="AE93" s="1233"/>
      <c r="AF93" s="1233"/>
      <c r="AG93" s="1233"/>
      <c r="AH93" s="1233"/>
      <c r="AI93" s="1233"/>
      <c r="AJ93" s="1233"/>
      <c r="AK93" s="1233"/>
      <c r="AL93" s="1233"/>
      <c r="AM93" s="1233"/>
      <c r="AN93" s="1233"/>
      <c r="AO93" s="1233"/>
      <c r="AP93" s="1233"/>
      <c r="AQ93" s="1233"/>
      <c r="AR93" s="1233"/>
      <c r="AS93" s="1233"/>
      <c r="AT93" s="1233"/>
      <c r="AU93" s="1233"/>
      <c r="AV93" s="1233"/>
      <c r="AW93" s="1227"/>
      <c r="AX93" s="1227"/>
      <c r="AY93" s="1227"/>
      <c r="AZ93" s="1227"/>
      <c r="BA93" s="1227"/>
      <c r="BB93" s="1227"/>
      <c r="BC93" s="1227"/>
      <c r="BD93" s="1227"/>
      <c r="BE93" s="1227"/>
      <c r="BF93" s="1227"/>
      <c r="BG93" s="1227"/>
      <c r="BH93" s="1227"/>
      <c r="BI93" s="1227"/>
    </row>
    <row r="94" spans="4:61">
      <c r="D94" s="260" t="str">
        <f>+Questions!$A54</f>
        <v>4.6</v>
      </c>
      <c r="I94" s="224"/>
      <c r="J94" s="142"/>
      <c r="K94" s="142"/>
      <c r="T94" s="211"/>
      <c r="U94" s="1233"/>
      <c r="V94" s="1233"/>
      <c r="W94" s="1233"/>
      <c r="X94" s="1233"/>
      <c r="Y94" s="1233"/>
      <c r="Z94" s="1233"/>
      <c r="AA94" s="1233"/>
      <c r="AB94" s="1233"/>
      <c r="AC94" s="1233"/>
      <c r="AD94" s="1233"/>
      <c r="AE94" s="1233"/>
      <c r="AF94" s="1233"/>
      <c r="AG94" s="1233"/>
      <c r="AH94" s="1233"/>
      <c r="AI94" s="1233"/>
      <c r="AJ94" s="1233"/>
      <c r="AK94" s="1233"/>
      <c r="AL94" s="1233"/>
      <c r="AM94" s="1233"/>
      <c r="AN94" s="1233"/>
      <c r="AO94" s="1233"/>
      <c r="AP94" s="1233"/>
      <c r="AQ94" s="1233"/>
      <c r="AR94" s="1233"/>
      <c r="AS94" s="1233"/>
      <c r="AT94" s="1233"/>
      <c r="AU94" s="1233"/>
      <c r="AV94" s="1233"/>
      <c r="AW94" s="1227"/>
      <c r="AX94" s="1227"/>
      <c r="AY94" s="1227"/>
      <c r="AZ94" s="1227"/>
      <c r="BA94" s="1227"/>
      <c r="BB94" s="1227"/>
      <c r="BC94" s="1227"/>
      <c r="BD94" s="1227"/>
      <c r="BE94" s="1227"/>
      <c r="BF94" s="1227"/>
      <c r="BG94" s="1227"/>
      <c r="BH94" s="1227"/>
      <c r="BI94" s="1227"/>
    </row>
    <row r="95" spans="4:61" ht="15">
      <c r="D95" s="331" t="str">
        <f>+Questions!$A56</f>
        <v>4.7</v>
      </c>
      <c r="I95" s="224"/>
      <c r="J95" s="142"/>
      <c r="K95" s="142"/>
      <c r="T95" s="211"/>
      <c r="U95" s="568"/>
      <c r="V95" s="568"/>
      <c r="W95" s="568"/>
      <c r="X95" s="568"/>
      <c r="Y95" s="568"/>
      <c r="Z95" s="568"/>
      <c r="AA95" s="568"/>
      <c r="AB95" s="568"/>
      <c r="AC95" s="568"/>
      <c r="AD95" s="568"/>
      <c r="AE95" s="568"/>
      <c r="AF95" s="568"/>
      <c r="AG95" s="568"/>
      <c r="AH95" s="568"/>
      <c r="AI95" s="568"/>
      <c r="AJ95" s="568"/>
      <c r="AK95" s="568"/>
      <c r="AL95" s="568"/>
      <c r="AM95" s="568"/>
      <c r="AN95" s="568"/>
      <c r="AO95" s="568"/>
      <c r="AP95" s="568"/>
      <c r="AQ95" s="568"/>
      <c r="AR95" s="568"/>
      <c r="AS95" s="568"/>
      <c r="AT95" s="568"/>
      <c r="AU95" s="568"/>
      <c r="AV95" s="568"/>
      <c r="AW95" s="803"/>
      <c r="AX95" s="803"/>
      <c r="AY95" s="803"/>
      <c r="AZ95" s="803"/>
      <c r="BA95" s="803"/>
      <c r="BB95" s="803"/>
      <c r="BC95" s="803"/>
      <c r="BD95" s="803"/>
      <c r="BE95" s="803"/>
      <c r="BF95" s="803"/>
      <c r="BG95" s="803"/>
      <c r="BH95" s="803"/>
      <c r="BI95" s="803"/>
    </row>
    <row r="96" spans="4:61" ht="15">
      <c r="D96" s="260" t="str">
        <f>+Questions!$A58</f>
        <v>4.8</v>
      </c>
      <c r="E96" s="23" t="str">
        <f>IF(COUNT(J96:K96)&gt;0,MIN(J96:K96),"n.b")</f>
        <v>n.b</v>
      </c>
      <c r="I96" s="224"/>
      <c r="J96" s="142" t="e">
        <f>K22</f>
        <v>#REF!</v>
      </c>
      <c r="K96" s="142" t="e">
        <f>X22</f>
        <v>#REF!</v>
      </c>
      <c r="T96" s="211"/>
      <c r="U96" s="1233"/>
      <c r="V96" s="1233"/>
      <c r="W96" s="1233"/>
      <c r="X96" s="1233"/>
      <c r="Y96" s="1233"/>
      <c r="Z96" s="1233"/>
      <c r="AA96" s="1233"/>
      <c r="AB96" s="1233"/>
      <c r="AC96" s="1233"/>
      <c r="AD96" s="1233"/>
      <c r="AE96" s="1233"/>
      <c r="AF96" s="1233"/>
      <c r="AG96" s="1233"/>
      <c r="AH96" s="1233"/>
      <c r="AI96" s="1233"/>
      <c r="AJ96" s="1233"/>
      <c r="AK96" s="1233"/>
      <c r="AL96" s="1233"/>
      <c r="AM96" s="1233"/>
      <c r="AN96" s="1233"/>
      <c r="AO96" s="1233"/>
      <c r="AP96" s="1233"/>
      <c r="AQ96" s="1233"/>
      <c r="AR96" s="1233"/>
      <c r="AS96" s="1233"/>
      <c r="AT96" s="1233"/>
      <c r="AU96" s="1233"/>
      <c r="AV96" s="1233"/>
      <c r="AW96" s="1227"/>
      <c r="AX96" s="1227"/>
      <c r="AY96" s="1227"/>
      <c r="AZ96" s="1227"/>
      <c r="BA96" s="1227"/>
      <c r="BB96" s="1227"/>
      <c r="BC96" s="1227"/>
      <c r="BD96" s="1227"/>
      <c r="BE96" s="1227"/>
      <c r="BF96" s="1227"/>
      <c r="BG96" s="1227"/>
      <c r="BH96" s="1227"/>
      <c r="BI96" s="1227"/>
    </row>
    <row r="97" spans="4:20" ht="15">
      <c r="D97" s="261" t="str">
        <f>+Questions!$A61</f>
        <v>P5</v>
      </c>
      <c r="G97" s="23" t="s">
        <v>140</v>
      </c>
      <c r="H97" s="23" t="str">
        <f>+IF(COUNT(E89:E96)=0,"n.b.",+IF(MIN(E89:E96)=0,"C",+IF(MIN(E89:E96)=4,"B","A")))</f>
        <v>n.b.</v>
      </c>
      <c r="I97" s="224" t="e">
        <f>+A22</f>
        <v>#REF!</v>
      </c>
    </row>
    <row r="98" spans="4:20">
      <c r="D98" s="260" t="str">
        <f>+Questions!$A62</f>
        <v>5.1</v>
      </c>
      <c r="I98" s="224"/>
    </row>
    <row r="99" spans="4:20">
      <c r="D99" s="260" t="str">
        <f>+Questions!$A63</f>
        <v>5.2</v>
      </c>
      <c r="I99" s="224"/>
    </row>
    <row r="100" spans="4:20">
      <c r="D100" s="260" t="str">
        <f>+Questions!$A64</f>
        <v>5.3</v>
      </c>
      <c r="I100" s="224"/>
    </row>
    <row r="101" spans="4:20">
      <c r="D101" s="260" t="str">
        <f>+Questions!$A65</f>
        <v>5.4</v>
      </c>
      <c r="E101" s="23" t="e">
        <f>O29</f>
        <v>#REF!</v>
      </c>
      <c r="I101" s="224"/>
    </row>
    <row r="102" spans="4:20">
      <c r="D102" s="260" t="str">
        <f>+Questions!$A66</f>
        <v>5.5</v>
      </c>
      <c r="E102" s="23" t="e">
        <f>P29</f>
        <v>#REF!</v>
      </c>
      <c r="I102" s="224"/>
    </row>
    <row r="103" spans="4:20">
      <c r="D103" s="260" t="str">
        <f>+Questions!$A67</f>
        <v>5.6</v>
      </c>
      <c r="I103" s="224"/>
    </row>
    <row r="104" spans="4:20">
      <c r="D104" s="260" t="str">
        <f>+Questions!$A68</f>
        <v>5.7</v>
      </c>
      <c r="G104" s="23" t="s">
        <v>141</v>
      </c>
      <c r="H104" s="23" t="str">
        <f>+IF(COUNT(E98:E104)=0,"n.b.",+IF(MIN(E98:E104)=0,"C",+IF(MIN(E98:E104)=4,"B","A")))</f>
        <v>n.b.</v>
      </c>
      <c r="I104" s="224" t="e">
        <f>+A29</f>
        <v>#REF!</v>
      </c>
    </row>
    <row r="105" spans="4:20" ht="15">
      <c r="D105" s="261" t="str">
        <f>+Questions!$A69</f>
        <v>P6</v>
      </c>
      <c r="E105" s="23" t="s">
        <v>227</v>
      </c>
      <c r="I105" s="224"/>
      <c r="J105" s="23">
        <f>'Input Form'!D53</f>
        <v>0</v>
      </c>
      <c r="K105" s="23">
        <f>'Input Form'!D54</f>
        <v>0</v>
      </c>
      <c r="L105" s="23">
        <f>'Input Form'!D55</f>
        <v>0</v>
      </c>
      <c r="T105" s="23" t="s">
        <v>503</v>
      </c>
    </row>
    <row r="106" spans="4:20">
      <c r="D106" s="260" t="str">
        <f>+Questions!$A70</f>
        <v>6.1</v>
      </c>
      <c r="E106" s="23" t="s">
        <v>227</v>
      </c>
      <c r="I106" s="224"/>
      <c r="J106" s="23" t="s">
        <v>279</v>
      </c>
      <c r="K106" s="23" t="s">
        <v>280</v>
      </c>
      <c r="L106" s="23" t="s">
        <v>281</v>
      </c>
    </row>
    <row r="107" spans="4:20">
      <c r="D107" s="260" t="str">
        <f>+Questions!$A71</f>
        <v>6.1.1</v>
      </c>
      <c r="E107" s="23" t="s">
        <v>332</v>
      </c>
      <c r="I107" s="224"/>
    </row>
    <row r="108" spans="4:20">
      <c r="D108" s="260" t="str">
        <f>+Questions!$A82</f>
        <v>6.1.2</v>
      </c>
      <c r="E108" s="23" t="str">
        <f>+IF(Questions!B82&lt;&gt;"x","kein *",+IF(ISERROR(AVERAGE(Questions!D83:D85)),"n.b.",+MIN(Questions!D83:D85)))</f>
        <v>kein *</v>
      </c>
      <c r="I108" s="224"/>
    </row>
    <row r="109" spans="4:20">
      <c r="D109" s="260" t="str">
        <f>+Questions!$A93</f>
        <v>6.1.3</v>
      </c>
      <c r="E109" s="23" t="str">
        <f>+IF(Questions!B93&lt;&gt;"x","kein *",+IF(ISERROR(AVERAGE(Questions!D94:D98)),"n.b.",+MIN(Questions!D94:D98)))</f>
        <v>kein *</v>
      </c>
      <c r="I109" s="224"/>
    </row>
    <row r="110" spans="4:20">
      <c r="D110" s="260" t="str">
        <f>+Questions!$A104</f>
        <v>6.1.4</v>
      </c>
      <c r="E110" s="23" t="str">
        <f>+IF(Questions!B104&lt;&gt;"x","kein *",+IF(ISERROR(AVERAGE(Questions!D105:D107)),"n.b.",+MIN(Questions!D105:D107)))</f>
        <v>kein *</v>
      </c>
      <c r="I110" s="224"/>
    </row>
    <row r="111" spans="4:20">
      <c r="D111" s="260" t="str">
        <f>+Questions!$A115</f>
        <v>6.1.5</v>
      </c>
      <c r="E111" s="23" t="str">
        <f>IF(COUNT(J111:S111)&gt;0,MIN(J111:S111),"n.b")</f>
        <v>n.b</v>
      </c>
      <c r="I111" s="224"/>
      <c r="J111" s="23" t="str">
        <f>IF(OR(J$105=0,ISBLANK(Questions!$D$116)),"--",Questions!$D$116)</f>
        <v>--</v>
      </c>
      <c r="K111" s="23" t="str">
        <f>IF(OR(K$105=0,ISBLANK(Questions!$D$117)),"--",Questions!$D$117)</f>
        <v>--</v>
      </c>
      <c r="L111" s="23" t="str">
        <f>IF(OR(L$105=0,ISBLANK(Questions!$D$118)),"--",Questions!$D$118)</f>
        <v>--</v>
      </c>
    </row>
    <row r="112" spans="4:20">
      <c r="D112" s="260" t="str">
        <f>+Questions!$A126</f>
        <v>6.2</v>
      </c>
      <c r="E112" s="23" t="s">
        <v>227</v>
      </c>
      <c r="I112" s="224"/>
    </row>
    <row r="113" spans="4:12">
      <c r="D113" s="260" t="str">
        <f>+Questions!$A127</f>
        <v>6.2.1</v>
      </c>
      <c r="E113" s="23" t="s">
        <v>332</v>
      </c>
      <c r="I113" s="224"/>
    </row>
    <row r="114" spans="4:12">
      <c r="D114" s="260" t="str">
        <f>+Questions!$A138</f>
        <v>6.2.2</v>
      </c>
      <c r="E114" s="23" t="s">
        <v>332</v>
      </c>
      <c r="I114" s="224"/>
    </row>
    <row r="115" spans="4:12">
      <c r="D115" s="260" t="str">
        <f>+Questions!$A149</f>
        <v>6.2.3</v>
      </c>
      <c r="E115" s="23" t="str">
        <f>IF(COUNT(J115:S115)&gt;0,MIN(J115:S115),"n.b")</f>
        <v>n.b</v>
      </c>
      <c r="I115" s="224"/>
      <c r="J115" s="23" t="str">
        <f>IF(OR(J$105=0,ISBLANK(Questions!$D$150)),"--",Questions!$D$150)</f>
        <v>--</v>
      </c>
      <c r="K115" s="23" t="str">
        <f>IF(OR(K$105=0,ISBLANK(Questions!$D$151)),"--",Questions!$D$151)</f>
        <v>--</v>
      </c>
      <c r="L115" s="23" t="str">
        <f>IF(OR(L$105=0,ISBLANK(Questions!$D$152)),"--",Questions!$D$152)</f>
        <v>--</v>
      </c>
    </row>
    <row r="116" spans="4:12">
      <c r="D116" s="260" t="str">
        <f>+Questions!$A160</f>
        <v>6.2.4</v>
      </c>
      <c r="E116" s="23" t="str">
        <f>IF(COUNT(J116:S116)&gt;0,MIN(J116:S116),"n.b")</f>
        <v>n.b</v>
      </c>
      <c r="I116" s="224"/>
      <c r="J116" s="23" t="str">
        <f>IF(OR(J$105=0,ISBLANK(Questions!$D$161)),"--",Questions!$D$161)</f>
        <v>--</v>
      </c>
      <c r="K116" s="23" t="str">
        <f>IF(OR(K$105=0,ISBLANK(Questions!$D$162)),"--",Questions!$D$162)</f>
        <v>--</v>
      </c>
      <c r="L116" s="23" t="str">
        <f>IF(OR(L$105=0,ISBLANK(Questions!$D$163)),"--",Questions!$D$163)</f>
        <v>--</v>
      </c>
    </row>
    <row r="117" spans="4:12">
      <c r="D117" s="260" t="str">
        <f>+Questions!$A171</f>
        <v>6.2.5</v>
      </c>
      <c r="E117" s="23" t="str">
        <f>+IF(Questions!B171&lt;&gt;"x","kein *",+IF(ISERROR(AVERAGE(Questions!D172:D174)),"n.b.",+MIN(Questions!D172:D174)))</f>
        <v>kein *</v>
      </c>
      <c r="I117" s="224"/>
    </row>
    <row r="118" spans="4:12">
      <c r="D118" s="260" t="str">
        <f>+Questions!$A180</f>
        <v>6.3</v>
      </c>
      <c r="E118" s="23" t="s">
        <v>227</v>
      </c>
      <c r="I118" s="224"/>
    </row>
    <row r="119" spans="4:12">
      <c r="D119" s="260" t="str">
        <f>+Questions!$A181</f>
        <v>6.3.1</v>
      </c>
      <c r="E119" s="23" t="str">
        <f>IF(COUNT(J119:S119)&gt;0,MIN(J119:S119),"n.b")</f>
        <v>n.b</v>
      </c>
      <c r="I119" s="224"/>
      <c r="J119" s="23" t="str">
        <f>IF(OR(J$105=0,ISBLANK(Questions!$D$182)),"--",Questions!$D$182)</f>
        <v>--</v>
      </c>
      <c r="K119" s="23" t="str">
        <f>IF(OR(K$105=0,ISBLANK(Questions!$D$183)),"--",Questions!$D$183)</f>
        <v>--</v>
      </c>
      <c r="L119" s="23" t="str">
        <f>IF(OR(L$105=0,ISBLANK(Questions!$D$184)),"--",Questions!$D$184)</f>
        <v>--</v>
      </c>
    </row>
    <row r="120" spans="4:12">
      <c r="D120" s="260" t="str">
        <f>+Questions!$A192</f>
        <v>6.3.2</v>
      </c>
      <c r="E120" s="23" t="s">
        <v>332</v>
      </c>
      <c r="I120" s="224"/>
    </row>
    <row r="121" spans="4:12">
      <c r="D121" s="260" t="str">
        <f>+Questions!$A203</f>
        <v>6.3.3</v>
      </c>
      <c r="E121" s="23" t="str">
        <f>+IF(Questions!B203&lt;&gt;"x","kein *",+IF(ISERROR(AVERAGE(Questions!D204:D206)),"n.b.",+MIN(Questions!D204:D206)))</f>
        <v>kein *</v>
      </c>
      <c r="I121" s="224"/>
    </row>
    <row r="122" spans="4:12">
      <c r="D122" s="260" t="str">
        <f>+Questions!$A214</f>
        <v>6.4</v>
      </c>
      <c r="E122" s="23" t="s">
        <v>227</v>
      </c>
      <c r="I122" s="224"/>
    </row>
    <row r="123" spans="4:12">
      <c r="D123" s="260" t="str">
        <f>+Questions!$A215</f>
        <v>6.4.1</v>
      </c>
      <c r="E123" s="23" t="str">
        <f>IF(COUNT(J123:S123)&gt;0,MIN(J123:S123),"n.b")</f>
        <v>n.b</v>
      </c>
      <c r="I123" s="224"/>
      <c r="J123" s="23" t="str">
        <f>IF(OR(J$105=0,ISBLANK(Questions!$D$216)),"--",Questions!$D$216)</f>
        <v>--</v>
      </c>
      <c r="K123" s="23" t="str">
        <f>IF(OR(K$105=0,ISBLANK(Questions!$D$217)),"--",Questions!$D$217)</f>
        <v>--</v>
      </c>
      <c r="L123" s="23" t="str">
        <f>IF(OR(L$105=0,ISBLANK(Questions!$D$218)),"--",Questions!$D$218)</f>
        <v>--</v>
      </c>
    </row>
    <row r="124" spans="4:12">
      <c r="D124" s="260" t="str">
        <f>+Questions!$A226</f>
        <v>6.4.2</v>
      </c>
      <c r="E124" s="23" t="s">
        <v>332</v>
      </c>
      <c r="I124" s="224"/>
    </row>
    <row r="125" spans="4:12">
      <c r="D125" s="260" t="str">
        <f>+Questions!$A237</f>
        <v>6.4.3</v>
      </c>
      <c r="E125" s="23" t="str">
        <f>IF(COUNT(J125:S125)&gt;0,MIN(J125:S125),"n.b")</f>
        <v>n.b</v>
      </c>
      <c r="I125" s="224"/>
      <c r="J125" s="23" t="str">
        <f>IF(OR(J$105=0,ISBLANK(Questions!$D$238)),"--",Questions!$D$238)</f>
        <v>--</v>
      </c>
      <c r="K125" s="23" t="str">
        <f>IF(OR(K$105=0,ISBLANK(Questions!$D$239)),"--",Questions!$D$239)</f>
        <v>--</v>
      </c>
      <c r="L125" s="23" t="str">
        <f>IF(OR(L$105=0,ISBLANK(Questions!$D$240)),"--",Questions!$D$240)</f>
        <v>--</v>
      </c>
    </row>
    <row r="126" spans="4:12">
      <c r="D126" s="260" t="str">
        <f>+Questions!$A248</f>
        <v>6.4.4</v>
      </c>
      <c r="E126" s="23" t="str">
        <f>+IF(Questions!B248&lt;&gt;"x","kein *",+IF(ISERROR(AVERAGE(Questions!D249:D251)),"n.b.",+MIN(Questions!D249:D251)))</f>
        <v>kein *</v>
      </c>
      <c r="I126" s="224"/>
    </row>
    <row r="127" spans="4:12">
      <c r="D127" s="331" t="str">
        <f>Questions!A259</f>
        <v>6.4.5</v>
      </c>
      <c r="E127" s="23" t="s">
        <v>332</v>
      </c>
      <c r="I127" s="224"/>
    </row>
    <row r="128" spans="4:12">
      <c r="D128" s="260" t="str">
        <f>+Questions!$A270</f>
        <v>6.5</v>
      </c>
      <c r="E128" s="23" t="s">
        <v>227</v>
      </c>
      <c r="I128" s="224"/>
    </row>
    <row r="129" spans="4:12">
      <c r="D129" s="260" t="str">
        <f>+Questions!$A271</f>
        <v>6.5.1</v>
      </c>
      <c r="E129" s="23" t="str">
        <f>+IF(Questions!B271&lt;&gt;"x","kein *",+IF(ISERROR(AVERAGE(Questions!D272:D274)),"n.b.",+MIN(Questions!D272:D274)))</f>
        <v>kein *</v>
      </c>
      <c r="I129" s="224"/>
    </row>
    <row r="130" spans="4:12">
      <c r="D130" s="260" t="str">
        <f>+Questions!$A282</f>
        <v>6.5.2</v>
      </c>
      <c r="E130" s="23" t="str">
        <f>+IF(Questions!B282&lt;&gt;"x","kein *",+IF(ISERROR(AVERAGE(Questions!D283:D285)),"n.b.",+MIN(Questions!D283:D285)))</f>
        <v>kein *</v>
      </c>
      <c r="I130" s="224"/>
    </row>
    <row r="131" spans="4:12">
      <c r="D131" s="260" t="str">
        <f>+Questions!$A293</f>
        <v>6.5.3</v>
      </c>
      <c r="E131" s="23">
        <f>IF(COUNT(J131:S131)&gt;0,MIN(J131:S131),"n.b")</f>
        <v>6</v>
      </c>
      <c r="I131" s="224"/>
      <c r="J131" s="23">
        <f>IF(Questions!$B293&lt;&gt;"x","kein *",IF(ISBLANK(Questions!D294),"--",Questions!D294))</f>
        <v>10</v>
      </c>
      <c r="K131" s="23">
        <f>IF(Questions!$B293&lt;&gt;"x","kein *",IF(ISBLANK(Questions!D295),"--",Questions!D295))</f>
        <v>6</v>
      </c>
      <c r="L131" s="23">
        <f>IF(Questions!$B293&lt;&gt;"x","kein *",IF(ISBLANK(Questions!D296),"--",Questions!D296))</f>
        <v>10</v>
      </c>
    </row>
    <row r="132" spans="4:12">
      <c r="D132" s="260" t="str">
        <f>+Questions!$A304</f>
        <v>6.5.4</v>
      </c>
      <c r="E132" s="23" t="s">
        <v>332</v>
      </c>
      <c r="I132" s="224"/>
    </row>
    <row r="133" spans="4:12">
      <c r="D133" s="260" t="str">
        <f>+Questions!$A315</f>
        <v>6.6</v>
      </c>
      <c r="E133" s="23" t="s">
        <v>227</v>
      </c>
      <c r="I133" s="224"/>
    </row>
    <row r="134" spans="4:12">
      <c r="D134" s="260" t="str">
        <f>+Questions!$A316</f>
        <v>6.6.1</v>
      </c>
      <c r="E134" s="23" t="s">
        <v>332</v>
      </c>
      <c r="I134" s="224"/>
    </row>
    <row r="135" spans="4:12">
      <c r="D135" s="260" t="str">
        <f>+Questions!$A327</f>
        <v>6.6.2</v>
      </c>
      <c r="E135" s="23" t="str">
        <f>+IF(Questions!B327&lt;&gt;"x","kein *",+IF(ISERROR(AVERAGE(Questions!D328:D330)),"n.b.",+MIN(Questions!D328:D330)))</f>
        <v>kein *</v>
      </c>
      <c r="I135" s="224"/>
    </row>
    <row r="136" spans="4:12">
      <c r="D136" s="260" t="str">
        <f>+Questions!$A338</f>
        <v>6.6.3</v>
      </c>
      <c r="E136" s="23" t="str">
        <f>+IF(Questions!B338&lt;&gt;"x","kein *",+IF(ISERROR(AVERAGE(Questions!D339:D341)),"n.b.",+MIN(Questions!D339:D341)))</f>
        <v>kein *</v>
      </c>
      <c r="I136" s="224"/>
    </row>
    <row r="137" spans="4:12">
      <c r="D137" s="260" t="str">
        <f>+Questions!$A349</f>
        <v>6.6.4</v>
      </c>
      <c r="E137" s="23" t="str">
        <f>IF(COUNT(J137:S137)&gt;0,MIN(J137:S137),"n.b")</f>
        <v>n.b</v>
      </c>
      <c r="I137" s="224"/>
      <c r="J137" s="23" t="str">
        <f>IF(OR(J$105=0,ISBLANK(Questions!$D$350)),"--",Questions!$D$350)</f>
        <v>--</v>
      </c>
      <c r="K137" s="23" t="str">
        <f>IF(OR(K$105=0,ISBLANK(Questions!$D$351)),"--",Questions!$D$351)</f>
        <v>--</v>
      </c>
      <c r="L137" s="23" t="str">
        <f>IF(OR(L$105=0,ISBLANK(Questions!$D$352)),"--",Questions!$D$352)</f>
        <v>--</v>
      </c>
    </row>
    <row r="138" spans="4:12" ht="15">
      <c r="D138" s="261" t="str">
        <f>+Questions!$A360</f>
        <v>P7</v>
      </c>
      <c r="E138" s="23" t="s">
        <v>227</v>
      </c>
      <c r="G138" s="23" t="s">
        <v>142</v>
      </c>
      <c r="H138" s="222" t="str">
        <f>IF(COUNT(E106:E137)=0,"n.b.",IF(MIN(E106:E137)=0,"C",IF(MIN(E106:E137)=4,"B","A")))</f>
        <v>A</v>
      </c>
      <c r="I138" s="239" t="str">
        <f>+A42</f>
        <v>A</v>
      </c>
      <c r="J138" s="222" t="str">
        <f>+IF(COUNTIFS(Questions!$A$72:$A$352,J106,Questions!$D$72:$D$352,"n.b.")=26,"n.b.",+IF(MIN(J107:J137)=0,"C",+IF(MIN(J107:J137)=4,"B","A")))</f>
        <v>A</v>
      </c>
      <c r="K138" s="222" t="str">
        <f>+IF(COUNTIFS(Questions!$A$72:$A$352,K106,Questions!$D$72:$D$352,"n.b.")=26,"n.b.",+IF(MIN(K107:K137)=0,"C",+IF(MIN(K107:K137)=4,"B","A")))</f>
        <v>A</v>
      </c>
      <c r="L138" s="222" t="str">
        <f>+IF(COUNTIFS(Questions!$A$72:$A$352,L106,Questions!$D$72:$D$352,"n.b.")=26,"n.b.",+IF(MIN(L107:L137)=0,"C",+IF(MIN(L107:L137)=4,"B","A")))</f>
        <v>A</v>
      </c>
    </row>
    <row r="139" spans="4:12">
      <c r="D139" s="260" t="str">
        <f>+Questions!$A361</f>
        <v>7.1</v>
      </c>
      <c r="I139" s="224"/>
      <c r="J139" s="23">
        <v>1</v>
      </c>
      <c r="K139" s="23">
        <v>2</v>
      </c>
      <c r="L139" s="23">
        <v>3</v>
      </c>
    </row>
    <row r="140" spans="4:12">
      <c r="D140" s="260" t="str">
        <f>+Questions!$A362</f>
        <v>7.2</v>
      </c>
      <c r="I140" s="224"/>
    </row>
    <row r="141" spans="4:12">
      <c r="D141" s="260" t="str">
        <f>+Questions!$A363</f>
        <v>7.3</v>
      </c>
      <c r="E141" s="23" t="e">
        <f>W52</f>
        <v>#REF!</v>
      </c>
      <c r="I141" s="224"/>
    </row>
    <row r="142" spans="4:12">
      <c r="D142" s="260" t="str">
        <f>+Questions!$A364</f>
        <v>7.4</v>
      </c>
      <c r="E142" s="23" t="e">
        <f>X52</f>
        <v>#REF!</v>
      </c>
      <c r="I142" s="224"/>
    </row>
    <row r="143" spans="4:12">
      <c r="D143" s="260" t="str">
        <f>+Questions!$A365</f>
        <v>7.5</v>
      </c>
      <c r="I143" s="224"/>
    </row>
    <row r="144" spans="4:12">
      <c r="D144" s="262"/>
      <c r="E144" s="225"/>
      <c r="F144" s="225"/>
      <c r="G144" s="225" t="s">
        <v>143</v>
      </c>
      <c r="H144" s="270" t="str">
        <f>IF(COUNT(E139:E143)=0,"n.b.",+IF(MIN(E139:E143)=0,"C",+IF(MIN(E139:E143)=4,"B","A")))</f>
        <v>n.b.</v>
      </c>
      <c r="I144" s="203" t="e">
        <f>+A52</f>
        <v>#REF!</v>
      </c>
    </row>
    <row r="145" spans="2:31" ht="15" thickBot="1">
      <c r="D145" s="251" t="s">
        <v>212</v>
      </c>
      <c r="E145" s="252">
        <f>+COUNT((E75:E143))</f>
        <v>1</v>
      </c>
      <c r="F145" s="252">
        <f>+COUNTIF(E75:E143,0)</f>
        <v>0</v>
      </c>
      <c r="G145" s="252" t="e">
        <f>+IF(COUNT(E75:E143)=0,"n.b.",+MIN(E75:E143))</f>
        <v>#REF!</v>
      </c>
      <c r="H145" s="252"/>
      <c r="I145" s="253"/>
      <c r="Z145" s="23" t="s">
        <v>237</v>
      </c>
      <c r="AA145" s="23" t="s">
        <v>235</v>
      </c>
      <c r="AB145" s="159" t="e">
        <f>+G48</f>
        <v>#REF!</v>
      </c>
    </row>
    <row r="146" spans="2:31" ht="15" thickBot="1">
      <c r="D146" s="254" t="s">
        <v>213</v>
      </c>
      <c r="E146" s="250" t="str">
        <f>+IF(E145=0,"n.b.",(+IF(F145&gt;=1,"C",(+IF(F146&gt;=1,"B","A")))))</f>
        <v>A</v>
      </c>
      <c r="F146" s="249">
        <f>+COUNTIF(E75:E143,4)</f>
        <v>0</v>
      </c>
      <c r="G146" s="249" t="e">
        <f>+IF(G145="n.b.","n.b.",+IF(G145=0,"C",+IF(G145=4,"B","A")))</f>
        <v>#REF!</v>
      </c>
      <c r="H146" s="249"/>
      <c r="I146" s="255"/>
      <c r="Z146" s="23" t="s">
        <v>238</v>
      </c>
      <c r="AA146" s="23" t="s">
        <v>236</v>
      </c>
      <c r="AB146" s="159" t="e">
        <f>+M48</f>
        <v>#REF!</v>
      </c>
    </row>
    <row r="147" spans="2:31" ht="18">
      <c r="D147" s="192"/>
      <c r="G147" s="231"/>
      <c r="H147" s="211"/>
      <c r="I147" s="211"/>
      <c r="J147" s="232"/>
      <c r="K147" s="230"/>
      <c r="L147" s="219"/>
      <c r="M147" s="263" t="s">
        <v>255</v>
      </c>
      <c r="N147" s="219"/>
      <c r="O147" s="219"/>
      <c r="P147" s="219"/>
      <c r="Q147" s="219"/>
      <c r="R147" s="219"/>
      <c r="S147" s="219"/>
      <c r="T147" s="219"/>
      <c r="U147" s="219"/>
      <c r="V147" s="220"/>
      <c r="Z147" s="23" t="s">
        <v>239</v>
      </c>
      <c r="AA147" s="23" t="s">
        <v>266</v>
      </c>
      <c r="AB147" s="159" t="e">
        <f>+Q48</f>
        <v>#REF!</v>
      </c>
    </row>
    <row r="148" spans="2:31">
      <c r="D148" s="192"/>
      <c r="G148" s="233"/>
      <c r="H148" s="211"/>
      <c r="I148" s="211"/>
      <c r="J148" s="232"/>
      <c r="K148" s="33"/>
      <c r="V148" s="39"/>
      <c r="Z148" s="23" t="s">
        <v>240</v>
      </c>
      <c r="AA148" s="23" t="s">
        <v>268</v>
      </c>
      <c r="AB148" s="159" t="e">
        <f>+W48</f>
        <v>#REF!</v>
      </c>
    </row>
    <row r="149" spans="2:31">
      <c r="D149" s="192"/>
      <c r="G149" s="211"/>
      <c r="H149" s="211"/>
      <c r="I149" s="211"/>
      <c r="J149" s="232"/>
      <c r="K149" s="227" t="e">
        <f>BB62</f>
        <v>#REF!</v>
      </c>
      <c r="L149" s="226" t="e">
        <f>+IF(K149="n.b.","n.b.",+IF(K149&lt;80%,"C",+IF(K149&lt;90%,"B","A")))</f>
        <v>#REF!</v>
      </c>
      <c r="M149" s="264" t="s">
        <v>253</v>
      </c>
      <c r="N149" s="264"/>
      <c r="O149" s="264"/>
      <c r="P149" s="264"/>
      <c r="Q149" s="264"/>
      <c r="R149" s="264"/>
      <c r="S149" s="264"/>
      <c r="T149" s="264"/>
      <c r="U149" s="211"/>
      <c r="V149" s="232"/>
      <c r="Z149" s="23" t="s">
        <v>241</v>
      </c>
      <c r="AA149" s="23" t="s">
        <v>269</v>
      </c>
      <c r="AB149" s="159" t="e">
        <f>+AB48</f>
        <v>#REF!</v>
      </c>
    </row>
    <row r="150" spans="2:31">
      <c r="B150"/>
      <c r="C150"/>
      <c r="D150"/>
      <c r="E150"/>
      <c r="F150"/>
      <c r="G150"/>
      <c r="H150" s="211"/>
      <c r="I150" s="211"/>
      <c r="J150" s="232"/>
      <c r="K150" s="228"/>
      <c r="L150" s="221" t="str">
        <f>+E146</f>
        <v>A</v>
      </c>
      <c r="M150" s="264" t="s">
        <v>254</v>
      </c>
      <c r="N150" s="264"/>
      <c r="O150" s="264"/>
      <c r="P150" s="264"/>
      <c r="Q150" s="264"/>
      <c r="R150" s="264"/>
      <c r="S150" s="264"/>
      <c r="T150" s="264"/>
      <c r="U150" s="211"/>
      <c r="V150" s="232"/>
      <c r="Z150" s="23" t="s">
        <v>242</v>
      </c>
      <c r="AA150" s="23" t="s">
        <v>270</v>
      </c>
      <c r="AB150" s="159" t="e">
        <f>+AG48</f>
        <v>#REF!</v>
      </c>
    </row>
    <row r="151" spans="2:31">
      <c r="B151"/>
      <c r="C151"/>
      <c r="D151"/>
      <c r="E151"/>
      <c r="F151"/>
      <c r="G151"/>
      <c r="H151" s="234"/>
      <c r="I151" s="211"/>
      <c r="J151" s="232"/>
      <c r="K151" s="228"/>
      <c r="L151" s="221" t="str">
        <f>IF(COUNT((A8:A52)=0),"n.b.",+IF(COUNTIF((A8:A52),"C")&gt;=1,"C",+IF(+COUNTIF((A8:A52),"B")&gt;=1,"B","A")))</f>
        <v>A</v>
      </c>
      <c r="M151" s="264" t="s">
        <v>257</v>
      </c>
      <c r="N151" s="264"/>
      <c r="O151" s="264"/>
      <c r="P151" s="264"/>
      <c r="Q151" s="264"/>
      <c r="R151" s="264"/>
      <c r="S151" s="264"/>
      <c r="T151" s="264"/>
      <c r="U151" s="211"/>
      <c r="V151" s="232"/>
      <c r="Z151" s="23" t="s">
        <v>243</v>
      </c>
      <c r="AA151" s="23" t="s">
        <v>271</v>
      </c>
      <c r="AB151" s="159" t="e">
        <f>+BD48</f>
        <v>#REF!</v>
      </c>
    </row>
    <row r="152" spans="2:31">
      <c r="B152"/>
      <c r="C152"/>
      <c r="D152"/>
      <c r="E152"/>
      <c r="F152"/>
      <c r="G152"/>
      <c r="H152" s="211"/>
      <c r="I152" s="211"/>
      <c r="J152" s="232"/>
      <c r="K152" s="228"/>
      <c r="L152" s="221" t="e">
        <f>+AD152</f>
        <v>#REF!</v>
      </c>
      <c r="M152" s="264" t="s">
        <v>638</v>
      </c>
      <c r="N152" s="264"/>
      <c r="O152" s="264"/>
      <c r="P152" s="264"/>
      <c r="Q152" s="264"/>
      <c r="R152" s="264"/>
      <c r="S152" s="264"/>
      <c r="T152" s="264"/>
      <c r="U152" s="211"/>
      <c r="V152" s="232"/>
      <c r="AB152" s="23">
        <f>+COUNTIF(AB145:AB151,"n.b.")</f>
        <v>0</v>
      </c>
      <c r="AD152" s="272" t="e">
        <f>+IF(AB152=7,$BL$35,+IF(MIN(G48,M48,Q48,W48,AB48,AG48,BD48)&lt;80%,"B","A"))</f>
        <v>#REF!</v>
      </c>
      <c r="AE152" s="23">
        <f>+COUNTIF((AB145:AB151),"=&lt;80")</f>
        <v>0</v>
      </c>
    </row>
    <row r="153" spans="2:31">
      <c r="B153"/>
      <c r="C153"/>
      <c r="D153"/>
      <c r="E153"/>
      <c r="F153"/>
      <c r="G153"/>
      <c r="H153" s="211"/>
      <c r="I153" s="211"/>
      <c r="J153" s="232"/>
      <c r="K153" s="228"/>
      <c r="L153" s="221" t="e">
        <f>+AD167</f>
        <v>#REF!</v>
      </c>
      <c r="M153" s="264" t="s">
        <v>214</v>
      </c>
      <c r="N153" s="264"/>
      <c r="O153" s="264"/>
      <c r="P153" s="264"/>
      <c r="Q153" s="264"/>
      <c r="R153" s="264"/>
      <c r="S153" s="264"/>
      <c r="T153" s="264"/>
      <c r="U153" s="211"/>
      <c r="V153" s="232"/>
    </row>
    <row r="154" spans="2:31" ht="15" thickBot="1">
      <c r="B154"/>
      <c r="C154"/>
      <c r="D154"/>
      <c r="E154"/>
      <c r="F154"/>
      <c r="G154"/>
      <c r="H154" s="211"/>
      <c r="I154" s="211"/>
      <c r="J154" s="232"/>
      <c r="K154" s="33"/>
      <c r="L154" s="221" t="e">
        <f>++IF(K149="n.b.","n.b.",+IF(MIN(epm,ede,epe,elm,ek,epg)&lt;70%,"C",+IF(MIN(epm,ede,epe,elm,ek,epg)&lt;80%,"B","kA")))</f>
        <v>#REF!</v>
      </c>
      <c r="M154" s="265" t="s">
        <v>272</v>
      </c>
      <c r="N154" s="264"/>
      <c r="O154" s="264"/>
      <c r="P154" s="264"/>
      <c r="Q154" s="264"/>
      <c r="R154" s="264"/>
      <c r="S154" s="264"/>
      <c r="T154" s="264"/>
      <c r="U154" s="211"/>
      <c r="V154" s="232"/>
    </row>
    <row r="155" spans="2:31" ht="15" thickBot="1">
      <c r="B155"/>
      <c r="C155"/>
      <c r="D155"/>
      <c r="E155"/>
      <c r="F155"/>
      <c r="G155"/>
      <c r="H155" s="211"/>
      <c r="I155" s="211"/>
      <c r="J155" s="232"/>
      <c r="K155" s="228"/>
      <c r="L155" s="235" t="str">
        <f>IF(COUNTIF(L149:L154,"n.b.")=6,"n.b.",IF(COUNTIF(L149:L154,"C")&gt;=1,"C",IF(COUNTIF(L149:L154,"B")&gt;=1,"B","A")))</f>
        <v>A</v>
      </c>
      <c r="M155" s="266" t="s">
        <v>215</v>
      </c>
      <c r="N155" s="266"/>
      <c r="O155" s="267"/>
      <c r="P155" s="264"/>
      <c r="Q155" s="264"/>
      <c r="R155" s="264"/>
      <c r="S155" s="264"/>
      <c r="T155" s="264"/>
      <c r="U155" s="211"/>
      <c r="V155" s="232"/>
    </row>
    <row r="156" spans="2:31">
      <c r="B156"/>
      <c r="C156"/>
      <c r="D156"/>
      <c r="E156"/>
      <c r="F156"/>
      <c r="G156"/>
      <c r="H156" s="211"/>
      <c r="I156" s="211"/>
      <c r="J156" s="232"/>
      <c r="K156" s="228"/>
      <c r="L156" s="158"/>
      <c r="M156" s="264"/>
      <c r="N156" s="264"/>
      <c r="O156" s="264"/>
      <c r="P156" s="264"/>
      <c r="Q156" s="264"/>
      <c r="R156" s="264"/>
      <c r="S156" s="264"/>
      <c r="T156" s="264"/>
      <c r="U156" s="211"/>
      <c r="V156" s="232"/>
      <c r="Z156" s="23" t="s">
        <v>267</v>
      </c>
    </row>
    <row r="157" spans="2:31">
      <c r="B157"/>
      <c r="C157"/>
      <c r="D157"/>
      <c r="E157"/>
      <c r="F157"/>
      <c r="G157"/>
      <c r="H157" s="211"/>
      <c r="I157" s="211"/>
      <c r="J157" s="232"/>
      <c r="K157" s="228"/>
      <c r="L157" s="158"/>
      <c r="M157" s="264"/>
      <c r="N157" s="264"/>
      <c r="O157" s="264"/>
      <c r="P157" s="264"/>
      <c r="Q157" s="264"/>
      <c r="R157" s="264"/>
      <c r="S157" s="264"/>
      <c r="T157" s="264"/>
      <c r="U157" s="211"/>
      <c r="V157" s="232"/>
      <c r="Y157" s="193"/>
      <c r="Z157" s="23" t="s">
        <v>30</v>
      </c>
      <c r="AA157" s="23" t="s">
        <v>244</v>
      </c>
      <c r="AB157" s="159" t="e">
        <f>+AS36</f>
        <v>#REF!</v>
      </c>
    </row>
    <row r="158" spans="2:31">
      <c r="B158"/>
      <c r="C158"/>
      <c r="D158"/>
      <c r="E158"/>
      <c r="F158"/>
      <c r="G158"/>
      <c r="H158" s="211"/>
      <c r="I158" s="211"/>
      <c r="J158" s="232"/>
      <c r="K158" s="227" t="str">
        <f>+IF(ISERROR(+AVERAGE(epm,ede,epe)),"n.b.",+ROUND((+AVERAGE(epm,ede,epe)),2))</f>
        <v>n.b.</v>
      </c>
      <c r="L158" s="226" t="str">
        <f>+IF(K158="n.b.","n.b.",(+IF(K158&lt;80%,"C",+IF(K158&lt;90%,"B","A"))))</f>
        <v>n.b.</v>
      </c>
      <c r="M158" s="264" t="s">
        <v>219</v>
      </c>
      <c r="N158" s="264"/>
      <c r="O158" s="264"/>
      <c r="P158" s="264"/>
      <c r="Q158" s="264"/>
      <c r="R158" s="264"/>
      <c r="S158" s="264"/>
      <c r="T158" s="264"/>
      <c r="U158" s="211"/>
      <c r="V158" s="232"/>
      <c r="Y158" s="193"/>
      <c r="Z158" s="23" t="s">
        <v>31</v>
      </c>
      <c r="AA158" s="23" t="s">
        <v>245</v>
      </c>
      <c r="AB158" s="159" t="e">
        <f>+AS38</f>
        <v>#REF!</v>
      </c>
    </row>
    <row r="159" spans="2:31">
      <c r="B159"/>
      <c r="C159"/>
      <c r="D159"/>
      <c r="E159"/>
      <c r="F159"/>
      <c r="G159"/>
      <c r="H159" s="211"/>
      <c r="I159" s="211"/>
      <c r="J159" s="232"/>
      <c r="K159" s="228"/>
      <c r="L159" s="221" t="str">
        <f>+IF(COUNTIF(H82:H97,"n.b.")=3,"n.b.",+IF(COUNTIF((H82:H97),"C")&gt;=1,"C",+IF(+COUNTIF((H82:H97),"B")&gt;=1,"B","A")))</f>
        <v>n.b.</v>
      </c>
      <c r="M159" s="264" t="s">
        <v>256</v>
      </c>
      <c r="N159" s="264"/>
      <c r="O159" s="264"/>
      <c r="P159" s="264"/>
      <c r="Q159" s="264"/>
      <c r="R159" s="264"/>
      <c r="S159" s="264"/>
      <c r="T159" s="264"/>
      <c r="U159" s="211"/>
      <c r="V159" s="232"/>
      <c r="Y159" s="193"/>
      <c r="Z159" s="23" t="s">
        <v>32</v>
      </c>
      <c r="AA159" s="23" t="s">
        <v>246</v>
      </c>
      <c r="AB159" s="159" t="e">
        <f>+AS40</f>
        <v>#REF!</v>
      </c>
    </row>
    <row r="160" spans="2:31">
      <c r="B160"/>
      <c r="C160"/>
      <c r="D160"/>
      <c r="E160"/>
      <c r="F160"/>
      <c r="G160"/>
      <c r="H160" s="211"/>
      <c r="I160" s="211"/>
      <c r="J160" s="232"/>
      <c r="K160" s="33"/>
      <c r="L160" s="221" t="str">
        <f>++IF(K158="n.b.","n.b.",+IF(MIN(epm,ede,epe)&lt;70%,"C",+IF(MIN(epm,ede,epe)&lt;80%,"B","kA")))</f>
        <v>n.b.</v>
      </c>
      <c r="M160" s="265" t="s">
        <v>265</v>
      </c>
      <c r="N160" s="264"/>
      <c r="O160" s="264"/>
      <c r="P160" s="211"/>
      <c r="Q160" s="264"/>
      <c r="R160" s="264"/>
      <c r="S160" s="264"/>
      <c r="T160" s="264"/>
      <c r="U160" s="211"/>
      <c r="V160" s="232"/>
      <c r="Y160" s="193"/>
      <c r="AB160" s="159"/>
    </row>
    <row r="161" spans="2:30" ht="15" thickBot="1">
      <c r="B161"/>
      <c r="C161"/>
      <c r="D161"/>
      <c r="E161"/>
      <c r="F161"/>
      <c r="G161"/>
      <c r="H161" s="211"/>
      <c r="I161" s="211"/>
      <c r="J161" s="232"/>
      <c r="K161" s="33"/>
      <c r="L161" s="221" t="str">
        <f>IF(COUNT((A8:A22)=0),"n.b.",+IF(+COUNTIF((A8:A22),"C")&gt;=1,"C",+IF(+COUNTIF((A8:A22),"B")&gt;=1,"B","A")))</f>
        <v>A</v>
      </c>
      <c r="M161" s="265" t="s">
        <v>252</v>
      </c>
      <c r="N161" s="264"/>
      <c r="O161" s="264"/>
      <c r="P161" s="211"/>
      <c r="Q161" s="264"/>
      <c r="R161" s="264"/>
      <c r="S161" s="264"/>
      <c r="T161" s="264"/>
      <c r="U161" s="211"/>
      <c r="V161" s="232"/>
      <c r="Y161" s="193"/>
      <c r="AB161" s="159"/>
    </row>
    <row r="162" spans="2:30" ht="15" thickBot="1">
      <c r="B162"/>
      <c r="C162"/>
      <c r="D162"/>
      <c r="E162"/>
      <c r="F162"/>
      <c r="G162"/>
      <c r="H162" s="211"/>
      <c r="I162" s="211"/>
      <c r="J162" s="232"/>
      <c r="K162" s="228"/>
      <c r="L162" s="235" t="str">
        <f>+IF(L158="n.b.","n.b.",+IF(COUNTIF(L158:L161,"C")&gt;=1,"C",+IF(COUNTIF(L158:L161,"B")&gt;=1,"B","A")))</f>
        <v>n.b.</v>
      </c>
      <c r="M162" s="266" t="s">
        <v>220</v>
      </c>
      <c r="N162" s="267"/>
      <c r="O162" s="264"/>
      <c r="P162" s="264"/>
      <c r="Q162" s="264"/>
      <c r="R162" s="264"/>
      <c r="S162" s="264"/>
      <c r="T162" s="264"/>
      <c r="U162" s="211"/>
      <c r="V162" s="232"/>
      <c r="Y162" s="193"/>
      <c r="AB162" s="159"/>
    </row>
    <row r="163" spans="2:30">
      <c r="B163"/>
      <c r="C163"/>
      <c r="D163"/>
      <c r="E163"/>
      <c r="F163"/>
      <c r="G163"/>
      <c r="H163" s="211"/>
      <c r="I163" s="211"/>
      <c r="J163" s="232"/>
      <c r="K163" s="228"/>
      <c r="L163" s="158"/>
      <c r="M163" s="264"/>
      <c r="N163" s="264"/>
      <c r="O163" s="264"/>
      <c r="P163" s="264"/>
      <c r="Q163" s="264"/>
      <c r="R163" s="264"/>
      <c r="S163" s="264"/>
      <c r="T163" s="264"/>
      <c r="U163" s="211"/>
      <c r="V163" s="232"/>
      <c r="Y163" s="193"/>
      <c r="AB163" s="159"/>
    </row>
    <row r="164" spans="2:30">
      <c r="B164"/>
      <c r="C164"/>
      <c r="D164"/>
      <c r="E164"/>
      <c r="F164"/>
      <c r="G164"/>
      <c r="H164" s="211"/>
      <c r="I164" s="211"/>
      <c r="J164" s="232"/>
      <c r="K164" s="227" t="str">
        <f>++IF(ISERROR(AVERAGE(ez,epg,ek)),"n.b.",+ROUND((+AVERAGE(ez,epg,ek)),2))</f>
        <v>n.b.</v>
      </c>
      <c r="L164" s="226" t="str">
        <f>+IF(K164="n.b.","n.b.",+IF(K164&lt;80%,"C",+IF(K164&lt;90%,"B","A")))</f>
        <v>n.b.</v>
      </c>
      <c r="M164" s="264" t="s">
        <v>221</v>
      </c>
      <c r="N164" s="264"/>
      <c r="O164" s="264"/>
      <c r="P164" s="264"/>
      <c r="Q164" s="264"/>
      <c r="R164" s="264"/>
      <c r="S164" s="264"/>
      <c r="T164" s="264"/>
      <c r="U164" s="211"/>
      <c r="V164" s="232"/>
      <c r="Y164" s="193"/>
      <c r="AB164" s="159"/>
    </row>
    <row r="165" spans="2:30">
      <c r="B165"/>
      <c r="C165"/>
      <c r="D165"/>
      <c r="E165"/>
      <c r="F165"/>
      <c r="G165"/>
      <c r="H165" s="211"/>
      <c r="I165" s="211"/>
      <c r="J165" s="232"/>
      <c r="K165" s="228"/>
      <c r="L165" s="221" t="str">
        <f>+IF(K164="n.b.","n.b.",+IF(MIN(elm,epg,ek,AS36:AS40,G48,M48,Q48,W48,AB48,AG48,BD48)&lt;70%,"C",IF(MIN(elm,epg,ek,AS36:AS40,G48,M48,Q48,W48,AB48,AG48,BD48)&lt;80%,"B","A")))</f>
        <v>n.b.</v>
      </c>
      <c r="M165" s="264" t="s">
        <v>273</v>
      </c>
      <c r="N165" s="264"/>
      <c r="O165" s="264"/>
      <c r="P165" s="264"/>
      <c r="Q165" s="264"/>
      <c r="R165" s="264"/>
      <c r="S165" s="264"/>
      <c r="T165" s="264"/>
      <c r="U165" s="211"/>
      <c r="V165" s="232"/>
      <c r="Y165" s="159"/>
      <c r="AB165" s="159"/>
    </row>
    <row r="166" spans="2:30">
      <c r="B166"/>
      <c r="C166"/>
      <c r="D166"/>
      <c r="E166"/>
      <c r="F166"/>
      <c r="G166"/>
      <c r="H166" s="211"/>
      <c r="I166" s="211"/>
      <c r="J166" s="232"/>
      <c r="K166" s="33"/>
      <c r="L166" s="221" t="str">
        <f>IF(COUNT((A29:A52)=0),"n.b.",+IF(+COUNTIF((A29:A52),"C")&gt;=1,"C",+IF(+COUNTIF((A29:A52),"B")&gt;=1,"B","A")))</f>
        <v>A</v>
      </c>
      <c r="M166" s="265" t="s">
        <v>251</v>
      </c>
      <c r="N166" s="264"/>
      <c r="O166" s="264"/>
      <c r="P166" s="264"/>
      <c r="Q166" s="264"/>
      <c r="R166" s="264"/>
      <c r="S166" s="264"/>
      <c r="T166" s="264"/>
      <c r="U166" s="211"/>
      <c r="V166" s="232"/>
      <c r="Y166" s="159"/>
      <c r="AB166" s="159"/>
    </row>
    <row r="167" spans="2:30" ht="15" thickBot="1">
      <c r="B167"/>
      <c r="C167"/>
      <c r="D167"/>
      <c r="E167"/>
      <c r="F167"/>
      <c r="G167"/>
      <c r="H167" s="211"/>
      <c r="I167" s="211"/>
      <c r="J167" s="232"/>
      <c r="K167" s="228"/>
      <c r="L167" s="221" t="str">
        <f>+IF(K164="n.b.","n.b.",+IF(COUNTIF((H104:H144),"C")&gt;=1,"C",+IF(+COUNTIF((H104:H144),"B")&gt;=1,"B","A")))</f>
        <v>n.b.</v>
      </c>
      <c r="M167" s="264" t="s">
        <v>250</v>
      </c>
      <c r="N167" s="264"/>
      <c r="O167" s="264"/>
      <c r="P167" s="264"/>
      <c r="Q167" s="264"/>
      <c r="R167" s="264"/>
      <c r="S167" s="264"/>
      <c r="T167" s="264"/>
      <c r="U167" s="211"/>
      <c r="V167" s="232"/>
      <c r="AB167" s="23">
        <f>+COUNTIF(AB157:AB166,"n.b.")</f>
        <v>0</v>
      </c>
      <c r="AD167" s="272" t="e">
        <f>+IF(AB167=3,"n.b.",+IF(MIN(AB157:AB159)&lt;70%,"C",+IF(MIN(AB157:AB159)&lt;80%,"B","A")))</f>
        <v>#REF!</v>
      </c>
    </row>
    <row r="168" spans="2:30" ht="15" thickBot="1">
      <c r="B168"/>
      <c r="C168"/>
      <c r="D168"/>
      <c r="E168"/>
      <c r="F168"/>
      <c r="G168"/>
      <c r="H168" s="211"/>
      <c r="I168" s="211"/>
      <c r="J168" s="232"/>
      <c r="K168" s="229"/>
      <c r="L168" s="235" t="str">
        <f>++IF(K164="n.b.","n.b.",+IF(ISERROR(K164),"n.b.",+IF(COUNTIF(L164:L167,"C")&gt;=1,"C",+IF(COUNTIF(L164:L167,"B")&gt;=1,"B","A"))))</f>
        <v>n.b.</v>
      </c>
      <c r="M168" s="266" t="s">
        <v>258</v>
      </c>
      <c r="N168" s="267"/>
      <c r="O168" s="268"/>
      <c r="P168" s="268"/>
      <c r="Q168" s="268"/>
      <c r="R168" s="268"/>
      <c r="S168" s="268"/>
      <c r="T168" s="268"/>
      <c r="U168" s="273"/>
      <c r="V168" s="269"/>
    </row>
    <row r="169" spans="2:30">
      <c r="B169"/>
      <c r="C169"/>
      <c r="D169"/>
      <c r="E169"/>
      <c r="F169"/>
      <c r="G169"/>
      <c r="K169" s="158"/>
      <c r="L169" s="158"/>
      <c r="M169" s="158"/>
      <c r="N169" s="158"/>
      <c r="O169" s="158"/>
      <c r="P169" s="158"/>
      <c r="Q169" s="158"/>
      <c r="R169" s="158"/>
      <c r="S169" s="158"/>
      <c r="T169" s="158"/>
    </row>
    <row r="171" spans="2:30">
      <c r="K171" s="240" t="s">
        <v>248</v>
      </c>
      <c r="L171" s="241"/>
      <c r="M171" s="241"/>
      <c r="N171" s="241"/>
      <c r="O171" s="241"/>
      <c r="P171" s="242"/>
    </row>
    <row r="172" spans="2:30">
      <c r="K172" s="243" t="s">
        <v>247</v>
      </c>
      <c r="L172" s="244"/>
      <c r="M172" s="244"/>
      <c r="N172" s="244"/>
      <c r="O172" s="244"/>
      <c r="P172" s="245"/>
      <c r="R172" s="158"/>
      <c r="S172" s="23" t="s">
        <v>222</v>
      </c>
      <c r="T172" s="158"/>
    </row>
    <row r="173" spans="2:30">
      <c r="K173" s="246" t="s">
        <v>249</v>
      </c>
      <c r="L173" s="247"/>
      <c r="M173" s="247"/>
      <c r="N173" s="247"/>
      <c r="O173" s="247"/>
      <c r="P173" s="248"/>
      <c r="S173" s="23">
        <v>1</v>
      </c>
      <c r="T173" s="23">
        <v>2</v>
      </c>
      <c r="U173" s="23">
        <v>3</v>
      </c>
    </row>
    <row r="174" spans="2:30">
      <c r="P174" s="23" t="s">
        <v>223</v>
      </c>
      <c r="S174" s="23" t="str">
        <f>+J138</f>
        <v>A</v>
      </c>
      <c r="T174" s="23" t="str">
        <f>+K138</f>
        <v>A</v>
      </c>
      <c r="U174" s="23" t="str">
        <f>+L138</f>
        <v>A</v>
      </c>
    </row>
    <row r="175" spans="2:30">
      <c r="R175" s="23" t="s">
        <v>47</v>
      </c>
      <c r="S175" s="23" t="str">
        <f>+IF(ISERROR(AVERAGE(D36:H36)),"n.b.",(+IF(AVERAGE(D36:H36)&lt;70%,"C",+IF(AVERAGE(D36:H36)&lt;80%,"B","A"))))</f>
        <v>n.b.</v>
      </c>
      <c r="T175" s="23" t="str">
        <f>+IF(ISERROR(AVERAGE(D38:H38)),"n.b.",(+IF(AVERAGE(D38:H38)&lt;70%,"C",+IF(AVERAGE(D38:H38)&lt;80%,"B","A"))))</f>
        <v>n.b.</v>
      </c>
      <c r="U175" s="23" t="str">
        <f>+IF(ISERROR(AVERAGE(D40:H40)),"n.b.",(+IF(AVERAGE(D40:H40)&lt;70%,"C",+IF(AVERAGE(D40:H40)&lt;80%,"B","A"))))</f>
        <v>n.b.</v>
      </c>
    </row>
    <row r="176" spans="2:30">
      <c r="R176" s="23" t="s">
        <v>48</v>
      </c>
      <c r="S176" s="23" t="str">
        <f>+IF(ISERROR(AVERAGE(J36:O36)),"n.b.",(+IF(AVERAGE(J36:O36)&lt;70%,"C",+IF(AVERAGE(J36:O36)&lt;80%,"B","A"))))</f>
        <v>n.b.</v>
      </c>
      <c r="T176" s="23" t="str">
        <f>+IF(ISERROR(AVERAGE(J38:O38)),"n.b.",(+IF(AVERAGE(J38:O38)&lt;70%,"C",+IF(AVERAGE(J38:O38)&lt;80%,"B","A"))))</f>
        <v>n.b.</v>
      </c>
      <c r="U176" s="23" t="str">
        <f>+IF(ISERROR(AVERAGE(J40:O40)),"n.b.",(+IF(AVERAGE(J40:O40)&lt;70%,"C",+IF(AVERAGE(J40:O40)&lt;80%,"B","A"))))</f>
        <v>n.b.</v>
      </c>
    </row>
    <row r="177" spans="1:62">
      <c r="R177" s="23" t="s">
        <v>49</v>
      </c>
      <c r="S177" s="23" t="str">
        <f>+IF(ISERROR(AVERAGE(P36:R36)),"n.b.",(+IF(AVERAGE(P36:R36)&lt;70%,"C",+IF(AVERAGE(P36:R36)&lt;80%,"B","A"))))</f>
        <v>n.b.</v>
      </c>
      <c r="T177" s="23" t="str">
        <f>+IF(ISERROR(AVERAGE(P38:R38)),"n.b.",(+IF(AVERAGE(P38:R38)&lt;70%,"C",+IF(AVERAGE(P38:R38)&lt;80%,"B","A"))))</f>
        <v>n.b.</v>
      </c>
      <c r="U177" s="23" t="str">
        <f>+IF(ISERROR(AVERAGE(P40:R40)),"n.b.",(+IF(AVERAGE(P40:R40)&lt;70%,"C",+IF(AVERAGE(P40:R40)&lt;80%,"B","A"))))</f>
        <v>n.b.</v>
      </c>
    </row>
    <row r="178" spans="1:62">
      <c r="R178" s="23" t="s">
        <v>50</v>
      </c>
      <c r="S178" s="23" t="str">
        <f>+IF(ISERROR(AVERAGE($T36:$V36)),"n.b.",(+IF(AVERAGE($T36:$V36)&lt;70%,"C",+IF(AVERAGE($T36:$V36)&lt;80%,"B","A"))))</f>
        <v>n.b.</v>
      </c>
      <c r="T178" s="23" t="str">
        <f>+IF(ISERROR(AVERAGE($T38:$V38)),"n.b.",(+IF(AVERAGE($T38:$V38)&lt;70%,"C",+IF(AVERAGE($T38:$V38)&lt;80%,"B","A"))))</f>
        <v>n.b.</v>
      </c>
      <c r="U178" s="23" t="str">
        <f>+IF(ISERROR(AVERAGE($T40:$V40)),"n.b.",(+IF(AVERAGE($T40:$V40)&lt;70%,"C",+IF(AVERAGE($T40:$V40)&lt;80%,"B","A"))))</f>
        <v>n.b.</v>
      </c>
    </row>
    <row r="179" spans="1:62">
      <c r="R179" s="23" t="s">
        <v>144</v>
      </c>
      <c r="S179" s="23" t="str">
        <f>+IF(ISERROR(AVERAGE($Z36:$AC36)),"n.b.",(+IF(AVERAGE($Z36:$AC36)&lt;70%,"C",+IF(AVERAGE($Z36:$AC36)&lt;80%,"B","A"))))</f>
        <v>n.b.</v>
      </c>
      <c r="T179" s="23" t="str">
        <f>+IF(ISERROR(AVERAGE($Z38:$AC38)),"n.b.",(+IF(AVERAGE($Z38:$AC38)&lt;70%,"C",+IF(AVERAGE($Z38:$AC38)&lt;80%,"B","A"))))</f>
        <v>n.b.</v>
      </c>
      <c r="U179" s="23" t="str">
        <f>+IF(ISERROR(AVERAGE($Z40:$AC40)),"n.b.",(+IF(AVERAGE($Z40:$AC40)&lt;70%,"C",+IF(AVERAGE($Z40:$AC40)&lt;80%,"B","A"))))</f>
        <v>n.b.</v>
      </c>
    </row>
    <row r="180" spans="1:62">
      <c r="R180" s="23" t="s">
        <v>145</v>
      </c>
      <c r="S180" s="23" t="str">
        <f>+IF(ISERROR(AVERAGE($AE36:$AH36)),"n.b.",(+IF(AVERAGE($AE36:$AH36)&lt;70%,"C",+IF(AVERAGE($AE36:$AH36)&lt;80%,"B","A"))))</f>
        <v>n.b.</v>
      </c>
      <c r="T180" s="23" t="str">
        <f>+IF(ISERROR(AVERAGE($AE38:$AH38)),"n.b.",(+IF(AVERAGE($AE38:$AH38)&lt;70%,"C",+IF(AVERAGE($AE38:$AH38)&lt;80%,"B","A"))))</f>
        <v>n.b.</v>
      </c>
      <c r="U180" s="23" t="str">
        <f>+IF(ISERROR(AVERAGE($AE40:$AH40)),"n.b.",(+IF(AVERAGE($AE40:$AH40)&lt;70%,"C",+IF(AVERAGE($AE40:$AH40)&lt;80%,"B","A"))))</f>
        <v>n.b.</v>
      </c>
    </row>
    <row r="181" spans="1:62">
      <c r="R181" s="23" t="s">
        <v>200</v>
      </c>
      <c r="S181" s="23" t="str">
        <f>+IF(ISERROR(AVERAGE($AX36:$BE36)),"n.b.",(+IF(AVERAGE($AX36:$BE36)&lt;70%,"C",+IF(AVERAGE($AX36:$BE36)&lt;80%,"B","A"))))</f>
        <v>n.b.</v>
      </c>
      <c r="T181" s="23" t="str">
        <f>+IF(ISERROR(AVERAGE($AX38:$BE38)),"n.b.",(+IF(AVERAGE($AX38:$BE38)&lt;70%,"C",+IF(AVERAGE($AX38:$BE38)&lt;80%,"B","A"))))</f>
        <v>n.b.</v>
      </c>
      <c r="U181" s="23" t="str">
        <f>+IF(ISERROR(AVERAGE($AX40:$BE40)),"n.b.",(+IF(AVERAGE($AX40:$BE40)&lt;70%,"C",+IF(AVERAGE($AX40:$BE40)&lt;80%,"B","A"))))</f>
        <v>n.b.</v>
      </c>
    </row>
    <row r="183" spans="1:62">
      <c r="K183" s="193"/>
    </row>
    <row r="184" spans="1:62">
      <c r="K184" s="193"/>
      <c r="L184" s="158"/>
    </row>
    <row r="185" spans="1:62">
      <c r="B185" s="33"/>
      <c r="C185" s="22"/>
      <c r="D185" s="22"/>
      <c r="E185" s="22"/>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c r="AD185" s="22"/>
      <c r="AE185" s="22"/>
      <c r="AF185" s="22"/>
      <c r="AG185" s="22"/>
      <c r="AH185" s="22"/>
      <c r="AI185" s="22"/>
      <c r="AJ185" s="22"/>
      <c r="AK185" s="22"/>
      <c r="AL185" s="22"/>
      <c r="AM185" s="22"/>
      <c r="AN185" s="22"/>
      <c r="AO185" s="22"/>
      <c r="AP185" s="22"/>
      <c r="AQ185" s="22"/>
      <c r="AR185" s="22"/>
      <c r="AS185" s="22"/>
      <c r="AT185" s="22"/>
      <c r="AU185" s="22"/>
      <c r="AV185" s="22"/>
      <c r="AW185" s="22"/>
      <c r="AX185" s="22"/>
      <c r="AY185" s="22"/>
      <c r="AZ185" s="22"/>
      <c r="BA185" s="22"/>
      <c r="BB185" s="22"/>
      <c r="BC185" s="22"/>
      <c r="BD185" s="22"/>
      <c r="BE185"/>
      <c r="BF185"/>
      <c r="BG185"/>
      <c r="BH185"/>
      <c r="BI185" s="34"/>
      <c r="BJ185" s="22"/>
    </row>
    <row r="186" spans="1:62">
      <c r="A186" s="199"/>
      <c r="B186" s="33"/>
      <c r="C186" s="213"/>
      <c r="D186" s="210"/>
      <c r="E186" s="210"/>
      <c r="F186" s="210"/>
      <c r="G186" s="210"/>
      <c r="H186" s="210"/>
      <c r="I186" s="210"/>
      <c r="J186" s="210"/>
      <c r="K186" s="210"/>
      <c r="L186" s="210"/>
      <c r="M186" s="210"/>
      <c r="N186" s="210"/>
      <c r="O186" s="210"/>
      <c r="P186" s="210"/>
      <c r="Q186" s="210"/>
      <c r="R186" s="210"/>
      <c r="S186" s="210"/>
      <c r="T186" s="210"/>
      <c r="U186" s="210"/>
      <c r="V186" s="210"/>
      <c r="W186" s="210"/>
      <c r="X186" s="210"/>
      <c r="Y186" s="210"/>
      <c r="Z186" s="210"/>
      <c r="AA186" s="210"/>
      <c r="AB186" s="210"/>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s="36"/>
      <c r="BJ186"/>
    </row>
    <row r="187" spans="1:62">
      <c r="B187" s="33"/>
      <c r="C187" s="210"/>
      <c r="D187" s="210"/>
      <c r="E187" s="210"/>
      <c r="F187" s="210"/>
      <c r="G187" s="210"/>
      <c r="H187" s="210"/>
      <c r="I187" s="210"/>
      <c r="J187" s="210"/>
      <c r="K187" s="210"/>
      <c r="L187" s="210"/>
      <c r="M187" s="210"/>
      <c r="N187" s="210"/>
      <c r="O187" s="210"/>
      <c r="P187" s="210"/>
      <c r="Q187" s="210"/>
      <c r="R187" s="210"/>
      <c r="S187" s="210"/>
      <c r="T187" s="210"/>
      <c r="U187" s="210"/>
      <c r="V187" s="210"/>
      <c r="W187" s="210"/>
      <c r="X187" s="210"/>
      <c r="Y187" s="210"/>
      <c r="Z187" s="210"/>
      <c r="AA187" s="210"/>
      <c r="AB187" s="210"/>
      <c r="AC187"/>
      <c r="AD187"/>
      <c r="AE187"/>
      <c r="AF187"/>
      <c r="AG187"/>
      <c r="AH187"/>
      <c r="AI187"/>
      <c r="AJ187"/>
      <c r="AK187"/>
      <c r="AL187"/>
      <c r="AM187"/>
      <c r="AN187"/>
      <c r="AO187"/>
      <c r="AP187"/>
      <c r="AQ187"/>
      <c r="AR187"/>
      <c r="AS187"/>
      <c r="AT187"/>
      <c r="AU187"/>
      <c r="AV187"/>
      <c r="BE187"/>
      <c r="BF187"/>
      <c r="BG187"/>
      <c r="BH187"/>
      <c r="BI187" s="36"/>
      <c r="BJ187"/>
    </row>
    <row r="188" spans="1:62" s="183" customFormat="1" ht="28.5">
      <c r="A188" s="197" t="s">
        <v>216</v>
      </c>
      <c r="B188" s="33"/>
      <c r="C188" s="214"/>
      <c r="D188" s="1236"/>
      <c r="E188" s="1236"/>
      <c r="F188" s="1236"/>
      <c r="G188" s="1236"/>
      <c r="H188" s="1236"/>
      <c r="I188" s="1238"/>
      <c r="J188" s="1238"/>
      <c r="K188" s="1238"/>
      <c r="L188" s="1238"/>
      <c r="M188" s="1238"/>
      <c r="N188" s="1238"/>
      <c r="O188" s="1238"/>
      <c r="P188" s="1238"/>
      <c r="Q188" s="1238"/>
      <c r="R188" s="1238"/>
      <c r="S188" s="1238"/>
      <c r="T188" s="1238"/>
      <c r="U188" s="1238"/>
      <c r="V188" s="1238"/>
      <c r="W188" s="1238"/>
      <c r="X188" s="1238"/>
      <c r="Y188" s="215"/>
      <c r="Z188" s="215"/>
      <c r="AA188" s="215"/>
      <c r="AB188" s="566"/>
      <c r="AC188" s="167"/>
      <c r="AD188" s="167"/>
      <c r="AE188" s="1223"/>
      <c r="AF188" s="1223"/>
      <c r="AG188" s="1223"/>
      <c r="AH188" s="1223"/>
      <c r="AI188" s="1223"/>
      <c r="AJ188" s="1223"/>
      <c r="AK188" s="1223"/>
      <c r="AL188" s="1223"/>
      <c r="AM188" s="1223"/>
      <c r="AN188" s="1223"/>
      <c r="AO188" s="1223"/>
      <c r="AP188" s="1223"/>
      <c r="AQ188" s="1223"/>
      <c r="AR188" s="1223"/>
      <c r="AS188" s="1223"/>
      <c r="AT188" s="1223"/>
      <c r="AU188" s="168"/>
      <c r="AV188" s="168"/>
      <c r="AW188" s="1235"/>
      <c r="AX188" s="1235"/>
      <c r="AY188" s="1235"/>
      <c r="AZ188" s="1235"/>
      <c r="BA188" s="1235"/>
      <c r="BB188" s="1235"/>
      <c r="BC188" s="1235"/>
      <c r="BD188" s="186"/>
      <c r="BE188"/>
      <c r="BF188"/>
      <c r="BG188"/>
      <c r="BH188"/>
      <c r="BI188" s="32"/>
      <c r="BJ188" s="31"/>
    </row>
    <row r="189" spans="1:62" ht="21" customHeight="1">
      <c r="A189" s="198" t="e">
        <f>IF(COUNTIF(G48,"n.b.")+COUNTIF(M48,"n.b.")+COUNTIF(M48,"n.b.")+COUNTIF(Q48,"n.b.")+COUNTIF(W48,"n.b.")+COUNTIF(AB48,"n.b.")+COUNTIF(AG48,"n.b.")+COUNTIF(BD48,"n.b.")=7,"n.b.",IF(MIN(G48,M48,Q48,W48,AB48,AG48,BD48)&lt;70%,"C",IF(MIN(G48,M48,Q48,W48,AB48,AG48,BD48)&lt;80%,"B","A")))</f>
        <v>#REF!</v>
      </c>
      <c r="B189" s="33"/>
      <c r="C189" s="210"/>
      <c r="D189" s="1236"/>
      <c r="E189" s="1236"/>
      <c r="F189" s="1236"/>
      <c r="G189" s="1236"/>
      <c r="H189" s="1236"/>
      <c r="I189" s="1237"/>
      <c r="J189" s="1237"/>
      <c r="K189" s="1237"/>
      <c r="L189" s="1237"/>
      <c r="M189" s="1237"/>
      <c r="N189" s="1237"/>
      <c r="O189" s="1237"/>
      <c r="P189" s="1237"/>
      <c r="Q189" s="1237"/>
      <c r="R189" s="1237"/>
      <c r="S189" s="1237"/>
      <c r="T189" s="1237"/>
      <c r="U189" s="1237"/>
      <c r="V189" s="1237"/>
      <c r="W189" s="1237"/>
      <c r="X189" s="1237"/>
      <c r="Y189" s="216"/>
      <c r="Z189" s="216"/>
      <c r="AA189" s="216"/>
      <c r="AB189" s="567"/>
      <c r="AC189" s="169"/>
      <c r="AD189" s="169"/>
      <c r="AE189" s="1223"/>
      <c r="AF189" s="1223"/>
      <c r="AG189" s="1223"/>
      <c r="AH189" s="1223"/>
      <c r="AI189" s="1223"/>
      <c r="AJ189" s="1223"/>
      <c r="AK189" s="1223"/>
      <c r="AL189" s="1223"/>
      <c r="AM189" s="1223"/>
      <c r="AN189" s="1223"/>
      <c r="AO189" s="1223"/>
      <c r="AP189" s="1223"/>
      <c r="AQ189" s="1223"/>
      <c r="AR189" s="1223"/>
      <c r="AS189" s="1223"/>
      <c r="AT189" s="1223"/>
      <c r="AW189" s="1235"/>
      <c r="AX189" s="1235"/>
      <c r="AY189" s="1235"/>
      <c r="AZ189" s="1235"/>
      <c r="BA189" s="1235"/>
      <c r="BB189" s="1235"/>
      <c r="BC189" s="1235"/>
      <c r="BD189" s="186"/>
      <c r="BE189"/>
      <c r="BF189"/>
      <c r="BG189"/>
      <c r="BH189"/>
      <c r="BI189" s="36"/>
      <c r="BJ189"/>
    </row>
    <row r="190" spans="1:62" ht="5.0999999999999996" customHeight="1">
      <c r="B190" s="33"/>
      <c r="C190" s="210"/>
      <c r="D190" s="210"/>
      <c r="E190" s="210"/>
      <c r="F190" s="210"/>
      <c r="G190" s="210"/>
      <c r="H190" s="210"/>
      <c r="I190" s="210"/>
      <c r="J190" s="210"/>
      <c r="K190" s="210"/>
      <c r="L190" s="210"/>
      <c r="M190" s="210"/>
      <c r="N190" s="210"/>
      <c r="O190" s="210"/>
      <c r="P190" s="210"/>
      <c r="Q190" s="210"/>
      <c r="R190" s="210"/>
      <c r="S190" s="210"/>
      <c r="T190" s="210"/>
      <c r="U190" s="210"/>
      <c r="V190" s="210"/>
      <c r="W190" s="210"/>
      <c r="X190" s="210"/>
      <c r="Y190" s="210"/>
      <c r="Z190" s="210"/>
      <c r="AA190" s="210"/>
      <c r="AB190" s="210"/>
      <c r="AC190"/>
      <c r="AD190"/>
      <c r="AE190" s="1223"/>
      <c r="AF190" s="1223"/>
      <c r="AG190" s="1223"/>
      <c r="AH190" s="1223"/>
      <c r="AI190" s="1223"/>
      <c r="AJ190" s="1223"/>
      <c r="AK190" s="1223"/>
      <c r="AL190" s="1223"/>
      <c r="AM190" s="1223"/>
      <c r="AN190" s="1223"/>
      <c r="AO190" s="1223"/>
      <c r="AP190" s="1223"/>
      <c r="AQ190" s="1223"/>
      <c r="AR190" s="1223"/>
      <c r="AS190" s="1223"/>
      <c r="AT190" s="1223"/>
      <c r="AU190"/>
      <c r="AV190"/>
      <c r="AW190" s="1235"/>
      <c r="AX190" s="1235"/>
      <c r="AY190" s="1235"/>
      <c r="AZ190" s="1235"/>
      <c r="BA190" s="1235"/>
      <c r="BB190" s="1235"/>
      <c r="BC190" s="1235"/>
      <c r="BD190" s="186"/>
      <c r="BE190"/>
      <c r="BF190"/>
      <c r="BG190"/>
      <c r="BH190"/>
      <c r="BI190" s="36"/>
      <c r="BJ190"/>
    </row>
    <row r="191" spans="1:62" ht="13.5" customHeight="1">
      <c r="B191" s="33"/>
      <c r="C191" s="210"/>
      <c r="D191" s="217"/>
      <c r="E191" s="210"/>
      <c r="F191" s="210"/>
      <c r="G191" s="210"/>
      <c r="H191" s="210"/>
      <c r="I191" s="210"/>
      <c r="J191" s="1260"/>
      <c r="K191" s="1260"/>
      <c r="L191" s="210"/>
      <c r="M191" s="210"/>
      <c r="N191" s="1260"/>
      <c r="O191" s="1260"/>
      <c r="P191" s="210"/>
      <c r="Q191" s="210"/>
      <c r="R191" s="1260"/>
      <c r="S191" s="1260"/>
      <c r="T191" s="210"/>
      <c r="U191" s="210"/>
      <c r="V191" s="1260"/>
      <c r="W191" s="1260"/>
      <c r="X191" s="209"/>
      <c r="Y191" s="1260"/>
      <c r="Z191" s="1260"/>
      <c r="AA191" s="209"/>
      <c r="AB191" s="209"/>
      <c r="AC191" s="171"/>
      <c r="AD191" s="171"/>
      <c r="AE191" s="209"/>
      <c r="AF191" s="210"/>
      <c r="AG191" s="210"/>
      <c r="AH191" s="211"/>
      <c r="AI191" s="211"/>
      <c r="AJ191" s="211"/>
      <c r="AK191" s="211"/>
      <c r="AL191" s="211"/>
      <c r="AM191" s="210"/>
      <c r="AN191" s="210"/>
      <c r="AO191" s="210"/>
      <c r="AP191" s="210"/>
      <c r="AQ191" s="210"/>
      <c r="AR191" s="212"/>
      <c r="AS191" s="212"/>
      <c r="AT191" s="210"/>
      <c r="AU191"/>
      <c r="AV191"/>
      <c r="AW191"/>
      <c r="AX191"/>
      <c r="AY191"/>
      <c r="AZ191"/>
      <c r="BA191"/>
      <c r="BB191"/>
      <c r="BC191"/>
      <c r="BD191"/>
      <c r="BE191" s="208"/>
      <c r="BF191"/>
      <c r="BG191"/>
      <c r="BH191"/>
      <c r="BI191" s="36"/>
      <c r="BJ191"/>
    </row>
    <row r="192" spans="1:62" ht="21" customHeight="1">
      <c r="A192" s="197" t="s">
        <v>209</v>
      </c>
      <c r="B192" s="33"/>
      <c r="C192"/>
      <c r="D192"/>
      <c r="E192"/>
      <c r="F192"/>
      <c r="G192"/>
      <c r="H192"/>
      <c r="I192"/>
      <c r="J192"/>
      <c r="K192"/>
      <c r="L192"/>
      <c r="M192"/>
      <c r="N192"/>
      <c r="O192"/>
      <c r="P192"/>
      <c r="Q192"/>
      <c r="R192"/>
      <c r="S192"/>
      <c r="T192"/>
      <c r="U192"/>
      <c r="V192"/>
      <c r="W192"/>
      <c r="X192"/>
      <c r="Y192"/>
      <c r="Z192"/>
      <c r="AA192"/>
      <c r="AB192"/>
      <c r="AC192"/>
      <c r="AD192"/>
      <c r="AE192" s="1239"/>
      <c r="AF192" s="1240"/>
      <c r="AG192" s="1240"/>
      <c r="AH192" s="1240"/>
      <c r="AI192" s="1239"/>
      <c r="AJ192" s="1239"/>
      <c r="AK192" s="1239"/>
      <c r="AL192" s="1239"/>
      <c r="AM192" s="1239"/>
      <c r="AN192" s="1239"/>
      <c r="AO192" s="1239"/>
      <c r="AP192" s="1239"/>
      <c r="AQ192" s="1239"/>
      <c r="AR192"/>
      <c r="AS192"/>
      <c r="AT192"/>
      <c r="AU192"/>
      <c r="AV192"/>
      <c r="AW192"/>
      <c r="AX192"/>
      <c r="AY192"/>
      <c r="AZ192"/>
      <c r="BA192"/>
      <c r="BB192"/>
      <c r="BC192"/>
      <c r="BD192"/>
      <c r="BE192"/>
      <c r="BF192"/>
      <c r="BG192"/>
      <c r="BH192"/>
      <c r="BI192"/>
      <c r="BJ192"/>
    </row>
    <row r="193" spans="1:62" ht="15.2" customHeight="1" thickBot="1">
      <c r="A193" s="198" t="str">
        <f>IF(MIN(AT36:AT40)&lt;70%,"C",IF(MIN(AT36:AT40)&lt;80%,"B","A"))</f>
        <v>C</v>
      </c>
      <c r="B193" s="33"/>
      <c r="D193"/>
      <c r="E193"/>
      <c r="F193"/>
      <c r="G193"/>
      <c r="H193"/>
      <c r="I193"/>
      <c r="J193"/>
      <c r="K193"/>
      <c r="L193"/>
      <c r="M193"/>
      <c r="N193"/>
      <c r="O193"/>
      <c r="P193"/>
      <c r="Q193"/>
      <c r="R193"/>
      <c r="S193"/>
      <c r="T193"/>
      <c r="U193"/>
      <c r="V193" s="3"/>
      <c r="W193"/>
      <c r="X193"/>
      <c r="Y193" s="3" t="s">
        <v>77</v>
      </c>
      <c r="Z193"/>
      <c r="AB193" s="179" t="s">
        <v>97</v>
      </c>
      <c r="AC193"/>
      <c r="AD193"/>
      <c r="AE193" s="1240"/>
      <c r="AF193" s="1240"/>
      <c r="AG193" s="1240"/>
      <c r="AH193" s="1240"/>
      <c r="AI193" s="1240"/>
      <c r="AJ193" s="1240"/>
      <c r="AK193" s="1240"/>
      <c r="AL193" s="1240"/>
      <c r="AM193" s="1240"/>
      <c r="AN193" s="1240"/>
      <c r="AO193" s="1240"/>
      <c r="AP193" s="1240"/>
      <c r="AQ193" s="1240"/>
      <c r="AR193"/>
      <c r="AS193"/>
      <c r="AT193"/>
      <c r="AU193"/>
      <c r="AV193"/>
      <c r="AW193"/>
      <c r="AX193"/>
      <c r="AY193"/>
      <c r="AZ193"/>
      <c r="BA193"/>
      <c r="BB193"/>
      <c r="BC193"/>
      <c r="BD193"/>
      <c r="BE193"/>
      <c r="BF193"/>
      <c r="BG193"/>
      <c r="BH193"/>
      <c r="BI193"/>
      <c r="BJ193"/>
    </row>
    <row r="194" spans="1:62" ht="15" customHeight="1">
      <c r="B194" s="33"/>
      <c r="C194"/>
      <c r="D194"/>
      <c r="E194"/>
      <c r="F194"/>
      <c r="G194"/>
      <c r="H194"/>
      <c r="I194"/>
      <c r="J194"/>
      <c r="K194"/>
      <c r="L194"/>
      <c r="M194"/>
      <c r="N194"/>
      <c r="O194"/>
      <c r="P194"/>
      <c r="Q194"/>
      <c r="R194"/>
      <c r="S194"/>
      <c r="T194"/>
      <c r="U194"/>
      <c r="V194" s="1241" t="s">
        <v>104</v>
      </c>
      <c r="W194" s="1242"/>
      <c r="X194" s="1243"/>
      <c r="Y194" s="1247" t="str">
        <f>IF(ISERROR(AVERAGE(epm,epp,epr)),"n.b.",ROUND(AVERAGE(D8:J8,D14:H14,O14:S14,D22:K22,Q22:X22)/10,2))</f>
        <v>n.b.</v>
      </c>
      <c r="Z194" s="1248"/>
      <c r="AA194" s="1249"/>
      <c r="AB194" s="1253" t="str">
        <f>+L162</f>
        <v>n.b.</v>
      </c>
      <c r="AC194" s="1254"/>
      <c r="AD194"/>
      <c r="AE194" s="1257"/>
      <c r="AF194" s="1258"/>
      <c r="AG194" s="1258"/>
      <c r="AH194" s="1258"/>
      <c r="AI194" s="1228"/>
      <c r="AJ194" s="1228"/>
      <c r="AK194" s="1228"/>
      <c r="AL194" s="1228"/>
      <c r="AM194" s="1228"/>
      <c r="AN194" s="1228"/>
      <c r="AO194" s="1228"/>
      <c r="AP194" s="1228"/>
      <c r="AQ194" s="1259"/>
      <c r="AR194"/>
      <c r="AS194"/>
      <c r="AT194"/>
      <c r="AU194"/>
      <c r="AV194"/>
      <c r="AW194"/>
      <c r="AX194"/>
      <c r="AY194"/>
      <c r="AZ194"/>
      <c r="BA194"/>
      <c r="BB194"/>
      <c r="BC194"/>
      <c r="BD194"/>
      <c r="BE194"/>
      <c r="BF194"/>
      <c r="BG194"/>
      <c r="BH194"/>
      <c r="BI194"/>
      <c r="BJ194"/>
    </row>
    <row r="195" spans="1:62" ht="19.5" customHeight="1" thickBot="1">
      <c r="B195" s="33"/>
      <c r="C195"/>
      <c r="D195"/>
      <c r="E195"/>
      <c r="F195" s="55"/>
      <c r="G195"/>
      <c r="I195"/>
      <c r="J195" s="187"/>
      <c r="K195" s="166"/>
      <c r="L195"/>
      <c r="M195"/>
      <c r="N195"/>
      <c r="O195"/>
      <c r="P195"/>
      <c r="Q195"/>
      <c r="R195"/>
      <c r="S195"/>
      <c r="T195"/>
      <c r="U195"/>
      <c r="V195" s="1244"/>
      <c r="W195" s="1245"/>
      <c r="X195" s="1246"/>
      <c r="Y195" s="1250"/>
      <c r="Z195" s="1251"/>
      <c r="AA195" s="1252"/>
      <c r="AB195" s="1255"/>
      <c r="AC195" s="1256"/>
      <c r="AD195"/>
      <c r="AE195" s="1257"/>
      <c r="AF195" s="1258"/>
      <c r="AG195" s="1258"/>
      <c r="AH195" s="1258"/>
      <c r="AI195" s="1228"/>
      <c r="AJ195" s="1228"/>
      <c r="AK195" s="1228"/>
      <c r="AL195" s="1228"/>
      <c r="AM195" s="1228"/>
      <c r="AN195" s="1228"/>
      <c r="AO195" s="1228"/>
      <c r="AP195" s="1228"/>
      <c r="AQ195" s="1259"/>
      <c r="AR195"/>
      <c r="AS195"/>
      <c r="AT195"/>
      <c r="AU195"/>
      <c r="AV195"/>
      <c r="AW195"/>
      <c r="AX195"/>
      <c r="AY195"/>
      <c r="AZ195"/>
      <c r="BA195"/>
      <c r="BB195"/>
      <c r="BC195"/>
      <c r="BD195"/>
      <c r="BE195"/>
      <c r="BF195"/>
      <c r="BG195"/>
      <c r="BH195"/>
      <c r="BI195"/>
      <c r="BJ195"/>
    </row>
    <row r="196" spans="1:62" ht="15" customHeight="1" thickBot="1">
      <c r="B196" s="33"/>
      <c r="C196"/>
      <c r="D196"/>
      <c r="E196"/>
      <c r="F196"/>
      <c r="G196"/>
      <c r="H196"/>
      <c r="I196"/>
      <c r="J196"/>
      <c r="K196" s="166"/>
      <c r="L196"/>
      <c r="M196"/>
      <c r="N196"/>
      <c r="O196"/>
      <c r="P196"/>
      <c r="Q196"/>
      <c r="R196"/>
      <c r="S196"/>
      <c r="T196"/>
      <c r="U196"/>
      <c r="V196"/>
      <c r="W196"/>
      <c r="X196"/>
      <c r="Y196" s="208"/>
      <c r="Z196"/>
      <c r="AA196"/>
      <c r="AB196"/>
      <c r="AC196"/>
      <c r="AD196"/>
      <c r="AE196" s="1257"/>
      <c r="AF196" s="1258"/>
      <c r="AG196" s="1258"/>
      <c r="AH196" s="1258"/>
      <c r="AI196" s="1228"/>
      <c r="AJ196" s="1228"/>
      <c r="AK196" s="1228"/>
      <c r="AL196" s="1228"/>
      <c r="AM196" s="1228"/>
      <c r="AN196" s="1228"/>
      <c r="AO196" s="1228"/>
      <c r="AP196" s="1228"/>
      <c r="AQ196" s="1259"/>
      <c r="AR196"/>
      <c r="AS196"/>
      <c r="AT196"/>
      <c r="AU196"/>
      <c r="AV196"/>
      <c r="AW196"/>
      <c r="AX196"/>
      <c r="AY196"/>
      <c r="AZ196"/>
      <c r="BA196"/>
      <c r="BB196"/>
      <c r="BC196"/>
      <c r="BD196"/>
      <c r="BE196"/>
      <c r="BF196"/>
      <c r="BG196"/>
      <c r="BH196"/>
      <c r="BI196"/>
      <c r="BJ196"/>
    </row>
    <row r="197" spans="1:62" ht="19.5" customHeight="1">
      <c r="B197" s="33"/>
      <c r="C197"/>
      <c r="D197"/>
      <c r="E197"/>
      <c r="F197" s="55"/>
      <c r="G197"/>
      <c r="H197"/>
      <c r="I197"/>
      <c r="J197" s="187"/>
      <c r="K197" s="166"/>
      <c r="L197"/>
      <c r="M197"/>
      <c r="N197"/>
      <c r="O197"/>
      <c r="P197"/>
      <c r="Q197"/>
      <c r="R197"/>
      <c r="S197"/>
      <c r="T197"/>
      <c r="U197"/>
      <c r="V197" s="1241" t="s">
        <v>105</v>
      </c>
      <c r="W197" s="1242"/>
      <c r="X197" s="1243"/>
      <c r="Y197" s="1247" t="str">
        <f>IF(ISERROR(AVERAGE(ez,epg,ek)),"n.b.",ROUND(AVERAGE(L29:R29,D36:AH40,U52:Y52)/10,2))</f>
        <v>n.b.</v>
      </c>
      <c r="Z197" s="1248"/>
      <c r="AA197" s="1249"/>
      <c r="AB197" s="1253" t="str">
        <f>+L168</f>
        <v>n.b.</v>
      </c>
      <c r="AC197" s="1254"/>
      <c r="AD197"/>
      <c r="AE197" s="1257"/>
      <c r="AF197" s="1258"/>
      <c r="AG197" s="1258"/>
      <c r="AH197" s="1258"/>
      <c r="AI197" s="1228"/>
      <c r="AJ197" s="1228"/>
      <c r="AK197" s="1228"/>
      <c r="AL197" s="1228"/>
      <c r="AM197" s="1228"/>
      <c r="AN197" s="1228"/>
      <c r="AO197" s="1228"/>
      <c r="AP197" s="1228"/>
      <c r="AQ197" s="1259"/>
      <c r="AR197"/>
      <c r="AS197"/>
      <c r="AT197"/>
      <c r="AU197"/>
      <c r="AV197"/>
      <c r="AW197"/>
      <c r="AX197"/>
      <c r="AY197"/>
      <c r="AZ197"/>
      <c r="BA197"/>
      <c r="BB197"/>
      <c r="BC197"/>
      <c r="BD197"/>
      <c r="BE197"/>
      <c r="BF197"/>
      <c r="BG197"/>
      <c r="BH197"/>
      <c r="BI197"/>
      <c r="BJ197"/>
    </row>
    <row r="198" spans="1:62" ht="15" customHeight="1" thickBot="1">
      <c r="B198" s="33"/>
      <c r="C198" s="22"/>
      <c r="D198" s="22"/>
      <c r="E198" s="22"/>
      <c r="F198" s="22"/>
      <c r="G198" s="22"/>
      <c r="H198" s="22"/>
      <c r="I198" s="22"/>
      <c r="J198" s="22"/>
      <c r="K198" s="22"/>
      <c r="L198" s="22"/>
      <c r="M198" s="22"/>
      <c r="N198" s="22"/>
      <c r="O198" s="25"/>
      <c r="P198" s="22"/>
      <c r="Q198" s="22"/>
      <c r="R198" s="22"/>
      <c r="S198" s="22"/>
      <c r="T198" s="22"/>
      <c r="U198" s="22"/>
      <c r="V198" s="1244"/>
      <c r="W198" s="1245"/>
      <c r="X198" s="1246"/>
      <c r="Y198" s="1250"/>
      <c r="Z198" s="1251"/>
      <c r="AA198" s="1252"/>
      <c r="AB198" s="1255"/>
      <c r="AC198" s="1256"/>
      <c r="AD198" s="22"/>
      <c r="AE198" s="1261"/>
      <c r="AF198" s="1259"/>
      <c r="AG198" s="1259"/>
      <c r="AH198" s="1259"/>
      <c r="AI198" s="1228"/>
      <c r="AJ198" s="1228"/>
      <c r="AK198" s="1228"/>
      <c r="AL198" s="1228"/>
      <c r="AM198" s="1228"/>
      <c r="AN198" s="1228"/>
      <c r="AO198" s="1228"/>
      <c r="AP198" s="1228"/>
      <c r="AQ198" s="1259"/>
      <c r="AR198"/>
      <c r="AS198"/>
      <c r="AT198"/>
      <c r="AU198"/>
      <c r="AV198"/>
      <c r="AW198"/>
      <c r="AX198"/>
      <c r="AY198"/>
      <c r="AZ198"/>
      <c r="BA198"/>
      <c r="BB198"/>
      <c r="BC198"/>
      <c r="BD198"/>
      <c r="BE198"/>
      <c r="BF198"/>
      <c r="BG198"/>
      <c r="BH198"/>
      <c r="BI198"/>
      <c r="BJ198" s="22"/>
    </row>
    <row r="199" spans="1:62" ht="7.5" customHeight="1">
      <c r="B199" s="33"/>
      <c r="C199" s="22"/>
      <c r="D199" s="22"/>
      <c r="E199" s="22"/>
      <c r="F199" s="22"/>
      <c r="G199" s="22"/>
      <c r="H199" s="22"/>
      <c r="I199" s="22"/>
      <c r="J199" s="22"/>
      <c r="K199" s="22"/>
      <c r="L199" s="22"/>
      <c r="M199" s="22"/>
      <c r="N199" s="22"/>
      <c r="O199" s="25"/>
      <c r="P199" s="22"/>
      <c r="Q199" s="22"/>
      <c r="R199" s="22"/>
      <c r="S199" s="22"/>
      <c r="T199" s="22"/>
      <c r="U199" s="22"/>
      <c r="V199" s="756"/>
      <c r="W199" s="756"/>
      <c r="X199" s="756"/>
      <c r="Y199" s="208"/>
      <c r="Z199" s="174"/>
      <c r="AA199" s="174"/>
      <c r="AB199" s="22"/>
      <c r="AC199" s="22"/>
      <c r="AD199" s="22"/>
      <c r="AE199" s="170"/>
      <c r="AF199" s="31"/>
      <c r="AG199" s="31"/>
      <c r="AH199" s="31"/>
      <c r="AI199" s="175"/>
      <c r="AJ199" s="175"/>
      <c r="AK199" s="175"/>
      <c r="AL199" s="175"/>
      <c r="AM199" s="175"/>
      <c r="AN199" s="175"/>
      <c r="AO199" s="175"/>
      <c r="AP199" s="175"/>
      <c r="AQ199" s="31"/>
      <c r="AR199" s="174"/>
      <c r="AS199" s="174"/>
      <c r="AT199" s="756"/>
      <c r="AX199" s="172"/>
      <c r="AY199" s="172"/>
      <c r="BF199" s="172"/>
      <c r="BG199" s="172"/>
      <c r="BH199" s="172"/>
      <c r="BI199" s="173"/>
      <c r="BJ199" s="22"/>
    </row>
    <row r="200" spans="1:62" ht="15" customHeight="1">
      <c r="B200" s="33"/>
      <c r="C200" s="478" t="s">
        <v>449</v>
      </c>
      <c r="D200"/>
      <c r="E200"/>
      <c r="F200"/>
      <c r="G200"/>
      <c r="H200"/>
      <c r="I200" s="22"/>
      <c r="J200"/>
      <c r="K200"/>
      <c r="L200"/>
      <c r="M200"/>
      <c r="N200" s="210"/>
      <c r="O200" s="275"/>
      <c r="P200" s="274"/>
      <c r="Q200" s="210"/>
      <c r="R200" s="210"/>
      <c r="S200" s="218"/>
      <c r="T200" s="218"/>
      <c r="U200" s="210"/>
      <c r="V200" s="210"/>
      <c r="W200" s="210"/>
      <c r="X200" s="210"/>
      <c r="Y200" s="210"/>
      <c r="Z200" s="210"/>
      <c r="AA200"/>
      <c r="AB200"/>
      <c r="AC200"/>
      <c r="AD200"/>
      <c r="AH200" s="23" t="s">
        <v>274</v>
      </c>
      <c r="AX200" s="172"/>
      <c r="AY200" s="172"/>
      <c r="AZ200" s="172"/>
      <c r="BA200" s="172"/>
      <c r="BB200" s="172"/>
      <c r="BC200" s="172"/>
      <c r="BD200" s="172"/>
      <c r="BE200" s="172"/>
      <c r="BF200" s="172"/>
      <c r="BG200" s="172"/>
      <c r="BH200" s="172"/>
      <c r="BI200" s="36"/>
      <c r="BJ200"/>
    </row>
    <row r="201" spans="1:62" ht="7.15" customHeight="1" thickBot="1">
      <c r="B201" s="79"/>
      <c r="C201" s="80"/>
      <c r="D201" s="81"/>
      <c r="E201" s="81"/>
      <c r="F201" s="81"/>
      <c r="G201" s="81"/>
      <c r="H201" s="81"/>
      <c r="I201" s="81"/>
      <c r="J201" s="81"/>
      <c r="K201" s="81"/>
      <c r="L201" s="81"/>
      <c r="M201" s="81"/>
      <c r="N201" s="81"/>
      <c r="O201" s="81"/>
      <c r="P201" s="81"/>
      <c r="Q201" s="81"/>
      <c r="R201" s="81"/>
      <c r="S201" s="81"/>
      <c r="T201" s="81"/>
      <c r="U201" s="81"/>
      <c r="V201" s="81"/>
      <c r="W201" s="81"/>
      <c r="X201" s="81"/>
      <c r="Y201" s="81"/>
      <c r="Z201" s="81"/>
      <c r="AA201" s="81"/>
      <c r="AB201" s="81"/>
      <c r="AC201" s="81"/>
      <c r="AD201" s="81"/>
      <c r="AE201" s="81"/>
      <c r="AF201" s="81"/>
      <c r="AG201" s="81"/>
      <c r="AH201" s="81"/>
      <c r="AI201" s="81"/>
      <c r="AJ201" s="81"/>
      <c r="AK201" s="81"/>
      <c r="AL201" s="81"/>
      <c r="AM201" s="81"/>
      <c r="AN201" s="81"/>
      <c r="AO201" s="81"/>
      <c r="AP201" s="81"/>
      <c r="AQ201" s="81"/>
      <c r="AR201" s="81"/>
      <c r="AS201" s="81"/>
      <c r="AT201" s="81"/>
      <c r="AU201" s="81"/>
      <c r="AV201" s="81"/>
      <c r="AW201" s="81"/>
      <c r="AX201" s="81"/>
      <c r="AY201" s="81"/>
      <c r="AZ201" s="81"/>
      <c r="BA201" s="81"/>
      <c r="BB201" s="81"/>
      <c r="BC201" s="81"/>
      <c r="BD201" s="81"/>
      <c r="BE201" s="81"/>
      <c r="BF201" s="81"/>
      <c r="BG201" s="81"/>
      <c r="BH201" s="81"/>
      <c r="BI201" s="82"/>
      <c r="BJ201"/>
    </row>
    <row r="202" spans="1:62">
      <c r="K202" s="193"/>
      <c r="L202" s="158"/>
    </row>
    <row r="212" spans="11:12">
      <c r="K212" s="193"/>
      <c r="L212" s="158"/>
    </row>
    <row r="213" spans="11:12">
      <c r="L213" s="158"/>
    </row>
    <row r="224" spans="11:12">
      <c r="K224" s="193"/>
      <c r="L224" s="158"/>
    </row>
    <row r="225" spans="11:12">
      <c r="L225" s="158"/>
    </row>
    <row r="236" spans="11:12">
      <c r="K236" s="193"/>
      <c r="L236" s="158"/>
    </row>
    <row r="237" spans="11:12">
      <c r="L237" s="158"/>
    </row>
  </sheetData>
  <sheetProtection formatColumns="0" formatRows="0" selectLockedCells="1" selectUnlockedCells="1"/>
  <mergeCells count="105">
    <mergeCell ref="AE196:AH196"/>
    <mergeCell ref="AI196:AQ196"/>
    <mergeCell ref="V197:X198"/>
    <mergeCell ref="Y197:AA198"/>
    <mergeCell ref="AB197:AC198"/>
    <mergeCell ref="AE197:AH197"/>
    <mergeCell ref="AI197:AQ197"/>
    <mergeCell ref="AE198:AH198"/>
    <mergeCell ref="AI198:AQ198"/>
    <mergeCell ref="AI192:AQ193"/>
    <mergeCell ref="V194:X195"/>
    <mergeCell ref="Y194:AA195"/>
    <mergeCell ref="AB194:AC195"/>
    <mergeCell ref="AE194:AH194"/>
    <mergeCell ref="AI194:AQ194"/>
    <mergeCell ref="AE195:AH195"/>
    <mergeCell ref="AI195:AQ195"/>
    <mergeCell ref="J191:K191"/>
    <mergeCell ref="N191:O191"/>
    <mergeCell ref="R191:S191"/>
    <mergeCell ref="V191:W191"/>
    <mergeCell ref="Y191:Z191"/>
    <mergeCell ref="AE192:AH193"/>
    <mergeCell ref="AW188:BC190"/>
    <mergeCell ref="D189:H189"/>
    <mergeCell ref="I189:L189"/>
    <mergeCell ref="M189:P189"/>
    <mergeCell ref="Q189:T189"/>
    <mergeCell ref="U189:X189"/>
    <mergeCell ref="D188:H188"/>
    <mergeCell ref="I188:L188"/>
    <mergeCell ref="M188:P188"/>
    <mergeCell ref="Q188:T188"/>
    <mergeCell ref="U188:X188"/>
    <mergeCell ref="AE188:AT190"/>
    <mergeCell ref="U91:AV92"/>
    <mergeCell ref="AW91:BI92"/>
    <mergeCell ref="U93:AV94"/>
    <mergeCell ref="AW93:BI94"/>
    <mergeCell ref="U96:AV96"/>
    <mergeCell ref="AW96:BI96"/>
    <mergeCell ref="W85:AV86"/>
    <mergeCell ref="AW85:BI86"/>
    <mergeCell ref="U87:AV88"/>
    <mergeCell ref="AW87:BI88"/>
    <mergeCell ref="U89:AV90"/>
    <mergeCell ref="AW89:BI90"/>
    <mergeCell ref="W80:AV81"/>
    <mergeCell ref="AW80:BI81"/>
    <mergeCell ref="W82:AV82"/>
    <mergeCell ref="AW82:BI82"/>
    <mergeCell ref="W83:AV84"/>
    <mergeCell ref="AW83:BI84"/>
    <mergeCell ref="AI67:AQ67"/>
    <mergeCell ref="AW72:BI73"/>
    <mergeCell ref="AW74:BI75"/>
    <mergeCell ref="AW76:BI77"/>
    <mergeCell ref="W78:AV79"/>
    <mergeCell ref="AW78:BI79"/>
    <mergeCell ref="M57:P57"/>
    <mergeCell ref="D58:H58"/>
    <mergeCell ref="I58:L58"/>
    <mergeCell ref="M58:P58"/>
    <mergeCell ref="BB61:BD61"/>
    <mergeCell ref="BE61:BF61"/>
    <mergeCell ref="BB62:BD64"/>
    <mergeCell ref="BE62:BF64"/>
    <mergeCell ref="AL61:AX62"/>
    <mergeCell ref="AY61:AZ62"/>
    <mergeCell ref="AL64:AX65"/>
    <mergeCell ref="AY64:AZ65"/>
    <mergeCell ref="AN57:AT57"/>
    <mergeCell ref="AS45:AT45"/>
    <mergeCell ref="G48:H48"/>
    <mergeCell ref="M48:N48"/>
    <mergeCell ref="Q48:R48"/>
    <mergeCell ref="W48:X48"/>
    <mergeCell ref="AB48:AC48"/>
    <mergeCell ref="AG48:AH48"/>
    <mergeCell ref="BD48:BE48"/>
    <mergeCell ref="AS52:AT52"/>
    <mergeCell ref="AS36:AT36"/>
    <mergeCell ref="AS38:AT38"/>
    <mergeCell ref="AS40:AT40"/>
    <mergeCell ref="AQ29:AR29"/>
    <mergeCell ref="AS29:AT29"/>
    <mergeCell ref="J33:O33"/>
    <mergeCell ref="P33:R33"/>
    <mergeCell ref="T33:X33"/>
    <mergeCell ref="Z33:AC33"/>
    <mergeCell ref="AE33:AH33"/>
    <mergeCell ref="AQ33:AT33"/>
    <mergeCell ref="L16:M16"/>
    <mergeCell ref="W16:X16"/>
    <mergeCell ref="AQ22:AR22"/>
    <mergeCell ref="AS22:AT22"/>
    <mergeCell ref="O24:P24"/>
    <mergeCell ref="AB24:AC24"/>
    <mergeCell ref="B1:H2"/>
    <mergeCell ref="I1:BC2"/>
    <mergeCell ref="BF1:BI1"/>
    <mergeCell ref="AQ8:AR8"/>
    <mergeCell ref="AS8:AT8"/>
    <mergeCell ref="AQ14:AR14"/>
    <mergeCell ref="AS14:AT14"/>
  </mergeCells>
  <conditionalFormatting sqref="L164:L168 L158:L162 L149:L155">
    <cfRule type="cellIs" dxfId="38" priority="4" stopIfTrue="1" operator="equal">
      <formula>"A"</formula>
    </cfRule>
    <cfRule type="cellIs" dxfId="37" priority="5" stopIfTrue="1" operator="equal">
      <formula>"B"</formula>
    </cfRule>
    <cfRule type="cellIs" dxfId="36" priority="6" stopIfTrue="1" operator="equal">
      <formula>"C"</formula>
    </cfRule>
  </conditionalFormatting>
  <conditionalFormatting sqref="D59:D65">
    <cfRule type="cellIs" dxfId="35" priority="1" stopIfTrue="1" operator="equal">
      <formula>"A"</formula>
    </cfRule>
    <cfRule type="cellIs" dxfId="34" priority="2" stopIfTrue="1" operator="equal">
      <formula>"B"</formula>
    </cfRule>
    <cfRule type="cellIs" dxfId="33" priority="3" stopIfTrue="1" operator="equal">
      <formula>"C"</formula>
    </cfRule>
  </conditionalFormatting>
  <pageMargins left="0.59055118110236227" right="0.39370078740157483" top="0.59055118110236227" bottom="0.39370078740157483" header="0.19685039370078741" footer="0.19685039370078741"/>
  <pageSetup paperSize="9" scale="40" orientation="landscape" r:id="rId1"/>
  <headerFooter scaleWithDoc="0">
    <oddFooter>Page &amp;P of &amp;N</oddFooter>
  </headerFooter>
  <drawing r:id="rId2"/>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roGru3">
    <tabColor indexed="17"/>
    <pageSetUpPr fitToPage="1"/>
  </sheetPr>
  <dimension ref="A1:CB237"/>
  <sheetViews>
    <sheetView showGridLines="0" topLeftCell="B1" zoomScale="80" zoomScaleNormal="80" zoomScaleSheetLayoutView="100" workbookViewId="0">
      <selection activeCell="AG73" sqref="AG73"/>
    </sheetView>
  </sheetViews>
  <sheetFormatPr baseColWidth="10" defaultColWidth="0" defaultRowHeight="14.25"/>
  <cols>
    <col min="1" max="1" width="10.140625" style="197" hidden="1" customWidth="1"/>
    <col min="2" max="2" width="10" style="23" customWidth="1"/>
    <col min="3" max="3" width="3.42578125" style="23" customWidth="1"/>
    <col min="4" max="41" width="5.7109375" style="23" customWidth="1"/>
    <col min="42" max="42" width="7.140625" style="23" customWidth="1"/>
    <col min="43" max="43" width="3" style="23" customWidth="1"/>
    <col min="44" max="44" width="4.5703125" style="23" customWidth="1"/>
    <col min="45" max="45" width="3.140625" style="23" customWidth="1"/>
    <col min="46" max="46" width="10.42578125" style="23" customWidth="1"/>
    <col min="47" max="47" width="5.5703125" style="23" customWidth="1"/>
    <col min="48" max="49" width="4.7109375" style="23" customWidth="1"/>
    <col min="50" max="57" width="5.42578125" style="23" customWidth="1"/>
    <col min="58" max="60" width="7.140625" style="23" customWidth="1"/>
    <col min="61" max="61" width="4.140625" style="23" customWidth="1"/>
    <col min="62" max="62" width="3" style="23" customWidth="1"/>
    <col min="63" max="63" width="11.42578125" style="23" hidden="1" customWidth="1"/>
    <col min="64" max="80" width="9.7109375" style="23" hidden="1" customWidth="1"/>
    <col min="81" max="16384" width="11.42578125" style="23" hidden="1"/>
  </cols>
  <sheetData>
    <row r="1" spans="1:80" ht="19.5" customHeight="1">
      <c r="B1" s="1181"/>
      <c r="C1" s="1182"/>
      <c r="D1" s="1182"/>
      <c r="E1" s="1182"/>
      <c r="F1" s="1182"/>
      <c r="G1" s="1182"/>
      <c r="H1" s="1183"/>
      <c r="I1" s="1187" t="e">
        <f>#REF!</f>
        <v>#REF!</v>
      </c>
      <c r="J1" s="1188"/>
      <c r="K1" s="1188"/>
      <c r="L1" s="1188"/>
      <c r="M1" s="1188"/>
      <c r="N1" s="1188"/>
      <c r="O1" s="1188"/>
      <c r="P1" s="1188"/>
      <c r="Q1" s="1188"/>
      <c r="R1" s="1188"/>
      <c r="S1" s="1188"/>
      <c r="T1" s="1188"/>
      <c r="U1" s="1188"/>
      <c r="V1" s="1188"/>
      <c r="W1" s="1188"/>
      <c r="X1" s="1188"/>
      <c r="Y1" s="1188"/>
      <c r="Z1" s="1188"/>
      <c r="AA1" s="1188"/>
      <c r="AB1" s="1188"/>
      <c r="AC1" s="1188"/>
      <c r="AD1" s="1188"/>
      <c r="AE1" s="1188"/>
      <c r="AF1" s="1188"/>
      <c r="AG1" s="1188"/>
      <c r="AH1" s="1188"/>
      <c r="AI1" s="1188"/>
      <c r="AJ1" s="1188"/>
      <c r="AK1" s="1188"/>
      <c r="AL1" s="1188"/>
      <c r="AM1" s="1188"/>
      <c r="AN1" s="1188"/>
      <c r="AO1" s="1188"/>
      <c r="AP1" s="1188"/>
      <c r="AQ1" s="1188"/>
      <c r="AR1" s="1188"/>
      <c r="AS1" s="1188"/>
      <c r="AT1" s="1188"/>
      <c r="AU1" s="1188"/>
      <c r="AV1" s="1188"/>
      <c r="AW1" s="1188"/>
      <c r="AX1" s="1188"/>
      <c r="AY1" s="1188"/>
      <c r="AZ1" s="1188"/>
      <c r="BA1" s="1188"/>
      <c r="BB1" s="1188"/>
      <c r="BC1" s="1189"/>
      <c r="BD1" s="320" t="e">
        <f>#REF!</f>
        <v>#REF!</v>
      </c>
      <c r="BE1" s="139"/>
      <c r="BF1" s="1193">
        <f>IF('Input Form'!C9="","",'Input Form'!C9)</f>
        <v>29885</v>
      </c>
      <c r="BG1" s="1193"/>
      <c r="BH1" s="1193"/>
      <c r="BI1" s="1194"/>
      <c r="BJ1" s="19"/>
    </row>
    <row r="2" spans="1:80" ht="11.25" customHeight="1" thickBot="1">
      <c r="B2" s="1184"/>
      <c r="C2" s="1185"/>
      <c r="D2" s="1185"/>
      <c r="E2" s="1185"/>
      <c r="F2" s="1185"/>
      <c r="G2" s="1185"/>
      <c r="H2" s="1186"/>
      <c r="I2" s="1190"/>
      <c r="J2" s="1191"/>
      <c r="K2" s="1191"/>
      <c r="L2" s="1191"/>
      <c r="M2" s="1191"/>
      <c r="N2" s="1191"/>
      <c r="O2" s="1191"/>
      <c r="P2" s="1191"/>
      <c r="Q2" s="1191"/>
      <c r="R2" s="1191"/>
      <c r="S2" s="1191"/>
      <c r="T2" s="1191"/>
      <c r="U2" s="1191"/>
      <c r="V2" s="1191"/>
      <c r="W2" s="1191"/>
      <c r="X2" s="1191"/>
      <c r="Y2" s="1191"/>
      <c r="Z2" s="1191"/>
      <c r="AA2" s="1191"/>
      <c r="AB2" s="1191"/>
      <c r="AC2" s="1191"/>
      <c r="AD2" s="1191"/>
      <c r="AE2" s="1191"/>
      <c r="AF2" s="1191"/>
      <c r="AG2" s="1191"/>
      <c r="AH2" s="1191"/>
      <c r="AI2" s="1191"/>
      <c r="AJ2" s="1191"/>
      <c r="AK2" s="1191"/>
      <c r="AL2" s="1191"/>
      <c r="AM2" s="1191"/>
      <c r="AN2" s="1191"/>
      <c r="AO2" s="1191"/>
      <c r="AP2" s="1191"/>
      <c r="AQ2" s="1191"/>
      <c r="AR2" s="1191"/>
      <c r="AS2" s="1191"/>
      <c r="AT2" s="1191"/>
      <c r="AU2" s="1191"/>
      <c r="AV2" s="1191"/>
      <c r="AW2" s="1191"/>
      <c r="AX2" s="1191"/>
      <c r="AY2" s="1191"/>
      <c r="AZ2" s="1191"/>
      <c r="BA2" s="1191"/>
      <c r="BB2" s="1191"/>
      <c r="BC2" s="1192"/>
      <c r="BD2" s="143"/>
      <c r="BE2" s="144"/>
      <c r="BF2" s="144"/>
      <c r="BG2" s="144"/>
      <c r="BH2" s="144"/>
      <c r="BI2" s="145"/>
      <c r="BJ2" s="19"/>
    </row>
    <row r="3" spans="1:80" ht="21.75" customHeight="1">
      <c r="A3" s="200" t="s">
        <v>208</v>
      </c>
      <c r="B3" s="33"/>
      <c r="C3" s="147" t="s">
        <v>24</v>
      </c>
      <c r="D3" s="22"/>
      <c r="E3" s="182" t="e">
        <f>#REF!</f>
        <v>#REF!</v>
      </c>
      <c r="F3" s="22"/>
      <c r="G3" s="22"/>
      <c r="H3" s="22"/>
      <c r="I3" s="22"/>
      <c r="J3" s="22"/>
      <c r="K3" s="22"/>
      <c r="L3" s="22"/>
      <c r="M3" s="22"/>
      <c r="N3" s="22"/>
      <c r="O3" s="25"/>
      <c r="P3" s="22"/>
      <c r="Q3" s="22"/>
      <c r="R3" s="22"/>
      <c r="S3" s="22"/>
      <c r="T3" s="22"/>
      <c r="U3" s="22"/>
      <c r="V3" s="22"/>
      <c r="W3" s="22"/>
      <c r="X3" s="22"/>
      <c r="Y3" s="22"/>
      <c r="Z3" s="22"/>
      <c r="AA3" s="22"/>
      <c r="AB3" s="22"/>
      <c r="AC3" s="22"/>
      <c r="AD3" s="22"/>
      <c r="AE3" s="22"/>
      <c r="AF3" s="22"/>
      <c r="AG3" s="22"/>
      <c r="AH3" s="22"/>
      <c r="AI3" s="22"/>
      <c r="AJ3" s="22"/>
      <c r="AK3" s="22"/>
      <c r="AL3" s="22"/>
      <c r="AM3" s="22"/>
      <c r="AN3" s="22"/>
      <c r="AO3" s="22"/>
      <c r="AP3" s="22"/>
      <c r="AQ3" s="22"/>
      <c r="AR3" s="22"/>
      <c r="AS3" s="22"/>
      <c r="AT3" s="22"/>
      <c r="AU3" s="22"/>
      <c r="AV3" s="22"/>
      <c r="AW3" s="22"/>
      <c r="AX3" s="22"/>
      <c r="AY3" s="22"/>
      <c r="AZ3" s="22"/>
      <c r="BA3" s="22"/>
      <c r="BB3" s="22"/>
      <c r="BC3" s="22"/>
      <c r="BD3" s="22"/>
      <c r="BE3" s="22"/>
      <c r="BF3" s="22"/>
      <c r="BG3" s="22"/>
      <c r="BH3" s="22"/>
      <c r="BI3" s="34"/>
      <c r="BJ3" s="22"/>
    </row>
    <row r="4" spans="1:80" ht="8.25" customHeight="1">
      <c r="B4" s="33"/>
      <c r="C4" s="22"/>
      <c r="D4" s="22"/>
      <c r="E4" s="22"/>
      <c r="F4" s="148"/>
      <c r="G4" s="22"/>
      <c r="H4" s="22"/>
      <c r="I4" s="22"/>
      <c r="J4" s="22"/>
      <c r="K4" s="22"/>
      <c r="L4" s="22"/>
      <c r="M4" s="22"/>
      <c r="N4" s="22"/>
      <c r="O4" s="25"/>
      <c r="P4" s="22"/>
      <c r="Q4" s="22"/>
      <c r="R4" s="22"/>
      <c r="S4" s="22"/>
      <c r="T4" s="22"/>
      <c r="U4" s="22"/>
      <c r="V4" s="22"/>
      <c r="W4" s="22"/>
      <c r="X4" s="22"/>
      <c r="Y4" s="22"/>
      <c r="Z4" s="22"/>
      <c r="AA4" s="22"/>
      <c r="AB4" s="22"/>
      <c r="AC4" s="22"/>
      <c r="AD4" s="22"/>
      <c r="AE4" s="22"/>
      <c r="AF4" s="22"/>
      <c r="AG4" s="22"/>
      <c r="AI4" s="22"/>
      <c r="AJ4" s="22"/>
      <c r="AK4" s="22"/>
      <c r="AL4" s="22"/>
      <c r="AM4" s="22"/>
      <c r="AN4" s="22"/>
      <c r="AO4" s="22"/>
      <c r="AP4" s="22"/>
      <c r="AQ4" s="22"/>
      <c r="AR4" s="22"/>
      <c r="AS4" s="22"/>
      <c r="AT4" s="22"/>
      <c r="AU4" s="22"/>
      <c r="AV4" s="22"/>
      <c r="AW4" s="22"/>
      <c r="AX4" s="22"/>
      <c r="AY4" s="22"/>
      <c r="AZ4" s="22"/>
      <c r="BA4" s="22"/>
      <c r="BB4" s="22"/>
      <c r="BC4" s="22"/>
      <c r="BD4" s="22"/>
      <c r="BE4"/>
      <c r="BF4"/>
      <c r="BG4"/>
      <c r="BH4"/>
      <c r="BI4" s="34"/>
      <c r="BJ4" s="22"/>
    </row>
    <row r="5" spans="1:80" ht="16.149999999999999" customHeight="1">
      <c r="A5" s="757" t="e">
        <f>#REF!</f>
        <v>#REF!</v>
      </c>
      <c r="B5" s="33"/>
      <c r="C5" s="181" t="s">
        <v>138</v>
      </c>
      <c r="D5" s="52" t="str">
        <f>Questions!C12</f>
        <v>Project management</v>
      </c>
      <c r="F5" s="22"/>
      <c r="G5" s="22"/>
      <c r="H5" s="22"/>
      <c r="I5" s="22"/>
      <c r="J5" s="22"/>
      <c r="K5" s="22"/>
      <c r="L5" s="22"/>
      <c r="M5" s="22"/>
      <c r="N5" s="22"/>
      <c r="O5" s="25"/>
      <c r="P5" s="22"/>
      <c r="Q5" s="22"/>
      <c r="R5" s="22"/>
      <c r="S5" s="22"/>
      <c r="T5" s="22"/>
      <c r="U5" s="22"/>
      <c r="V5" s="22"/>
      <c r="W5" s="22"/>
      <c r="X5" s="22"/>
      <c r="Y5" s="22"/>
      <c r="Z5" s="22"/>
      <c r="AA5" s="22"/>
      <c r="AB5" s="22"/>
      <c r="AC5" s="22"/>
      <c r="AD5" s="22"/>
      <c r="AE5" s="22"/>
      <c r="AF5" s="22"/>
      <c r="AG5" s="22"/>
      <c r="AM5" s="22"/>
      <c r="AN5" s="22"/>
      <c r="AO5" s="22"/>
      <c r="AP5" s="22"/>
      <c r="AQ5" s="141" t="e">
        <f>#REF!</f>
        <v>#REF!</v>
      </c>
      <c r="AR5" s="22"/>
      <c r="AS5" s="22"/>
      <c r="AT5" s="22"/>
      <c r="AU5" s="22"/>
      <c r="AV5" s="22"/>
      <c r="AW5" s="22"/>
      <c r="AX5" s="22"/>
      <c r="AY5" s="22"/>
      <c r="AZ5" s="22"/>
      <c r="BA5" s="22"/>
      <c r="BB5" s="22"/>
      <c r="BC5" s="22"/>
      <c r="BD5" s="22"/>
      <c r="BE5"/>
      <c r="BF5"/>
      <c r="BG5"/>
      <c r="BH5"/>
      <c r="BI5" s="34"/>
      <c r="BJ5" s="22"/>
    </row>
    <row r="6" spans="1:80" ht="6.75" customHeight="1">
      <c r="B6" s="33"/>
      <c r="C6" s="24"/>
      <c r="D6" s="22"/>
      <c r="E6" s="149"/>
      <c r="F6" s="22"/>
      <c r="G6" s="22"/>
      <c r="H6" s="22"/>
      <c r="I6" s="22"/>
      <c r="J6" s="22"/>
      <c r="K6" s="22"/>
      <c r="L6" s="22"/>
      <c r="M6" s="22"/>
      <c r="N6" s="22"/>
      <c r="O6" s="25"/>
      <c r="P6" s="22"/>
      <c r="Q6" s="22"/>
      <c r="R6" s="22"/>
      <c r="S6" s="22"/>
      <c r="T6" s="22"/>
      <c r="U6" s="22"/>
      <c r="V6" s="22"/>
      <c r="W6" s="22"/>
      <c r="X6" s="22"/>
      <c r="Y6" s="22"/>
      <c r="Z6" s="22"/>
      <c r="AA6" s="22"/>
      <c r="AB6" s="22"/>
      <c r="AC6" s="22"/>
      <c r="AD6" s="22"/>
      <c r="AE6" s="22"/>
      <c r="AF6" s="22"/>
      <c r="AG6" s="22"/>
      <c r="AH6"/>
      <c r="AI6" s="22"/>
      <c r="AJ6" s="22"/>
      <c r="AK6" s="22"/>
      <c r="AL6" s="22"/>
      <c r="AM6" s="22"/>
      <c r="AN6" s="22"/>
      <c r="AO6" s="22"/>
      <c r="AP6" s="22"/>
      <c r="AQ6" s="22"/>
      <c r="AR6" s="22"/>
      <c r="AS6" s="22"/>
      <c r="AT6" s="22"/>
      <c r="AU6" s="22"/>
      <c r="AV6" s="22"/>
      <c r="AW6" s="22"/>
      <c r="AX6" s="22"/>
      <c r="AY6" s="22"/>
      <c r="AZ6" s="22"/>
      <c r="BA6" s="22"/>
      <c r="BB6" s="22"/>
      <c r="BC6" s="22"/>
      <c r="BD6" s="22"/>
      <c r="BE6"/>
      <c r="BF6"/>
      <c r="BG6"/>
      <c r="BH6"/>
      <c r="BI6" s="34"/>
      <c r="BJ6" s="22"/>
    </row>
    <row r="7" spans="1:80" ht="15" customHeight="1" thickBot="1">
      <c r="A7" s="197" t="s">
        <v>385</v>
      </c>
      <c r="B7" s="33"/>
      <c r="C7" s="24"/>
      <c r="D7" s="321" t="s">
        <v>56</v>
      </c>
      <c r="E7" s="321" t="s">
        <v>186</v>
      </c>
      <c r="F7" s="321" t="s">
        <v>188</v>
      </c>
      <c r="G7" s="321" t="s">
        <v>106</v>
      </c>
      <c r="H7" s="465" t="s">
        <v>304</v>
      </c>
      <c r="I7" s="465" t="s">
        <v>315</v>
      </c>
      <c r="J7" s="321" t="s">
        <v>192</v>
      </c>
      <c r="Q7" s="21"/>
      <c r="R7" s="21"/>
      <c r="S7" s="22"/>
      <c r="T7" s="22"/>
      <c r="U7" s="22"/>
      <c r="V7" s="22"/>
      <c r="W7" s="22"/>
      <c r="X7" s="22"/>
      <c r="Y7" s="22"/>
      <c r="Z7" s="22"/>
      <c r="AA7" s="22"/>
      <c r="AB7" s="22"/>
      <c r="AC7" s="22"/>
      <c r="AD7" s="22"/>
      <c r="AE7" s="22"/>
      <c r="AF7" s="22"/>
      <c r="AG7" s="22"/>
      <c r="AH7"/>
      <c r="AI7" s="22"/>
      <c r="AJ7" s="22"/>
      <c r="AK7" s="22"/>
      <c r="AL7" s="22"/>
      <c r="AM7" s="22"/>
      <c r="AN7" s="22"/>
      <c r="AO7" s="22"/>
      <c r="AP7" s="22"/>
      <c r="AQ7" s="22"/>
      <c r="AR7" s="22"/>
      <c r="AS7" s="22"/>
      <c r="AT7" s="22"/>
      <c r="AU7" s="22"/>
      <c r="AV7" s="22"/>
      <c r="AW7" s="22"/>
      <c r="AX7" s="22"/>
      <c r="AY7" s="22"/>
      <c r="AZ7" s="22"/>
      <c r="BA7" s="22"/>
      <c r="BB7" s="22"/>
      <c r="BC7" s="22"/>
      <c r="BD7" s="22"/>
      <c r="BE7"/>
      <c r="BF7"/>
      <c r="BG7"/>
      <c r="BH7"/>
      <c r="BI7" s="34"/>
      <c r="BJ7" s="22"/>
      <c r="BL7" s="554" t="e">
        <f>#REF!</f>
        <v>#REF!</v>
      </c>
      <c r="BM7" s="477" t="e">
        <f>#REF!</f>
        <v>#REF!</v>
      </c>
      <c r="BN7" s="477" t="e">
        <f>#REF!</f>
        <v>#REF!</v>
      </c>
      <c r="BO7" s="477" t="e">
        <f>#REF!</f>
        <v>#REF!</v>
      </c>
      <c r="BP7" s="477" t="e">
        <f>#REF!</f>
        <v>#REF!</v>
      </c>
    </row>
    <row r="8" spans="1:80" ht="15" customHeight="1" thickBot="1">
      <c r="A8" s="198" t="e">
        <f>IF(COUNT(D8:J8)=0,BL7,IF(MIN(D8:J8)=0,"B","A"))</f>
        <v>#REF!</v>
      </c>
      <c r="B8" s="33"/>
      <c r="C8" s="24"/>
      <c r="D8" s="189" t="e">
        <f>IF(A5=FALSE,$BL$7,IF(ISBLANK(Questions!D13),"--",Questions!D13))</f>
        <v>#REF!</v>
      </c>
      <c r="E8" s="189" t="e">
        <f>IF(A5=FALSE,$BL$7,IF(ISBLANK(Questions!D14),"--",Questions!D14))</f>
        <v>#REF!</v>
      </c>
      <c r="F8" s="189" t="e">
        <f>IF(A5=FALSE,$BL$7,IF(ISBLANK(Questions!D15),"--",Questions!D15))</f>
        <v>#REF!</v>
      </c>
      <c r="G8" s="189" t="e">
        <f>IF(A5=FALSE,$BL$7,IF(ISBLANK(Questions!D16),"--",Questions!D16))</f>
        <v>#REF!</v>
      </c>
      <c r="H8" s="470" t="e">
        <f>IF(A5=FALSE,$BL$7,IF(ISBLANK(Questions!D17),"--",Questions!D17))</f>
        <v>#REF!</v>
      </c>
      <c r="I8" s="470" t="e">
        <f>IF(A5=FALSE,$BL$7,IF(ISBLANK(Questions!D18),"--",Questions!D18))</f>
        <v>#REF!</v>
      </c>
      <c r="J8" s="189" t="e">
        <f>IF(A5=FALSE,$BL$7,IF(ISBLANK(Questions!D19),"--",Questions!D19))</f>
        <v>#REF!</v>
      </c>
      <c r="Q8" s="22"/>
      <c r="R8" s="22"/>
      <c r="S8" s="22"/>
      <c r="T8" s="22"/>
      <c r="U8" s="22"/>
      <c r="V8" s="22"/>
      <c r="W8" s="22"/>
      <c r="X8" s="22"/>
      <c r="Y8" s="22"/>
      <c r="Z8" s="22"/>
      <c r="AA8" s="22"/>
      <c r="AB8" s="22"/>
      <c r="AC8" s="22"/>
      <c r="AD8" s="22"/>
      <c r="AE8" s="22"/>
      <c r="AF8" s="22"/>
      <c r="AG8" s="22"/>
      <c r="AH8"/>
      <c r="AI8" s="22"/>
      <c r="AJ8" s="22"/>
      <c r="AK8" s="22"/>
      <c r="AL8" s="22"/>
      <c r="AM8" s="22"/>
      <c r="AN8" s="22"/>
      <c r="AO8" s="22"/>
      <c r="AP8" s="22"/>
      <c r="AQ8" s="1179" t="s">
        <v>494</v>
      </c>
      <c r="AR8" s="1180"/>
      <c r="AS8" s="1195" t="e">
        <f>IF(AND(A5,BM8&gt;=BN8),ROUND(BP8/BO8,2),BL7)</f>
        <v>#REF!</v>
      </c>
      <c r="AT8" s="1196"/>
      <c r="AU8"/>
      <c r="AV8" s="22"/>
      <c r="AW8" s="22"/>
      <c r="AX8" s="22"/>
      <c r="AY8" s="22"/>
      <c r="AZ8" s="22"/>
      <c r="BA8" s="22"/>
      <c r="BB8" s="22"/>
      <c r="BC8" s="22"/>
      <c r="BD8" s="22"/>
      <c r="BE8"/>
      <c r="BF8"/>
      <c r="BG8"/>
      <c r="BH8"/>
      <c r="BI8" s="34"/>
      <c r="BJ8" s="22"/>
      <c r="BL8" s="575">
        <f>COUNTIF(D8:J8,"&gt;-")</f>
        <v>0</v>
      </c>
      <c r="BM8" s="575">
        <f>COUNT(D8:J8)</f>
        <v>0</v>
      </c>
      <c r="BN8" s="575">
        <v>5</v>
      </c>
      <c r="BO8" s="575" t="e">
        <f>IF(AND($A5,BM8&gt;=BN8),BM8*10,"--")</f>
        <v>#REF!</v>
      </c>
      <c r="BP8" s="575" t="e">
        <f>IF(AND($A5,BM8&gt;=BN8),SUM(D8:J8),"--")</f>
        <v>#REF!</v>
      </c>
    </row>
    <row r="9" spans="1:80" ht="6.75" customHeight="1">
      <c r="B9" s="33"/>
      <c r="C9" s="22"/>
      <c r="D9" s="22"/>
      <c r="E9" s="22"/>
      <c r="F9" s="22"/>
      <c r="G9" s="22"/>
      <c r="H9" s="22"/>
      <c r="I9" s="22"/>
      <c r="J9" s="22"/>
      <c r="K9" s="22"/>
      <c r="L9" s="22"/>
      <c r="M9" s="22"/>
      <c r="N9" s="22"/>
      <c r="O9" s="25"/>
      <c r="P9" s="22"/>
      <c r="Q9" s="22"/>
      <c r="R9" s="22"/>
      <c r="S9" s="22"/>
      <c r="T9" s="22"/>
      <c r="U9" s="22"/>
      <c r="V9" s="22"/>
      <c r="W9" s="22"/>
      <c r="X9" s="22"/>
      <c r="Y9" s="22"/>
      <c r="Z9" s="22"/>
      <c r="AA9" s="22"/>
      <c r="AB9" s="22"/>
      <c r="AC9" s="22"/>
      <c r="AD9" s="22"/>
      <c r="AE9" s="22"/>
      <c r="AF9" s="22"/>
      <c r="AG9" s="22"/>
      <c r="AI9" s="22"/>
      <c r="AJ9" s="22"/>
      <c r="AK9" s="22"/>
      <c r="AL9" s="22"/>
      <c r="AM9" s="22"/>
      <c r="AN9" s="22"/>
      <c r="AO9" s="22"/>
      <c r="AP9" s="22"/>
      <c r="AQ9" s="22"/>
      <c r="AR9" s="22"/>
      <c r="AS9" s="22"/>
      <c r="AT9" s="22"/>
      <c r="AU9" s="22"/>
      <c r="AV9" s="22"/>
      <c r="AW9" s="22"/>
      <c r="AX9" s="22"/>
      <c r="AY9" s="22"/>
      <c r="AZ9" s="22"/>
      <c r="BA9" s="22"/>
      <c r="BB9" s="22"/>
      <c r="BC9" s="22"/>
      <c r="BD9" s="22"/>
      <c r="BE9"/>
      <c r="BF9"/>
      <c r="BG9"/>
      <c r="BH9"/>
      <c r="BI9" s="34"/>
      <c r="BJ9" s="22"/>
    </row>
    <row r="10" spans="1:80" ht="18" customHeight="1">
      <c r="A10" s="758" t="e">
        <f>#REF!</f>
        <v>#REF!</v>
      </c>
      <c r="B10" s="33"/>
      <c r="C10" s="488" t="s">
        <v>139</v>
      </c>
      <c r="D10" s="488" t="str">
        <f>Questions!C20</f>
        <v>Planning the product and process development</v>
      </c>
      <c r="E10" s="489"/>
      <c r="F10" s="489"/>
      <c r="G10" s="489"/>
      <c r="H10" s="489"/>
      <c r="I10" s="489"/>
      <c r="J10" s="489"/>
      <c r="K10" s="489"/>
      <c r="L10" s="489"/>
      <c r="M10" s="489"/>
      <c r="N10" s="489"/>
      <c r="O10" s="490"/>
      <c r="P10" s="489"/>
      <c r="Q10" s="489"/>
      <c r="R10" s="489"/>
      <c r="S10" s="489"/>
      <c r="T10" s="489"/>
      <c r="U10" s="489"/>
      <c r="V10" s="489"/>
      <c r="W10" s="489"/>
      <c r="X10" s="489"/>
      <c r="Y10" s="489"/>
      <c r="Z10" s="489"/>
      <c r="AA10" s="489"/>
      <c r="AB10" s="489"/>
      <c r="AC10" s="489"/>
      <c r="AD10" s="489"/>
      <c r="AE10" s="489"/>
      <c r="AF10" s="489"/>
      <c r="AG10" s="489"/>
      <c r="AH10" s="489"/>
      <c r="AI10" s="489"/>
      <c r="AJ10" s="489"/>
      <c r="AK10" s="489"/>
      <c r="AL10" s="489"/>
      <c r="AM10" s="489"/>
      <c r="AN10" s="489"/>
      <c r="AO10" s="489"/>
      <c r="AP10" s="489"/>
      <c r="AQ10" s="489"/>
      <c r="AR10" s="489"/>
      <c r="AS10" s="489"/>
      <c r="AT10" s="489"/>
      <c r="AU10" s="489"/>
      <c r="AV10" s="489"/>
      <c r="AW10" s="489"/>
      <c r="AX10" s="489"/>
      <c r="AY10" s="489"/>
      <c r="AZ10" s="489"/>
      <c r="BA10" s="489"/>
      <c r="BB10" s="489"/>
      <c r="BC10" s="489"/>
      <c r="BD10" s="489"/>
      <c r="BE10" s="493"/>
      <c r="BF10" s="493"/>
      <c r="BG10" s="493"/>
      <c r="BH10" s="493"/>
      <c r="BI10" s="491"/>
      <c r="BJ10" s="22"/>
    </row>
    <row r="11" spans="1:80" ht="6" customHeight="1">
      <c r="B11" s="33"/>
      <c r="C11" s="25"/>
      <c r="D11" s="25"/>
      <c r="E11" s="22"/>
      <c r="F11" s="22"/>
      <c r="G11" s="22"/>
      <c r="H11" s="22"/>
      <c r="I11" s="22"/>
      <c r="J11" s="22"/>
      <c r="K11" s="22"/>
      <c r="L11" s="22"/>
      <c r="M11" s="22"/>
      <c r="N11" s="22"/>
      <c r="O11" s="25"/>
      <c r="P11" s="22"/>
      <c r="Q11" s="22"/>
      <c r="R11" s="22"/>
      <c r="S11" s="22"/>
      <c r="T11" s="22"/>
      <c r="U11" s="22"/>
      <c r="V11" s="22"/>
      <c r="W11" s="22"/>
      <c r="X11" s="22"/>
      <c r="Y11" s="22"/>
      <c r="Z11" s="22"/>
      <c r="AA11" s="22"/>
      <c r="AB11" s="22"/>
      <c r="AF11" s="22"/>
      <c r="AG11" s="22"/>
      <c r="AH11" s="22"/>
      <c r="AI11" s="22"/>
      <c r="AJ11" s="22"/>
      <c r="AK11" s="22"/>
      <c r="AL11" s="22"/>
      <c r="AM11" s="22"/>
      <c r="AN11" s="22"/>
      <c r="AO11" s="22"/>
      <c r="AP11" s="22"/>
      <c r="AQ11" s="22"/>
      <c r="AR11" s="22"/>
      <c r="AS11" s="22"/>
      <c r="AT11" s="22"/>
      <c r="AU11" s="22"/>
      <c r="AV11" s="22"/>
      <c r="AW11" s="22"/>
      <c r="AX11" s="22"/>
      <c r="AY11" s="22"/>
      <c r="AZ11" s="22"/>
      <c r="BA11" s="22"/>
      <c r="BB11" s="22"/>
      <c r="BC11" s="22"/>
      <c r="BD11" s="22"/>
      <c r="BE11"/>
      <c r="BF11"/>
      <c r="BG11"/>
      <c r="BH11"/>
      <c r="BI11" s="34"/>
      <c r="BJ11" s="22"/>
    </row>
    <row r="12" spans="1:80" ht="14.1" customHeight="1">
      <c r="B12" s="33"/>
      <c r="C12" s="25"/>
      <c r="D12" s="150" t="str">
        <f>Questions!C23</f>
        <v>Product</v>
      </c>
      <c r="F12" s="22"/>
      <c r="G12" s="22"/>
      <c r="H12" s="22"/>
      <c r="I12" s="22"/>
      <c r="K12" s="22"/>
      <c r="L12" s="22"/>
      <c r="M12" s="22"/>
      <c r="N12" s="22"/>
      <c r="O12" s="150" t="str">
        <f>Questions!C24</f>
        <v>Process</v>
      </c>
      <c r="P12" s="22"/>
      <c r="R12" s="150"/>
      <c r="S12" s="150"/>
      <c r="T12" s="150"/>
      <c r="U12" s="150"/>
      <c r="V12" s="150"/>
      <c r="W12" s="150"/>
      <c r="X12" s="150"/>
      <c r="AM12" s="22"/>
      <c r="AN12" s="22"/>
      <c r="AO12" s="22"/>
      <c r="AP12" s="22"/>
      <c r="AQ12" s="22"/>
      <c r="AR12" s="22"/>
      <c r="AS12" s="22"/>
      <c r="AT12" s="22"/>
      <c r="AU12" s="22"/>
      <c r="AV12" s="22"/>
      <c r="AW12" s="22"/>
      <c r="AX12" s="22"/>
      <c r="AY12" s="22"/>
      <c r="AZ12" s="22"/>
      <c r="BA12" s="22"/>
      <c r="BB12" s="22"/>
      <c r="BC12" s="22"/>
      <c r="BD12" s="22"/>
      <c r="BE12"/>
      <c r="BF12"/>
      <c r="BG12"/>
      <c r="BH12"/>
      <c r="BI12" s="34"/>
      <c r="BJ12" s="22"/>
    </row>
    <row r="13" spans="1:80" ht="15" thickBot="1">
      <c r="A13" s="197" t="s">
        <v>386</v>
      </c>
      <c r="B13" s="33"/>
      <c r="C13" s="22"/>
      <c r="D13" s="321" t="s">
        <v>112</v>
      </c>
      <c r="E13" s="465" t="s">
        <v>307</v>
      </c>
      <c r="F13" s="321" t="s">
        <v>114</v>
      </c>
      <c r="G13" s="321" t="s">
        <v>115</v>
      </c>
      <c r="H13" s="321" t="s">
        <v>116</v>
      </c>
      <c r="N13" s="20"/>
      <c r="O13" s="321" t="s">
        <v>112</v>
      </c>
      <c r="P13" s="465" t="s">
        <v>307</v>
      </c>
      <c r="Q13" s="321" t="s">
        <v>114</v>
      </c>
      <c r="R13" s="321" t="s">
        <v>115</v>
      </c>
      <c r="S13" s="321" t="s">
        <v>116</v>
      </c>
      <c r="Z13" s="321" t="s">
        <v>112</v>
      </c>
      <c r="AA13" s="465" t="s">
        <v>307</v>
      </c>
      <c r="AB13" s="321" t="s">
        <v>114</v>
      </c>
      <c r="AC13" s="321" t="s">
        <v>115</v>
      </c>
      <c r="AD13" s="321" t="s">
        <v>116</v>
      </c>
      <c r="AJ13" s="22"/>
      <c r="AM13" s="22"/>
      <c r="AN13" s="22"/>
      <c r="AO13" s="22"/>
      <c r="AP13" s="22"/>
      <c r="AQ13" s="22"/>
      <c r="AR13" s="22"/>
      <c r="AS13" s="22"/>
      <c r="AT13" s="22"/>
      <c r="AU13" s="22"/>
      <c r="AV13" s="22"/>
      <c r="AW13" s="22"/>
      <c r="AX13" s="22"/>
      <c r="AY13" s="22"/>
      <c r="AZ13" s="22"/>
      <c r="BA13" s="22"/>
      <c r="BB13" s="22"/>
      <c r="BC13" s="22"/>
      <c r="BD13" s="22"/>
      <c r="BE13"/>
      <c r="BF13"/>
      <c r="BG13"/>
      <c r="BH13"/>
      <c r="BI13" s="34"/>
      <c r="BJ13" s="22"/>
      <c r="BL13" s="477" t="e">
        <f>#REF!</f>
        <v>#REF!</v>
      </c>
      <c r="BM13" s="477" t="e">
        <f>#REF!</f>
        <v>#REF!</v>
      </c>
      <c r="BN13" s="477" t="e">
        <f>#REF!</f>
        <v>#REF!</v>
      </c>
      <c r="BO13" s="477" t="e">
        <f>#REF!</f>
        <v>#REF!</v>
      </c>
      <c r="BP13" s="477" t="e">
        <f>#REF!</f>
        <v>#REF!</v>
      </c>
      <c r="BR13" s="477" t="e">
        <f>#REF!</f>
        <v>#REF!</v>
      </c>
      <c r="BS13" s="477" t="e">
        <f>#REF!</f>
        <v>#REF!</v>
      </c>
      <c r="BT13" s="477" t="e">
        <f>#REF!</f>
        <v>#REF!</v>
      </c>
      <c r="BU13" s="477" t="e">
        <f>#REF!</f>
        <v>#REF!</v>
      </c>
      <c r="BV13" s="477" t="e">
        <f>#REF!</f>
        <v>#REF!</v>
      </c>
      <c r="BX13" s="477" t="e">
        <f>#REF!</f>
        <v>#REF!</v>
      </c>
      <c r="BY13" s="477" t="e">
        <f>#REF!</f>
        <v>#REF!</v>
      </c>
      <c r="BZ13" s="477" t="e">
        <f>#REF!</f>
        <v>#REF!</v>
      </c>
      <c r="CA13" s="477" t="e">
        <f>#REF!</f>
        <v>#REF!</v>
      </c>
      <c r="CB13" s="477" t="e">
        <f>#REF!</f>
        <v>#REF!</v>
      </c>
    </row>
    <row r="14" spans="1:80" s="26" customFormat="1" ht="15.75" thickBot="1">
      <c r="A14" s="198" t="e">
        <f>IF(COUNT(D14:H14)+COUNT(O14:S14)=0,BL13,IF(MIN(D14:H14,O14:S14)=0,"B","A"))</f>
        <v>#REF!</v>
      </c>
      <c r="B14" s="35"/>
      <c r="C14" s="150"/>
      <c r="D14" s="189" t="e">
        <f>IF($A$10=FALSE,$BL$13,IF(ISBLANK(Questions!$D23),"--",Questions!$D23))</f>
        <v>#REF!</v>
      </c>
      <c r="E14" s="470" t="e">
        <f>IF($A$10=FALSE,$BL$13,IF(ISBLANK(Questions!$D26),"--",Questions!$D26))</f>
        <v>#REF!</v>
      </c>
      <c r="F14" s="189" t="e">
        <f>IF($A$10=FALSE,$BL$13,IF(ISBLANK(Questions!$D29),"--",Questions!$D29))</f>
        <v>#REF!</v>
      </c>
      <c r="G14" s="189" t="e">
        <f>IF($A$10=FALSE,$BL$13,IF(ISBLANK(Questions!$D32),"--",Questions!$D32))</f>
        <v>#REF!</v>
      </c>
      <c r="H14" s="189" t="e">
        <f>IF($A$10=FALSE,$BL$13,IF(ISBLANK(Questions!$D35),"--",Questions!$D35))</f>
        <v>#REF!</v>
      </c>
      <c r="O14" s="189" t="e">
        <f>IF($A$10=FALSE,$BR$13,IF(ISBLANK(Questions!$D24),"--",Questions!$D24))</f>
        <v>#REF!</v>
      </c>
      <c r="P14" s="470" t="e">
        <f>IF($A$10=FALSE,$BR$13,IF(ISBLANK(Questions!$D27),"--",Questions!$D27))</f>
        <v>#REF!</v>
      </c>
      <c r="Q14" s="189" t="e">
        <f>IF($A$10=FALSE,$BR$13,IF(ISBLANK(Questions!$D30),"--",Questions!$D30))</f>
        <v>#REF!</v>
      </c>
      <c r="R14" s="189" t="e">
        <f>IF($A$10=FALSE,$BR$13,IF(ISBLANK(Questions!$D33),"--",Questions!$D33))</f>
        <v>#REF!</v>
      </c>
      <c r="S14" s="189" t="e">
        <f>IF($A$10=FALSE,$BR$13,IF(ISBLANK(Questions!$D36),"--",Questions!$D36))</f>
        <v>#REF!</v>
      </c>
      <c r="Z14" s="748" t="e">
        <f>IF(AND(D14=$BL$13,O14=$BR$13),$BX$13,IF(AND(D14="--",O14="--"),"--",IF(COUNT(D14,O14)&gt;0,ROUND(AVERAGE(D14,O14),2),"/")))</f>
        <v>#REF!</v>
      </c>
      <c r="AA14" s="749" t="e">
        <f>IF(AND(E14=$BL$13,P14=$BR$13),$BX$13,IF(AND(E14="--",P14="--"),"--",IF(COUNT(E14,P14)&gt;0,ROUND(AVERAGE(E14,P14),2),"/")))</f>
        <v>#REF!</v>
      </c>
      <c r="AB14" s="748" t="e">
        <f>IF(AND(F14=$BL$13,Q14=$BR$13),$BX$13,IF(AND(F14="--",Q14="--"),"--",IF(COUNT(F14,Q14)&gt;0,ROUND(AVERAGE(F14,Q14),2),"/")))</f>
        <v>#REF!</v>
      </c>
      <c r="AC14" s="748" t="e">
        <f>IF(AND(G14=$BL$13,R14=$BR$13),$BX$13,IF(AND(G14="--",R14="--"),"--",IF(COUNT(G14,R14)&gt;0,ROUND(AVERAGE(G14,R14),2),"/")))</f>
        <v>#REF!</v>
      </c>
      <c r="AD14" s="748" t="e">
        <f>IF(AND(H14=$BL$13,S14=$BR$13),$BX$13,IF(AND(H14="--",S14="--"),"--",IF(COUNT(H14,S14)&gt;0,ROUND(AVERAGE(H14,S14),2),"/")))</f>
        <v>#REF!</v>
      </c>
      <c r="AJ14" s="22"/>
      <c r="AM14"/>
      <c r="AN14"/>
      <c r="AO14"/>
      <c r="AP14"/>
      <c r="AQ14" s="1179" t="s">
        <v>495</v>
      </c>
      <c r="AR14" s="1180"/>
      <c r="AS14" s="1177" t="e">
        <f>IF(AND(L16=BL13,W16=BR13),BL13,ROUND(CB14/CA14,2))</f>
        <v>#REF!</v>
      </c>
      <c r="AT14" s="1178"/>
      <c r="AU14"/>
      <c r="AV14" s="153"/>
      <c r="AW14" s="153"/>
      <c r="AX14" s="153"/>
      <c r="AY14" s="153"/>
      <c r="AZ14" s="153"/>
      <c r="BA14" s="153"/>
      <c r="BB14" s="153"/>
      <c r="BC14" s="153"/>
      <c r="BD14" s="153"/>
      <c r="BE14"/>
      <c r="BF14"/>
      <c r="BG14"/>
      <c r="BH14"/>
      <c r="BI14" s="36"/>
      <c r="BJ14"/>
      <c r="BL14" s="575">
        <f>COUNTIF(D14:H14,"&gt;-")</f>
        <v>0</v>
      </c>
      <c r="BM14" s="575">
        <f>COUNT(D14:H14)</f>
        <v>0</v>
      </c>
      <c r="BN14" s="575">
        <v>4</v>
      </c>
      <c r="BO14" s="575" t="e">
        <f>IF(AND($A10,BM14&gt;=BN14),BM14*10,"--")</f>
        <v>#REF!</v>
      </c>
      <c r="BP14" s="575" t="e">
        <f>IF(AND($A10,BM14&gt;=BN14),SUM(D14:H14),"--")</f>
        <v>#REF!</v>
      </c>
      <c r="BR14" s="575">
        <f>COUNTIF(O14:S14,"&gt;-")</f>
        <v>0</v>
      </c>
      <c r="BS14" s="575">
        <f>COUNT(O14:S14)</f>
        <v>0</v>
      </c>
      <c r="BT14" s="575">
        <v>4</v>
      </c>
      <c r="BU14" s="575" t="e">
        <f>IF(AND($A10,BS14&gt;=BT14),BS14*10,"--")</f>
        <v>#REF!</v>
      </c>
      <c r="BV14" s="575" t="e">
        <f>IF(AND($A10,BS14&gt;=BT14),SUM(O14:S14),"--")</f>
        <v>#REF!</v>
      </c>
      <c r="BX14" s="575">
        <f>COUNTIF(Z14:AD14,"&gt;-")</f>
        <v>0</v>
      </c>
      <c r="BY14" s="575">
        <f>COUNT(Z14:AD14)</f>
        <v>0</v>
      </c>
      <c r="BZ14" s="575">
        <v>4</v>
      </c>
      <c r="CA14" s="575" t="e">
        <f>IF(AND($A10,BY14&gt;=BZ14),BY14*10,"--")</f>
        <v>#REF!</v>
      </c>
      <c r="CB14" s="575" t="e">
        <f>IF(AND($A10,BY14&gt;=BZ14),SUM(Z14:AD14),"--")</f>
        <v>#REF!</v>
      </c>
    </row>
    <row r="15" spans="1:80" ht="15" thickBot="1">
      <c r="B15" s="33"/>
      <c r="C15" s="22"/>
      <c r="N15" s="150"/>
      <c r="O15" s="22"/>
      <c r="P15" s="22"/>
      <c r="T15" s="22"/>
      <c r="V15" s="22"/>
      <c r="W15" s="22"/>
      <c r="X15"/>
      <c r="Y15"/>
      <c r="Z15"/>
      <c r="AA15"/>
      <c r="AB15"/>
      <c r="AC15"/>
      <c r="AD15"/>
      <c r="AE15"/>
      <c r="AF15"/>
      <c r="AJ15"/>
      <c r="AK15"/>
      <c r="AL15"/>
      <c r="AM15"/>
      <c r="AN15"/>
      <c r="AO15"/>
      <c r="AP15"/>
      <c r="AQ15"/>
      <c r="AR15" s="22"/>
      <c r="AS15" s="22"/>
      <c r="AT15" s="22"/>
      <c r="AU15"/>
      <c r="AV15"/>
      <c r="AW15"/>
      <c r="AX15"/>
      <c r="AY15"/>
      <c r="AZ15"/>
      <c r="BA15"/>
      <c r="BB15"/>
      <c r="BC15"/>
      <c r="BD15"/>
      <c r="BE15"/>
      <c r="BF15"/>
      <c r="BG15"/>
      <c r="BH15"/>
      <c r="BI15" s="36"/>
      <c r="BJ15"/>
    </row>
    <row r="16" spans="1:80" ht="15.75" thickBot="1">
      <c r="B16" s="33"/>
      <c r="C16" s="22"/>
      <c r="K16" s="152" t="s">
        <v>98</v>
      </c>
      <c r="L16" s="1177" t="e">
        <f>IF(AND(A10,BM14&gt;=BN14),ROUND(BP14/BO14,2),BL13)</f>
        <v>#REF!</v>
      </c>
      <c r="M16" s="1178"/>
      <c r="N16" s="20"/>
      <c r="T16" s="151"/>
      <c r="V16" s="152" t="s">
        <v>91</v>
      </c>
      <c r="W16" s="1177" t="e">
        <f>IF(AND(A10,BS14&gt;=BT14),ROUND(BV14/BU14,2),BR13)</f>
        <v>#REF!</v>
      </c>
      <c r="X16" s="1178"/>
      <c r="Y16"/>
      <c r="Z16"/>
      <c r="AA16"/>
      <c r="AB16"/>
      <c r="AC16"/>
      <c r="AD16"/>
      <c r="AE16"/>
      <c r="AF16"/>
      <c r="AJ16"/>
      <c r="AK16"/>
      <c r="AL16"/>
      <c r="AM16"/>
      <c r="AN16"/>
      <c r="AO16"/>
      <c r="AP16"/>
      <c r="AQ16"/>
      <c r="AS16" s="151"/>
      <c r="AT16" s="151"/>
      <c r="AU16"/>
      <c r="AV16"/>
      <c r="AW16"/>
      <c r="AX16"/>
      <c r="AY16"/>
      <c r="AZ16"/>
      <c r="BA16"/>
      <c r="BB16"/>
      <c r="BC16"/>
      <c r="BD16"/>
      <c r="BE16"/>
      <c r="BF16"/>
      <c r="BG16"/>
      <c r="BH16"/>
      <c r="BI16" s="36"/>
      <c r="BJ16"/>
    </row>
    <row r="17" spans="1:80" ht="15">
      <c r="B17" s="33"/>
      <c r="C17" s="22"/>
      <c r="D17" s="22"/>
      <c r="E17" s="22"/>
      <c r="F17" s="22"/>
      <c r="G17" s="22"/>
      <c r="H17" s="22"/>
      <c r="I17" s="22"/>
      <c r="J17" s="22"/>
      <c r="K17" s="22"/>
      <c r="L17" s="22"/>
      <c r="M17" s="22"/>
      <c r="N17" s="22"/>
      <c r="O17" s="25"/>
      <c r="P17" s="22"/>
      <c r="Q17" s="22"/>
      <c r="V17" s="22"/>
      <c r="W17" s="22"/>
      <c r="X17"/>
      <c r="Y17"/>
      <c r="Z17"/>
      <c r="AA17"/>
      <c r="AB17"/>
      <c r="AC17"/>
      <c r="AD17"/>
      <c r="AE17"/>
      <c r="AF17"/>
      <c r="AJ17"/>
      <c r="AK17"/>
      <c r="AL17"/>
      <c r="AM17"/>
      <c r="AN17"/>
      <c r="AO17"/>
      <c r="AP17"/>
      <c r="AQ17"/>
      <c r="AR17"/>
      <c r="AS17"/>
      <c r="AT17"/>
      <c r="AU17"/>
      <c r="AV17"/>
      <c r="AW17"/>
      <c r="AX17"/>
      <c r="AY17"/>
      <c r="AZ17"/>
      <c r="BA17"/>
      <c r="BB17"/>
      <c r="BC17"/>
      <c r="BD17"/>
      <c r="BE17"/>
      <c r="BF17"/>
      <c r="BG17"/>
      <c r="BH17"/>
      <c r="BI17" s="36"/>
      <c r="BJ17"/>
    </row>
    <row r="18" spans="1:80" ht="15.75">
      <c r="A18" s="758" t="e">
        <f>#REF!</f>
        <v>#REF!</v>
      </c>
      <c r="B18" s="33"/>
      <c r="C18" s="488" t="s">
        <v>140</v>
      </c>
      <c r="D18" s="488" t="str">
        <f>Questions!C37</f>
        <v>Implementation of the product and process development</v>
      </c>
      <c r="E18" s="489"/>
      <c r="F18" s="489"/>
      <c r="G18" s="489"/>
      <c r="H18" s="489"/>
      <c r="I18" s="489"/>
      <c r="J18" s="489"/>
      <c r="K18" s="489"/>
      <c r="L18" s="489"/>
      <c r="M18" s="489"/>
      <c r="N18" s="489"/>
      <c r="O18" s="490"/>
      <c r="P18" s="489"/>
      <c r="Q18" s="489"/>
      <c r="R18" s="492"/>
      <c r="S18" s="492"/>
      <c r="T18" s="492"/>
      <c r="U18" s="492"/>
      <c r="V18" s="489"/>
      <c r="W18" s="489"/>
      <c r="X18" s="493"/>
      <c r="Y18" s="493"/>
      <c r="Z18" s="493"/>
      <c r="AA18" s="493"/>
      <c r="AB18" s="493"/>
      <c r="AC18" s="493"/>
      <c r="AD18" s="493"/>
      <c r="AE18" s="493"/>
      <c r="AF18" s="493"/>
      <c r="AG18" s="492"/>
      <c r="AH18" s="492"/>
      <c r="AI18" s="492"/>
      <c r="AJ18" s="493"/>
      <c r="AK18" s="493"/>
      <c r="AL18" s="493"/>
      <c r="AM18" s="493"/>
      <c r="AN18" s="493"/>
      <c r="AO18" s="493"/>
      <c r="AP18" s="493"/>
      <c r="AQ18" s="493"/>
      <c r="AR18" s="493"/>
      <c r="AS18" s="493"/>
      <c r="AT18" s="493"/>
      <c r="AU18" s="493"/>
      <c r="AV18" s="493"/>
      <c r="AW18" s="493"/>
      <c r="AX18" s="493"/>
      <c r="AY18" s="493"/>
      <c r="AZ18" s="493"/>
      <c r="BA18" s="493"/>
      <c r="BB18" s="493"/>
      <c r="BC18" s="493"/>
      <c r="BD18" s="493"/>
      <c r="BE18" s="493"/>
      <c r="BF18" s="493"/>
      <c r="BG18" s="493"/>
      <c r="BH18" s="493"/>
      <c r="BI18" s="494"/>
      <c r="BJ18"/>
    </row>
    <row r="19" spans="1:80" ht="6.75" customHeight="1">
      <c r="B19" s="33"/>
      <c r="C19" s="25"/>
      <c r="D19" s="25"/>
      <c r="E19" s="22"/>
      <c r="F19" s="22"/>
      <c r="G19" s="22"/>
      <c r="H19" s="22"/>
      <c r="I19" s="22"/>
      <c r="J19" s="22"/>
      <c r="K19" s="22"/>
      <c r="L19" s="22"/>
      <c r="M19" s="22"/>
      <c r="N19" s="22"/>
      <c r="O19" s="25"/>
      <c r="P19" s="22"/>
      <c r="Q19" s="22"/>
      <c r="V19" s="22"/>
      <c r="W19" s="22"/>
      <c r="X19"/>
      <c r="Y19"/>
      <c r="Z19"/>
      <c r="AA19"/>
      <c r="AB19"/>
      <c r="AC19"/>
      <c r="AD19"/>
      <c r="AE19"/>
      <c r="AF19"/>
      <c r="AJ19"/>
      <c r="AK19"/>
      <c r="AL19"/>
      <c r="AM19"/>
      <c r="AN19"/>
      <c r="AO19"/>
      <c r="AP19"/>
      <c r="AQ19"/>
      <c r="AR19"/>
      <c r="AS19"/>
      <c r="AT19"/>
      <c r="AU19"/>
      <c r="AV19"/>
      <c r="AW19"/>
      <c r="AX19"/>
      <c r="AY19"/>
      <c r="AZ19"/>
      <c r="BA19"/>
      <c r="BB19"/>
      <c r="BC19"/>
      <c r="BD19"/>
      <c r="BE19"/>
      <c r="BF19"/>
      <c r="BG19"/>
      <c r="BH19"/>
      <c r="BI19" s="36"/>
      <c r="BJ19"/>
    </row>
    <row r="20" spans="1:80" ht="14.1" customHeight="1">
      <c r="B20" s="33"/>
      <c r="C20" s="25"/>
      <c r="D20" s="150" t="e">
        <f>#REF!</f>
        <v>#REF!</v>
      </c>
      <c r="E20" s="22"/>
      <c r="F20" s="22"/>
      <c r="G20" s="22"/>
      <c r="H20" s="22"/>
      <c r="I20" s="22"/>
      <c r="J20" s="22"/>
      <c r="L20" s="22"/>
      <c r="M20" s="22"/>
      <c r="N20" s="22"/>
      <c r="P20" s="155"/>
      <c r="Q20" s="150" t="e">
        <f>#REF!</f>
        <v>#REF!</v>
      </c>
      <c r="R20" s="22"/>
      <c r="T20"/>
      <c r="U20"/>
      <c r="V20"/>
      <c r="W20"/>
      <c r="X20"/>
      <c r="Y20"/>
      <c r="Z20"/>
      <c r="AA20"/>
      <c r="AB20"/>
      <c r="AC20" s="39"/>
      <c r="AL20"/>
      <c r="AM20"/>
      <c r="AN20"/>
      <c r="AO20"/>
      <c r="AP20"/>
      <c r="AQ20"/>
      <c r="AR20"/>
      <c r="AS20"/>
      <c r="AT20"/>
      <c r="AU20"/>
      <c r="AV20"/>
      <c r="AW20"/>
      <c r="AX20"/>
      <c r="AY20"/>
      <c r="AZ20"/>
      <c r="BA20"/>
      <c r="BB20"/>
      <c r="BC20"/>
      <c r="BD20"/>
      <c r="BE20"/>
      <c r="BF20"/>
      <c r="BG20"/>
      <c r="BH20"/>
      <c r="BI20" s="36"/>
      <c r="BJ20"/>
    </row>
    <row r="21" spans="1:80" ht="15" thickBot="1">
      <c r="A21" s="197" t="s">
        <v>387</v>
      </c>
      <c r="B21" s="33"/>
      <c r="C21" s="22"/>
      <c r="D21" s="465" t="s">
        <v>318</v>
      </c>
      <c r="E21" s="321" t="s">
        <v>194</v>
      </c>
      <c r="F21" s="321" t="s">
        <v>195</v>
      </c>
      <c r="G21" s="465" t="s">
        <v>319</v>
      </c>
      <c r="H21" s="321" t="s">
        <v>197</v>
      </c>
      <c r="I21" s="321" t="s">
        <v>198</v>
      </c>
      <c r="J21" s="321" t="s">
        <v>199</v>
      </c>
      <c r="K21" s="465" t="s">
        <v>644</v>
      </c>
      <c r="P21" s="39"/>
      <c r="Q21" s="465" t="s">
        <v>318</v>
      </c>
      <c r="R21" s="321" t="s">
        <v>194</v>
      </c>
      <c r="S21" s="321" t="s">
        <v>195</v>
      </c>
      <c r="T21" s="465" t="s">
        <v>319</v>
      </c>
      <c r="U21" s="321" t="s">
        <v>197</v>
      </c>
      <c r="V21" s="321" t="s">
        <v>198</v>
      </c>
      <c r="W21" s="321" t="s">
        <v>199</v>
      </c>
      <c r="X21" s="465" t="s">
        <v>644</v>
      </c>
      <c r="AC21" s="39"/>
      <c r="AD21" s="465" t="s">
        <v>318</v>
      </c>
      <c r="AE21" s="321" t="s">
        <v>194</v>
      </c>
      <c r="AF21" s="321" t="s">
        <v>195</v>
      </c>
      <c r="AG21" s="465" t="s">
        <v>319</v>
      </c>
      <c r="AH21" s="321" t="s">
        <v>197</v>
      </c>
      <c r="AI21" s="321" t="s">
        <v>198</v>
      </c>
      <c r="AJ21" s="321" t="s">
        <v>199</v>
      </c>
      <c r="AK21" s="465" t="s">
        <v>644</v>
      </c>
      <c r="AQ21"/>
      <c r="AR21"/>
      <c r="AS21"/>
      <c r="AT21"/>
      <c r="AU21"/>
      <c r="AV21"/>
      <c r="AW21"/>
      <c r="AX21"/>
      <c r="AY21"/>
      <c r="AZ21"/>
      <c r="BA21"/>
      <c r="BB21"/>
      <c r="BC21"/>
      <c r="BD21"/>
      <c r="BE21"/>
      <c r="BF21"/>
      <c r="BG21"/>
      <c r="BH21"/>
      <c r="BI21" s="36"/>
      <c r="BJ21"/>
      <c r="BL21" s="477" t="e">
        <f>#REF!</f>
        <v>#REF!</v>
      </c>
      <c r="BM21" s="477" t="e">
        <f>#REF!</f>
        <v>#REF!</v>
      </c>
      <c r="BN21" s="477" t="e">
        <f>#REF!</f>
        <v>#REF!</v>
      </c>
      <c r="BO21" s="477" t="e">
        <f>#REF!</f>
        <v>#REF!</v>
      </c>
      <c r="BP21" s="580" t="e">
        <f>#REF!</f>
        <v>#REF!</v>
      </c>
      <c r="BR21" s="477" t="e">
        <f>#REF!</f>
        <v>#REF!</v>
      </c>
      <c r="BS21" s="477" t="e">
        <f>#REF!</f>
        <v>#REF!</v>
      </c>
      <c r="BT21" s="477" t="e">
        <f>#REF!</f>
        <v>#REF!</v>
      </c>
      <c r="BU21" s="477" t="e">
        <f>#REF!</f>
        <v>#REF!</v>
      </c>
      <c r="BV21" s="580" t="e">
        <f>#REF!</f>
        <v>#REF!</v>
      </c>
      <c r="BX21" s="477" t="e">
        <f>#REF!</f>
        <v>#REF!</v>
      </c>
      <c r="BY21" s="477" t="e">
        <f>#REF!</f>
        <v>#REF!</v>
      </c>
      <c r="BZ21" s="477" t="e">
        <f>#REF!</f>
        <v>#REF!</v>
      </c>
      <c r="CA21" s="477" t="e">
        <f>#REF!</f>
        <v>#REF!</v>
      </c>
      <c r="CB21" s="477" t="e">
        <f>#REF!</f>
        <v>#REF!</v>
      </c>
    </row>
    <row r="22" spans="1:80" s="26" customFormat="1" ht="15" customHeight="1" thickBot="1">
      <c r="A22" s="198" t="e">
        <f>IF(COUNT(D22:K22)+COUNT(Q22:X22)=0,BL21,IF(MIN(D22:K22,Q22:X22)=0,"B","A"))</f>
        <v>#REF!</v>
      </c>
      <c r="B22" s="35"/>
      <c r="C22" s="150"/>
      <c r="D22" s="470" t="e">
        <f>IF($A$18=FALSE,$BL$21,IF(ISBLANK(Questions!$D40),"--",Questions!$D40))</f>
        <v>#REF!</v>
      </c>
      <c r="E22" s="189" t="e">
        <f>IF($A$18=FALSE,$BL$21,IF(ISBLANK(Questions!$D43),"--",Questions!$D43))</f>
        <v>#REF!</v>
      </c>
      <c r="F22" s="189" t="e">
        <f>IF($A$18=FALSE,$BL$21,IF(ISBLANK(Questions!$D46),"--",Questions!$D46))</f>
        <v>#REF!</v>
      </c>
      <c r="G22" s="470" t="e">
        <f>IF($A$18=FALSE,$BL$21,IF(ISBLANK(Questions!$D49),"--",Questions!$D49))</f>
        <v>#REF!</v>
      </c>
      <c r="H22" s="189" t="e">
        <f>IF($A$18=FALSE,$BL$21,IF(ISBLANK(Questions!$D52),"--",Questions!$D52))</f>
        <v>#REF!</v>
      </c>
      <c r="I22" s="908" t="e">
        <f>BL21</f>
        <v>#REF!</v>
      </c>
      <c r="J22" s="908" t="e">
        <f>BL21</f>
        <v>#REF!</v>
      </c>
      <c r="K22" s="189" t="e">
        <f>IF($A$18=FALSE,$BL$21,IF(ISBLANK(Questions!$D59),"--",Questions!$D59))</f>
        <v>#REF!</v>
      </c>
      <c r="P22" s="897"/>
      <c r="Q22" s="806" t="e">
        <f>IF($A$18=FALSE,$BR$21,IF(ISBLANK(Questions!$D41),"--",Questions!$D41))</f>
        <v>#REF!</v>
      </c>
      <c r="R22" s="189" t="e">
        <f>IF($A$18=FALSE,$BR$21,IF(ISBLANK(Questions!$D44),"--",Questions!$D44))</f>
        <v>#REF!</v>
      </c>
      <c r="S22" s="189" t="e">
        <f>IF($A$18=FALSE,$BR$21,IF(ISBLANK(Questions!$D47),"--",Questions!$D47))</f>
        <v>#REF!</v>
      </c>
      <c r="T22" s="470" t="e">
        <f>IF($A$18=FALSE,$BR$21,IF(ISBLANK(Questions!$D50),"--",Questions!$D50))</f>
        <v>#REF!</v>
      </c>
      <c r="U22" s="189" t="e">
        <f>IF($A$18=FALSE,$BR$21,IF(ISBLANK(Questions!$D53),"--",Questions!$D53))</f>
        <v>#REF!</v>
      </c>
      <c r="V22" s="189" t="e">
        <f>IF($A$18=FALSE,$BR$21,IF(ISBLANK(Questions!$D55),"--",Questions!$D55))</f>
        <v>#REF!</v>
      </c>
      <c r="W22" s="189" t="e">
        <f>IF($A$18=FALSE,$BR$21,IF(ISBLANK(Questions!$D57),"--",Questions!$D57))</f>
        <v>#REF!</v>
      </c>
      <c r="X22" s="470" t="e">
        <f>IF($A$18=FALSE,$BR$21,IF(ISBLANK(Questions!$D60),"--",Questions!$D60))</f>
        <v>#REF!</v>
      </c>
      <c r="AC22" s="897"/>
      <c r="AD22" s="807" t="e">
        <f t="shared" ref="AD22:AK22" si="0">IF(AND(D22=$BL$21,Q22=$BR$21),$BX$21,IF(AND(D22="--",Q22="--"),"--",IF(COUNT(D22,Q22)&gt;0,ROUND(AVERAGE(D22,Q22),2),"/")))</f>
        <v>#REF!</v>
      </c>
      <c r="AE22" s="748" t="e">
        <f t="shared" si="0"/>
        <v>#REF!</v>
      </c>
      <c r="AF22" s="748" t="e">
        <f t="shared" si="0"/>
        <v>#REF!</v>
      </c>
      <c r="AG22" s="749" t="e">
        <f t="shared" si="0"/>
        <v>#REF!</v>
      </c>
      <c r="AH22" s="748" t="e">
        <f t="shared" si="0"/>
        <v>#REF!</v>
      </c>
      <c r="AI22" s="748" t="e">
        <f t="shared" si="0"/>
        <v>#REF!</v>
      </c>
      <c r="AJ22" s="748" t="e">
        <f t="shared" si="0"/>
        <v>#REF!</v>
      </c>
      <c r="AK22" s="749" t="e">
        <f t="shared" si="0"/>
        <v>#REF!</v>
      </c>
      <c r="AQ22" s="1179" t="s">
        <v>496</v>
      </c>
      <c r="AR22" s="1180"/>
      <c r="AS22" s="1177" t="e">
        <f>IF(AND(O24=BL21,AB24=BR21),BL21,ROUND(CB22/CA22,2))</f>
        <v>#REF!</v>
      </c>
      <c r="AT22" s="1178"/>
      <c r="AU22"/>
      <c r="AV22" s="153"/>
      <c r="AW22" s="153"/>
      <c r="AX22" s="153"/>
      <c r="AY22" s="153"/>
      <c r="AZ22" s="153"/>
      <c r="BA22" s="153"/>
      <c r="BB22" s="153"/>
      <c r="BC22" s="153"/>
      <c r="BD22" s="153"/>
      <c r="BE22"/>
      <c r="BF22"/>
      <c r="BG22"/>
      <c r="BH22"/>
      <c r="BI22" s="36"/>
      <c r="BJ22"/>
      <c r="BL22" s="575">
        <f>COUNTIF(D22:K22,"&gt;-")</f>
        <v>0</v>
      </c>
      <c r="BM22" s="575">
        <f>COUNT(D22:K22)</f>
        <v>0</v>
      </c>
      <c r="BN22" s="575">
        <v>4</v>
      </c>
      <c r="BO22" s="575" t="e">
        <f>IF(AND($A18,BM22&gt;=BN22),BM22*10,"--")</f>
        <v>#REF!</v>
      </c>
      <c r="BP22" s="581" t="e">
        <f>IF(AND($A18,BM22&gt;=BN22),SUM(D22:K22),"--")</f>
        <v>#REF!</v>
      </c>
      <c r="BR22" s="575">
        <f>COUNTIF(Q22:X22,"&gt;-")</f>
        <v>0</v>
      </c>
      <c r="BS22" s="575">
        <f>COUNT(Q22:X22)</f>
        <v>0</v>
      </c>
      <c r="BT22" s="575">
        <v>6</v>
      </c>
      <c r="BU22" s="575" t="e">
        <f>IF(AND($A18,BS22&gt;=BT22),BS22*10,"--")</f>
        <v>#REF!</v>
      </c>
      <c r="BV22" s="581" t="e">
        <f>IF(AND($A18,BS22&gt;=BT22),SUM(Q22:X22),"--")</f>
        <v>#REF!</v>
      </c>
      <c r="BX22" s="575">
        <f>COUNTIF(AD22:AK22,"&gt;-")</f>
        <v>0</v>
      </c>
      <c r="BY22" s="575">
        <f>COUNT(AD22:AK22)</f>
        <v>0</v>
      </c>
      <c r="BZ22" s="575">
        <v>6</v>
      </c>
      <c r="CA22" s="575" t="e">
        <f>IF(AND($A18,BY22&gt;=BZ22),BY22*10,"--")</f>
        <v>#REF!</v>
      </c>
      <c r="CB22" s="575" t="e">
        <f>IF(AND($A18,BY22&gt;=BZ22),SUM(AD22:AK22),"--")</f>
        <v>#REF!</v>
      </c>
    </row>
    <row r="23" spans="1:80" s="499" customFormat="1" ht="15" customHeight="1" thickBot="1">
      <c r="A23" s="495"/>
      <c r="B23" s="496"/>
      <c r="C23" s="497"/>
      <c r="D23" s="750"/>
      <c r="E23" s="750"/>
      <c r="F23" s="750"/>
      <c r="G23" s="750"/>
      <c r="H23" s="750"/>
      <c r="I23" s="750"/>
      <c r="J23" s="750"/>
      <c r="K23" s="750"/>
      <c r="L23" s="498"/>
      <c r="M23" s="498"/>
      <c r="N23" s="498"/>
      <c r="O23" s="498"/>
      <c r="P23" s="898"/>
      <c r="Q23" s="500"/>
      <c r="R23" s="501"/>
      <c r="S23" s="501"/>
      <c r="V23" s="750"/>
      <c r="W23" s="750"/>
      <c r="X23" s="750"/>
      <c r="Y23" s="750"/>
      <c r="Z23" s="750"/>
      <c r="AA23" s="750"/>
      <c r="AB23" s="750"/>
      <c r="AC23" s="899"/>
      <c r="AD23" s="498"/>
      <c r="AE23" s="498"/>
      <c r="AF23" s="498"/>
      <c r="AG23" s="498"/>
      <c r="AK23" s="500"/>
      <c r="AL23" s="501"/>
      <c r="AM23" s="501"/>
      <c r="AQ23" s="502"/>
      <c r="AR23" s="502"/>
      <c r="AS23" s="501"/>
      <c r="AT23" s="501"/>
      <c r="AU23" s="503"/>
      <c r="AV23" s="504"/>
      <c r="AW23" s="504"/>
      <c r="AX23" s="504"/>
      <c r="AY23" s="504"/>
      <c r="AZ23" s="504"/>
      <c r="BA23" s="504"/>
      <c r="BB23" s="504"/>
      <c r="BC23" s="504"/>
      <c r="BD23" s="504"/>
      <c r="BE23" s="506"/>
      <c r="BF23" s="506"/>
      <c r="BG23" s="506"/>
      <c r="BH23" s="506"/>
      <c r="BI23" s="505"/>
      <c r="BJ23" s="506"/>
    </row>
    <row r="24" spans="1:80" s="499" customFormat="1" ht="15" customHeight="1" thickBot="1">
      <c r="A24" s="495"/>
      <c r="B24" s="496"/>
      <c r="C24" s="497"/>
      <c r="D24" s="750"/>
      <c r="E24" s="750"/>
      <c r="F24" s="750"/>
      <c r="G24" s="750"/>
      <c r="H24" s="750"/>
      <c r="I24" s="750"/>
      <c r="J24" s="750"/>
      <c r="K24" s="750"/>
      <c r="L24" s="498"/>
      <c r="M24" s="498"/>
      <c r="N24" s="152" t="s">
        <v>99</v>
      </c>
      <c r="O24" s="1177" t="e">
        <f>IF(AND(A18,BM22&gt;=BN22),ROUND(BP22/BO22,2),BL21)</f>
        <v>#REF!</v>
      </c>
      <c r="P24" s="1178"/>
      <c r="Q24" s="500"/>
      <c r="R24" s="501"/>
      <c r="S24" s="501"/>
      <c r="V24" s="750"/>
      <c r="W24" s="750"/>
      <c r="X24" s="750"/>
      <c r="Y24" s="750"/>
      <c r="Z24" s="750"/>
      <c r="AA24" s="152" t="s">
        <v>100</v>
      </c>
      <c r="AB24" s="1177" t="e">
        <f>IF(AND(A18,BS22&gt;=BT22),ROUND(BV22/BU22,2),BR21)</f>
        <v>#REF!</v>
      </c>
      <c r="AC24" s="1178"/>
      <c r="AD24" s="498"/>
      <c r="AE24" s="498"/>
      <c r="AF24" s="498"/>
      <c r="AG24" s="498"/>
      <c r="AK24" s="500"/>
      <c r="AL24" s="501"/>
      <c r="AM24" s="501"/>
      <c r="AQ24" s="502"/>
      <c r="AR24" s="502"/>
      <c r="AS24" s="501"/>
      <c r="AT24" s="501"/>
      <c r="AU24" s="503"/>
      <c r="AV24" s="504"/>
      <c r="AW24" s="504"/>
      <c r="AX24" s="504"/>
      <c r="AY24" s="504"/>
      <c r="AZ24" s="504"/>
      <c r="BA24" s="504"/>
      <c r="BB24" s="504"/>
      <c r="BC24" s="504"/>
      <c r="BD24" s="504"/>
      <c r="BE24" s="506"/>
      <c r="BF24" s="506"/>
      <c r="BG24" s="506"/>
      <c r="BH24" s="506"/>
      <c r="BI24" s="505"/>
      <c r="BJ24" s="506"/>
    </row>
    <row r="25" spans="1:80" s="499" customFormat="1" ht="15" customHeight="1">
      <c r="A25" s="495"/>
      <c r="B25" s="496"/>
      <c r="C25" s="497"/>
      <c r="D25" s="750"/>
      <c r="E25" s="750"/>
      <c r="F25" s="750"/>
      <c r="G25" s="750"/>
      <c r="H25" s="750"/>
      <c r="I25" s="750"/>
      <c r="J25" s="750"/>
      <c r="K25" s="498"/>
      <c r="L25" s="498"/>
      <c r="M25" s="498"/>
      <c r="N25" s="498"/>
      <c r="O25" s="498"/>
      <c r="Q25" s="500"/>
      <c r="R25" s="501"/>
      <c r="S25" s="501"/>
      <c r="V25" s="750"/>
      <c r="W25" s="750"/>
      <c r="X25" s="750"/>
      <c r="Y25" s="750"/>
      <c r="Z25" s="750"/>
      <c r="AA25" s="750"/>
      <c r="AB25" s="750"/>
      <c r="AC25" s="498"/>
      <c r="AD25" s="498"/>
      <c r="AE25" s="498"/>
      <c r="AF25" s="498"/>
      <c r="AG25" s="498"/>
      <c r="AJ25" s="500"/>
      <c r="AK25" s="501"/>
      <c r="AL25" s="501"/>
      <c r="AQ25" s="502"/>
      <c r="AR25" s="502"/>
      <c r="AS25" s="501"/>
      <c r="AT25" s="501"/>
      <c r="AU25" s="503"/>
      <c r="AV25" s="504"/>
      <c r="AW25" s="504"/>
      <c r="AX25" s="504"/>
      <c r="AY25" s="504"/>
      <c r="AZ25" s="504"/>
      <c r="BA25" s="504"/>
      <c r="BB25" s="504"/>
      <c r="BC25" s="504"/>
      <c r="BD25" s="504"/>
      <c r="BE25" s="506"/>
      <c r="BF25" s="506"/>
      <c r="BG25" s="506"/>
      <c r="BH25" s="506"/>
      <c r="BI25" s="505"/>
      <c r="BJ25" s="506"/>
    </row>
    <row r="26" spans="1:80" ht="9.9499999999999993" customHeight="1">
      <c r="A26" s="471"/>
      <c r="B26" s="472"/>
      <c r="C26" s="225"/>
      <c r="D26" s="473"/>
      <c r="E26" s="474"/>
      <c r="F26" s="474"/>
      <c r="G26" s="474"/>
      <c r="H26" s="474"/>
      <c r="I26" s="474"/>
      <c r="J26" s="474"/>
      <c r="K26" s="359"/>
      <c r="L26" s="473"/>
      <c r="M26" s="474"/>
      <c r="N26" s="474"/>
      <c r="O26" s="474"/>
      <c r="P26" s="474"/>
      <c r="Q26" s="474"/>
      <c r="R26" s="474"/>
      <c r="S26" s="359"/>
      <c r="T26" s="359"/>
      <c r="U26" s="473"/>
      <c r="V26" s="359"/>
      <c r="W26" s="359"/>
      <c r="X26" s="359"/>
      <c r="Y26" s="359"/>
      <c r="Z26" s="359"/>
      <c r="AA26" s="359"/>
      <c r="AB26" s="359"/>
      <c r="AC26" s="359"/>
      <c r="AD26" s="359"/>
      <c r="AE26" s="359"/>
      <c r="AF26" s="359"/>
      <c r="AG26" s="359"/>
      <c r="AH26" s="359"/>
      <c r="AI26" s="359"/>
      <c r="AJ26" s="359"/>
      <c r="AK26" s="359"/>
      <c r="AL26" s="359"/>
      <c r="AM26" s="359"/>
      <c r="AN26" s="359"/>
      <c r="AO26" s="359"/>
      <c r="AP26" s="359"/>
      <c r="AQ26" s="359"/>
      <c r="AR26" s="359"/>
      <c r="AS26" s="475"/>
      <c r="AT26" s="359"/>
      <c r="AU26" s="359"/>
      <c r="AV26" s="359"/>
      <c r="AW26" s="359"/>
      <c r="AX26" s="359"/>
      <c r="AY26" s="359"/>
      <c r="AZ26" s="359"/>
      <c r="BA26" s="359"/>
      <c r="BB26" s="359"/>
      <c r="BC26" s="359"/>
      <c r="BD26" s="359"/>
      <c r="BE26" s="359"/>
      <c r="BF26" s="359"/>
      <c r="BG26" s="359"/>
      <c r="BH26" s="359"/>
      <c r="BI26" s="476"/>
      <c r="BJ26"/>
    </row>
    <row r="27" spans="1:80" ht="18">
      <c r="A27" s="757" t="e">
        <f>#REF!</f>
        <v>#REF!</v>
      </c>
      <c r="B27" s="33"/>
      <c r="C27" s="180" t="s">
        <v>39</v>
      </c>
      <c r="D27" s="22"/>
      <c r="E27" s="147" t="e">
        <f>#REF!</f>
        <v>#REF!</v>
      </c>
      <c r="F27" s="22"/>
      <c r="G27" s="22"/>
      <c r="H27" s="22"/>
      <c r="I27" s="22"/>
      <c r="J27" s="22"/>
      <c r="K27" s="22"/>
      <c r="L27" s="22"/>
      <c r="M27" s="22"/>
      <c r="N27" s="22"/>
      <c r="O27" s="25"/>
      <c r="P27" s="22"/>
      <c r="Q27" s="22"/>
      <c r="R27" s="22"/>
      <c r="S27" s="22"/>
      <c r="T27" s="22"/>
      <c r="U27" s="22"/>
      <c r="V27"/>
      <c r="W27"/>
      <c r="X27"/>
      <c r="Y27"/>
      <c r="Z27"/>
      <c r="AA27"/>
      <c r="AB27"/>
      <c r="AF27"/>
      <c r="AG27"/>
      <c r="AH27"/>
      <c r="AI27"/>
      <c r="AJ27"/>
      <c r="AK27"/>
      <c r="AL27"/>
      <c r="AM27"/>
      <c r="AN27"/>
      <c r="AO27"/>
      <c r="AP27"/>
      <c r="AQ27"/>
      <c r="AR27"/>
      <c r="AS27"/>
      <c r="AT27"/>
      <c r="AU27"/>
      <c r="AV27"/>
      <c r="AW27"/>
      <c r="AX27"/>
      <c r="AY27"/>
      <c r="AZ27"/>
      <c r="BA27"/>
      <c r="BB27"/>
      <c r="BC27"/>
      <c r="BD27"/>
      <c r="BE27"/>
      <c r="BF27"/>
      <c r="BG27"/>
      <c r="BH27"/>
      <c r="BI27" s="36"/>
      <c r="BJ27"/>
    </row>
    <row r="28" spans="1:80" ht="15" thickBot="1">
      <c r="A28" s="197" t="s">
        <v>388</v>
      </c>
      <c r="B28" s="33"/>
      <c r="C28" s="22"/>
      <c r="D28" s="22"/>
      <c r="E28" s="22"/>
      <c r="F28" s="22"/>
      <c r="G28" s="22"/>
      <c r="H28" s="22"/>
      <c r="I28" s="22"/>
      <c r="J28" s="22"/>
      <c r="K28" s="22"/>
      <c r="L28" s="321" t="s">
        <v>95</v>
      </c>
      <c r="M28" s="321" t="s">
        <v>159</v>
      </c>
      <c r="N28" s="321" t="s">
        <v>160</v>
      </c>
      <c r="O28" s="465" t="s">
        <v>310</v>
      </c>
      <c r="P28" s="465" t="s">
        <v>358</v>
      </c>
      <c r="Q28" s="321" t="s">
        <v>165</v>
      </c>
      <c r="R28" s="321" t="s">
        <v>166</v>
      </c>
      <c r="X28" s="22"/>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2"/>
      <c r="BA28" s="22"/>
      <c r="BB28" s="22"/>
      <c r="BC28" s="22"/>
      <c r="BD28" s="22"/>
      <c r="BE28"/>
      <c r="BF28"/>
      <c r="BG28"/>
      <c r="BH28"/>
      <c r="BI28" s="34"/>
      <c r="BJ28" s="22"/>
      <c r="BL28" s="477" t="e">
        <f>$BL$7</f>
        <v>#REF!</v>
      </c>
      <c r="BM28" s="477" t="e">
        <f>$BM$7</f>
        <v>#REF!</v>
      </c>
      <c r="BN28" s="477" t="e">
        <f>$BN$7</f>
        <v>#REF!</v>
      </c>
      <c r="BO28" s="477" t="s">
        <v>444</v>
      </c>
      <c r="BP28" s="477" t="s">
        <v>305</v>
      </c>
    </row>
    <row r="29" spans="1:80" ht="16.5" thickBot="1">
      <c r="A29" s="198" t="e">
        <f>IF(COUNT(L29:R29)=0,BL28,IF(MIN(L29:R29)=0,"B","A"))</f>
        <v>#REF!</v>
      </c>
      <c r="B29" s="33"/>
      <c r="C29" s="53" t="s">
        <v>141</v>
      </c>
      <c r="D29" s="54" t="str">
        <f>Questions!C61</f>
        <v xml:space="preserve">Supplier Management </v>
      </c>
      <c r="E29" s="22"/>
      <c r="F29" s="22"/>
      <c r="G29" s="22"/>
      <c r="H29" s="22"/>
      <c r="I29" s="22"/>
      <c r="J29" s="22"/>
      <c r="K29" s="22"/>
      <c r="L29" s="189" t="e">
        <f>IF($A$27=FALSE,$BL$28,IF(ISBLANK(Questions!$D62),"--",Questions!$D62))</f>
        <v>#REF!</v>
      </c>
      <c r="M29" s="189" t="e">
        <f>IF($A$27=FALSE,$BL$28,IF(ISBLANK(Questions!$D63),"--",Questions!$D63))</f>
        <v>#REF!</v>
      </c>
      <c r="N29" s="189" t="e">
        <f>IF($A$27=FALSE,$BL$28,IF(ISBLANK(Questions!$D64),"--",Questions!$D64))</f>
        <v>#REF!</v>
      </c>
      <c r="O29" s="470" t="e">
        <f>IF($A$27=FALSE,$BL$28,IF(ISBLANK(Questions!$D65),"--",Questions!$D65))</f>
        <v>#REF!</v>
      </c>
      <c r="P29" s="470" t="e">
        <f>IF($A$27=FALSE,$BL$28,IF(ISBLANK(Questions!$D66),"--",Questions!$D66))</f>
        <v>#REF!</v>
      </c>
      <c r="Q29" s="189" t="e">
        <f>IF($A$27=FALSE,$BL$28,IF(ISBLANK(Questions!$D67),"--",Questions!$D67))</f>
        <v>#REF!</v>
      </c>
      <c r="R29" s="189" t="e">
        <f>IF($A$27=FALSE,$BL$28,IF(ISBLANK(Questions!$D68),"--",Questions!$D68))</f>
        <v>#REF!</v>
      </c>
      <c r="X29" s="22"/>
      <c r="Y29" s="22"/>
      <c r="Z29" s="22"/>
      <c r="AA29" s="22"/>
      <c r="AB29" s="22"/>
      <c r="AC29" s="22"/>
      <c r="AD29" s="22"/>
      <c r="AE29" s="22"/>
      <c r="AF29" s="22"/>
      <c r="AG29" s="22"/>
      <c r="AH29" s="22"/>
      <c r="AI29" s="22"/>
      <c r="AJ29" s="22"/>
      <c r="AK29" s="22"/>
      <c r="AL29" s="22"/>
      <c r="AM29" s="22"/>
      <c r="AN29" s="22"/>
      <c r="AO29" s="22"/>
      <c r="AP29" s="22"/>
      <c r="AQ29" s="1179" t="s">
        <v>497</v>
      </c>
      <c r="AR29" s="1180"/>
      <c r="AS29" s="1195" t="e">
        <f>IF(AND(A27,BM29&gt;=BN29),ROUND(BP29/BO29,2),BL28)</f>
        <v>#REF!</v>
      </c>
      <c r="AT29" s="1196"/>
      <c r="AU29"/>
      <c r="AV29" s="153"/>
      <c r="AW29" s="153"/>
      <c r="AX29" s="153"/>
      <c r="AY29" s="153"/>
      <c r="AZ29" s="153"/>
      <c r="BA29" s="153"/>
      <c r="BB29" s="153"/>
      <c r="BC29" s="153"/>
      <c r="BD29" s="153"/>
      <c r="BE29"/>
      <c r="BF29"/>
      <c r="BG29"/>
      <c r="BH29"/>
      <c r="BI29" s="34"/>
      <c r="BJ29" s="22"/>
      <c r="BL29" s="575">
        <f>COUNTIF(L29:R29,"&gt;-")</f>
        <v>0</v>
      </c>
      <c r="BM29" s="575">
        <f>COUNT(L29:R29)</f>
        <v>0</v>
      </c>
      <c r="BN29" s="575">
        <v>5</v>
      </c>
      <c r="BO29" s="575" t="e">
        <f>IF(AND($A27,BM29&gt;=BN29),BM29*10,"--")</f>
        <v>#REF!</v>
      </c>
      <c r="BP29" s="575" t="e">
        <f>IF(AND($A27,BM29&gt;=BN29),SUM(L29:R29),"--")</f>
        <v>#REF!</v>
      </c>
    </row>
    <row r="30" spans="1:80" ht="15">
      <c r="B30" s="33"/>
      <c r="C30" s="22"/>
      <c r="D30" s="22"/>
      <c r="E30" s="22"/>
      <c r="F30" s="22"/>
      <c r="G30" s="22"/>
      <c r="H30" s="22"/>
      <c r="I30" s="22"/>
      <c r="J30" s="22"/>
      <c r="K30" s="22"/>
      <c r="L30" s="22"/>
      <c r="M30" s="22"/>
      <c r="N30" s="22"/>
      <c r="O30" s="22"/>
      <c r="P30" s="22"/>
      <c r="Q30" s="22"/>
      <c r="R30" s="22"/>
      <c r="S30" s="22"/>
      <c r="T30" s="22"/>
      <c r="U30" s="22"/>
      <c r="V30" s="22"/>
      <c r="W30" s="22"/>
      <c r="X30" s="22"/>
      <c r="Y30" s="22"/>
      <c r="Z30" s="22"/>
      <c r="AA30" s="22"/>
      <c r="AB30" s="22"/>
      <c r="AC30" s="22"/>
      <c r="AD30" s="22"/>
      <c r="AE30" s="22"/>
      <c r="AF30" s="22"/>
      <c r="AG30" s="22"/>
      <c r="AH30" s="22"/>
      <c r="AI30" s="25"/>
      <c r="AJ30" s="25"/>
      <c r="AK30" s="25"/>
      <c r="AL30" s="25"/>
      <c r="AM30" s="22"/>
      <c r="AN30" s="22"/>
      <c r="AO30" s="22"/>
      <c r="AP30" s="22"/>
      <c r="AQ30" s="183"/>
      <c r="AR30" s="183"/>
      <c r="AS30" s="208"/>
      <c r="AT30" s="183"/>
      <c r="AU30" s="183"/>
      <c r="AV30" s="183"/>
      <c r="AW30" s="183"/>
      <c r="AX30" s="183"/>
      <c r="AY30" s="183"/>
      <c r="AZ30" s="183"/>
      <c r="BA30" s="183"/>
      <c r="BB30" s="183"/>
      <c r="BC30" s="183"/>
      <c r="BD30" s="183"/>
      <c r="BE30"/>
      <c r="BF30"/>
      <c r="BG30"/>
      <c r="BH30"/>
      <c r="BI30" s="37"/>
      <c r="BJ30" s="183"/>
    </row>
    <row r="31" spans="1:80" ht="15.75">
      <c r="A31" s="757" t="e">
        <f>#REF!</f>
        <v>#REF!</v>
      </c>
      <c r="B31" s="33"/>
      <c r="C31" s="53" t="s">
        <v>142</v>
      </c>
      <c r="D31" s="54" t="str">
        <f>Questions!C69</f>
        <v xml:space="preserve">Process analysis /
production </v>
      </c>
      <c r="E31" s="25"/>
      <c r="F31" s="25"/>
      <c r="G31" s="25"/>
      <c r="H31" s="25"/>
      <c r="I31" s="25"/>
      <c r="J31" s="25"/>
      <c r="K31" s="25"/>
      <c r="L31" s="25"/>
      <c r="M31" s="25"/>
      <c r="N31" s="25"/>
      <c r="O31" s="25"/>
      <c r="P31" s="25"/>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141"/>
      <c r="AR31"/>
      <c r="AS31" s="25"/>
      <c r="AT31" s="25"/>
      <c r="AU31" s="25"/>
      <c r="AV31" s="25"/>
      <c r="AW31" s="25"/>
      <c r="AX31" s="25"/>
      <c r="AY31" s="25"/>
      <c r="AZ31" s="25"/>
      <c r="BA31" s="25"/>
      <c r="BB31" s="25"/>
      <c r="BC31" s="25"/>
      <c r="BD31" s="25"/>
      <c r="BE31"/>
      <c r="BF31"/>
      <c r="BG31"/>
      <c r="BH31"/>
      <c r="BI31" s="155"/>
      <c r="BJ31" s="25"/>
    </row>
    <row r="32" spans="1:80" ht="15">
      <c r="B32" s="33"/>
      <c r="C32" s="22"/>
      <c r="D32" s="22"/>
      <c r="E32" s="22"/>
      <c r="F32" s="22"/>
      <c r="G32" s="22"/>
      <c r="H32" s="22"/>
      <c r="I32" s="22"/>
      <c r="J32" s="22"/>
      <c r="K32" s="22"/>
      <c r="L32" s="22"/>
      <c r="M32" s="22"/>
      <c r="N32" s="22"/>
      <c r="O32" s="25"/>
      <c r="P32" s="22"/>
      <c r="Q32" s="22"/>
      <c r="R32" s="22"/>
      <c r="S32" s="22"/>
      <c r="T32" s="22"/>
      <c r="U32" s="22"/>
      <c r="V32" s="22"/>
      <c r="W32" s="22"/>
      <c r="X32" s="22"/>
      <c r="Y32" s="22"/>
      <c r="Z32" s="22"/>
      <c r="AA32" s="22"/>
      <c r="AB32" s="22"/>
      <c r="AC32" s="22"/>
      <c r="AD32" s="22"/>
      <c r="AE32" s="22"/>
      <c r="AF32" s="22"/>
      <c r="AG32" s="22"/>
      <c r="AH32" s="22"/>
      <c r="AI32" s="22"/>
      <c r="AJ32" s="22"/>
      <c r="AK32" s="22"/>
      <c r="AL32" s="22"/>
      <c r="AM32" s="22"/>
      <c r="AN32" s="22"/>
      <c r="AO32" s="22"/>
      <c r="AP32" s="22"/>
      <c r="AQ32" s="22"/>
      <c r="AR32" s="22"/>
      <c r="AS32" s="22"/>
      <c r="AT32" s="22"/>
      <c r="AU32" s="22"/>
      <c r="AV32" s="22"/>
      <c r="AW32" s="22"/>
      <c r="AX32" s="22"/>
      <c r="AY32" s="22"/>
      <c r="AZ32" s="22"/>
      <c r="BA32" s="22"/>
      <c r="BB32" s="22"/>
      <c r="BC32" s="22"/>
      <c r="BD32" s="22"/>
      <c r="BE32"/>
      <c r="BF32"/>
      <c r="BG32"/>
      <c r="BH32"/>
      <c r="BI32" s="34"/>
      <c r="BJ32" s="22"/>
    </row>
    <row r="33" spans="1:68" ht="30" customHeight="1">
      <c r="B33" s="33"/>
      <c r="C33"/>
      <c r="D33" s="28" t="e">
        <f>#REF!</f>
        <v>#REF!</v>
      </c>
      <c r="E33" s="29"/>
      <c r="F33" s="29"/>
      <c r="G33" s="29"/>
      <c r="H33" s="29"/>
      <c r="I33"/>
      <c r="J33" s="1199" t="e">
        <f>#REF!</f>
        <v>#REF!</v>
      </c>
      <c r="K33" s="1199" t="e">
        <f>#REF!</f>
        <v>#REF!</v>
      </c>
      <c r="L33" s="1199" t="e">
        <f>#REF!</f>
        <v>#REF!</v>
      </c>
      <c r="M33" s="1199" t="e">
        <f>#REF!</f>
        <v>#REF!</v>
      </c>
      <c r="N33" s="1199" t="e">
        <f>#REF!</f>
        <v>#REF!</v>
      </c>
      <c r="O33" s="1199" t="e">
        <f>#REF!</f>
        <v>#REF!</v>
      </c>
      <c r="P33" s="1199" t="e">
        <f>#REF!</f>
        <v>#REF!</v>
      </c>
      <c r="Q33" s="1199" t="e">
        <f>#REF!</f>
        <v>#REF!</v>
      </c>
      <c r="R33" s="1199" t="e">
        <f>#REF!</f>
        <v>#REF!</v>
      </c>
      <c r="S33" s="29"/>
      <c r="T33" s="1200" t="e">
        <f>#REF!</f>
        <v>#REF!</v>
      </c>
      <c r="U33" s="1200" t="e">
        <f>#REF!</f>
        <v>#REF!</v>
      </c>
      <c r="V33" s="1200" t="e">
        <f>#REF!</f>
        <v>#REF!</v>
      </c>
      <c r="W33" s="1200" t="e">
        <f>#REF!</f>
        <v>#REF!</v>
      </c>
      <c r="X33" s="1200" t="e">
        <f>#REF!</f>
        <v>#REF!</v>
      </c>
      <c r="Z33" s="1200" t="e">
        <f>#REF!</f>
        <v>#REF!</v>
      </c>
      <c r="AA33" s="1200" t="e">
        <f>#REF!</f>
        <v>#REF!</v>
      </c>
      <c r="AB33" s="1200" t="e">
        <f>#REF!</f>
        <v>#REF!</v>
      </c>
      <c r="AC33" s="1200" t="e">
        <f>#REF!</f>
        <v>#REF!</v>
      </c>
      <c r="AD33" s="29"/>
      <c r="AE33" s="1200" t="e">
        <f>#REF!</f>
        <v>#REF!</v>
      </c>
      <c r="AF33" s="1200" t="e">
        <f>#REF!</f>
        <v>#REF!</v>
      </c>
      <c r="AG33" s="1200" t="e">
        <f>#REF!</f>
        <v>#REF!</v>
      </c>
      <c r="AH33" s="1200" t="e">
        <f>#REF!</f>
        <v>#REF!</v>
      </c>
      <c r="AI33" s="29"/>
      <c r="AJ33" s="29"/>
      <c r="AK33" s="29"/>
      <c r="AL33" s="29"/>
      <c r="AM33"/>
      <c r="AN33"/>
      <c r="AO33"/>
      <c r="AP33"/>
      <c r="AQ33" s="1201" t="e">
        <f>#REF!</f>
        <v>#REF!</v>
      </c>
      <c r="AR33" s="1201" t="e">
        <f>#REF!</f>
        <v>#REF!</v>
      </c>
      <c r="AS33" s="1201" t="e">
        <f>#REF!</f>
        <v>#REF!</v>
      </c>
      <c r="AT33" s="1201" t="e">
        <f>#REF!</f>
        <v>#REF!</v>
      </c>
      <c r="AU33" s="29"/>
      <c r="AX33" s="156" t="e">
        <f>#REF!</f>
        <v>#REF!</v>
      </c>
      <c r="AY33" s="29"/>
      <c r="AZ33" s="29"/>
      <c r="BA33" s="29"/>
      <c r="BB33" s="29"/>
      <c r="BC33" s="29"/>
      <c r="BD33" s="29"/>
      <c r="BE33" s="29"/>
      <c r="BF33"/>
      <c r="BG33"/>
      <c r="BH33"/>
      <c r="BI33" s="157"/>
      <c r="BJ33" s="29"/>
    </row>
    <row r="34" spans="1:68">
      <c r="B34" s="33"/>
      <c r="C34" s="20"/>
      <c r="D34" s="281" t="s">
        <v>167</v>
      </c>
      <c r="E34" s="282" t="s">
        <v>76</v>
      </c>
      <c r="F34" s="281" t="s">
        <v>62</v>
      </c>
      <c r="G34" s="281" t="s">
        <v>63</v>
      </c>
      <c r="H34" s="466" t="s">
        <v>331</v>
      </c>
      <c r="I34" s="283"/>
      <c r="J34" s="281" t="s">
        <v>169</v>
      </c>
      <c r="K34" s="282" t="s">
        <v>0</v>
      </c>
      <c r="L34" s="466" t="s">
        <v>89</v>
      </c>
      <c r="M34" s="466" t="s">
        <v>90</v>
      </c>
      <c r="N34" s="281" t="s">
        <v>65</v>
      </c>
      <c r="O34"/>
      <c r="P34" s="466" t="s">
        <v>501</v>
      </c>
      <c r="Q34" s="281" t="s">
        <v>4</v>
      </c>
      <c r="R34" s="281" t="s">
        <v>67</v>
      </c>
      <c r="S34" s="282"/>
      <c r="T34" s="466" t="s">
        <v>342</v>
      </c>
      <c r="U34" s="281" t="s">
        <v>171</v>
      </c>
      <c r="V34" s="466" t="s">
        <v>344</v>
      </c>
      <c r="W34" s="281" t="s">
        <v>70</v>
      </c>
      <c r="X34" s="281" t="s">
        <v>345</v>
      </c>
      <c r="Z34" s="281" t="s">
        <v>71</v>
      </c>
      <c r="AA34" s="281" t="s">
        <v>72</v>
      </c>
      <c r="AB34" s="466" t="s">
        <v>646</v>
      </c>
      <c r="AC34" s="281" t="s">
        <v>176</v>
      </c>
      <c r="AD34" s="283"/>
      <c r="AE34" s="281" t="s">
        <v>179</v>
      </c>
      <c r="AF34" s="281" t="s">
        <v>73</v>
      </c>
      <c r="AG34" s="281" t="s">
        <v>74</v>
      </c>
      <c r="AH34" s="466" t="s">
        <v>348</v>
      </c>
      <c r="AI34" s="284"/>
      <c r="AJ34" s="284"/>
      <c r="AK34" s="284"/>
      <c r="AL34" s="284"/>
      <c r="AM34" s="284"/>
      <c r="AN34" s="284"/>
      <c r="AO34" s="284"/>
      <c r="AP34" s="284"/>
      <c r="AQ34" s="284"/>
      <c r="AR34" s="283"/>
      <c r="AS34" s="285"/>
      <c r="AT34" s="282"/>
      <c r="AU34" s="282"/>
      <c r="AX34" s="281" t="s">
        <v>76</v>
      </c>
      <c r="AY34" s="282" t="s">
        <v>62</v>
      </c>
      <c r="AZ34" s="282" t="s">
        <v>63</v>
      </c>
      <c r="BA34" s="282" t="s">
        <v>2</v>
      </c>
      <c r="BB34" s="282" t="s">
        <v>65</v>
      </c>
      <c r="BC34" s="282" t="s">
        <v>179</v>
      </c>
      <c r="BD34" s="282" t="s">
        <v>73</v>
      </c>
      <c r="BE34" s="282" t="s">
        <v>74</v>
      </c>
      <c r="BF34"/>
      <c r="BG34"/>
      <c r="BH34"/>
      <c r="BI34" s="38"/>
      <c r="BJ34" s="21"/>
    </row>
    <row r="35" spans="1:68" ht="15.75" hidden="1" thickBot="1">
      <c r="B35" s="33"/>
      <c r="C35" s="28"/>
      <c r="D35" s="154" t="s">
        <v>92</v>
      </c>
      <c r="E35" s="154"/>
      <c r="F35" s="21"/>
      <c r="G35" s="21"/>
      <c r="H35" s="467"/>
      <c r="I35" s="154" t="str">
        <f>PrSchr1</f>
        <v>Incoming</v>
      </c>
      <c r="K35" s="21"/>
      <c r="L35" s="468"/>
      <c r="M35" s="468"/>
      <c r="N35" s="21"/>
      <c r="O35"/>
      <c r="P35" s="468"/>
      <c r="Q35" s="21"/>
      <c r="R35" s="21"/>
      <c r="S35" s="21"/>
      <c r="T35" s="468"/>
      <c r="U35" s="21"/>
      <c r="V35" s="468"/>
      <c r="W35" s="21"/>
      <c r="X35" s="21"/>
      <c r="Z35" s="21"/>
      <c r="AA35" s="21"/>
      <c r="AB35" s="468"/>
      <c r="AC35" s="21"/>
      <c r="AD35" s="21"/>
      <c r="AE35" s="21"/>
      <c r="AF35" s="21"/>
      <c r="AG35" s="21"/>
      <c r="AH35" s="468"/>
      <c r="AN35" s="477"/>
      <c r="AO35" s="477"/>
      <c r="AP35" s="477"/>
      <c r="AQ35" s="21"/>
      <c r="AR35" s="28" t="s">
        <v>101</v>
      </c>
      <c r="AS35" s="146"/>
      <c r="AT35" s="140"/>
      <c r="AU35" s="140"/>
      <c r="AX35" s="140"/>
      <c r="AY35" s="140"/>
      <c r="AZ35" s="160"/>
      <c r="BA35" s="160"/>
      <c r="BB35" s="160"/>
      <c r="BC35" s="160"/>
      <c r="BD35" s="160"/>
      <c r="BE35" s="160"/>
      <c r="BF35"/>
      <c r="BG35"/>
      <c r="BH35"/>
      <c r="BI35" s="36"/>
      <c r="BJ35"/>
      <c r="BL35" s="477" t="e">
        <f>$BL$7</f>
        <v>#REF!</v>
      </c>
      <c r="BM35" s="477" t="e">
        <f>$BM$7</f>
        <v>#REF!</v>
      </c>
      <c r="BN35" s="477" t="e">
        <f>$BN$7</f>
        <v>#REF!</v>
      </c>
      <c r="BO35" s="477" t="e">
        <f>BO7</f>
        <v>#REF!</v>
      </c>
      <c r="BP35" s="477" t="e">
        <f>BP7</f>
        <v>#REF!</v>
      </c>
    </row>
    <row r="36" spans="1:68" ht="15.75" hidden="1" thickBot="1">
      <c r="A36" s="198" t="str">
        <f>IF(COUNT(D36:AH36)=0,"n.b.",IF(MIN(D36:H36,J36:O36,P36:R36,T36:X36,Z36:AC36,AE36:AH36)=0,"B","A"))</f>
        <v>n.b.</v>
      </c>
      <c r="B36" s="33"/>
      <c r="C36" s="30" t="e">
        <f>IF(AND(#REF!="X",'Input Form'!E53="x"),"X","&lt;&gt;")</f>
        <v>#REF!</v>
      </c>
      <c r="D36" s="189" t="e">
        <f>IF($A$31=FALSE,$BL$35,IF($C36="X",IF(ISBLANK(Questions!$D72),"--",Questions!$D72),"xx"))</f>
        <v>#REF!</v>
      </c>
      <c r="E36" s="189" t="e">
        <f>IF($A$31=FALSE,$BL$35,IF($C36="X",IF(ISBLANK(Questions!$D83),"--",Questions!$D83),"xx"))</f>
        <v>#REF!</v>
      </c>
      <c r="F36" s="189" t="e">
        <f>IF($A$31=FALSE,$BL$35,IF($C36="X",IF(ISBLANK(Questions!$D94),"--",Questions!$D94),"xx"))</f>
        <v>#REF!</v>
      </c>
      <c r="G36" s="189" t="e">
        <f>IF($A$31=FALSE,$BL$35,IF($C36="X",IF(ISBLANK(Questions!$D105),"--",Questions!$D105),"xx"))</f>
        <v>#REF!</v>
      </c>
      <c r="H36" s="470" t="e">
        <f>IF($A$31=FALSE,$BL$35,IF($C36="X",IF(ISBLANK(Questions!$D116),"--",Questions!$D116),"xx"))</f>
        <v>#REF!</v>
      </c>
      <c r="I36" s="183"/>
      <c r="J36" s="189" t="e">
        <f>IF($A$31=FALSE,$BL$35,IF($C36="X",IF(ISBLANK(Questions!$D128),"--",Questions!$D128),"xx"))</f>
        <v>#REF!</v>
      </c>
      <c r="K36" s="189" t="e">
        <f>IF($A$31=FALSE,$BL$35,IF($C36="X",IF(ISBLANK(Questions!$D139),"--",Questions!$D139),"xx"))</f>
        <v>#REF!</v>
      </c>
      <c r="L36" s="470" t="e">
        <f>IF($A$31=FALSE,$BL$35,IF($C36="X",IF(ISBLANK(Questions!$D150),"--",Questions!$D150),"xx"))</f>
        <v>#REF!</v>
      </c>
      <c r="M36" s="470" t="e">
        <f>IF($A$31=FALSE,$BL$35,IF($C36="X",IF(ISBLANK(Questions!$D161),"--",Questions!$D161),"xx"))</f>
        <v>#REF!</v>
      </c>
      <c r="N36" s="189" t="e">
        <f>IF($A$31=FALSE,$BL$35,IF($C36="X",IF(ISBLANK(Questions!$D172),"--",Questions!$D172),"xx"))</f>
        <v>#REF!</v>
      </c>
      <c r="O36"/>
      <c r="P36" s="470" t="e">
        <f>IF($A$31=FALSE,$BL$35,IF($C36="X",IF(ISBLANK(Questions!$D182),"--",Questions!$D182),"xx"))</f>
        <v>#REF!</v>
      </c>
      <c r="Q36" s="189" t="e">
        <f>IF($A$31=FALSE,$BL$35,IF($C36="X",IF(ISBLANK(Questions!$D193),"--",Questions!$D193),"xx"))</f>
        <v>#REF!</v>
      </c>
      <c r="R36" s="189" t="e">
        <f>IF($A$31=FALSE,$BL$35,IF($C36="X",IF(ISBLANK(Questions!$D204),"--",Questions!$D204),"xx"))</f>
        <v>#REF!</v>
      </c>
      <c r="S36" s="183"/>
      <c r="T36" s="470" t="e">
        <f>IF($A$31=FALSE,$BL$35,IF($C36="X",IF(ISBLANK(Questions!$D216),"--",Questions!$D216),"xx"))</f>
        <v>#REF!</v>
      </c>
      <c r="U36" s="189" t="e">
        <f>IF($A$31=FALSE,$BL$35,IF($C36="X",IF(ISBLANK(Questions!$D227),"--",Questions!$D227),"xx"))</f>
        <v>#REF!</v>
      </c>
      <c r="V36" s="470" t="e">
        <f>IF($A$31=FALSE,$BL$35,IF($C36="X",IF(ISBLANK(Questions!$D238),"--",Questions!$D238),"xx"))</f>
        <v>#REF!</v>
      </c>
      <c r="W36" s="189" t="e">
        <f>IF($A$31=FALSE,$BL$35,IF($C36="X",IF(ISBLANK(Questions!$D249),"--",Questions!$D249),"xx"))</f>
        <v>#REF!</v>
      </c>
      <c r="X36" s="189" t="e">
        <f>IF($A$31=FALSE,$BL$35,IF($C36="X",IF(ISBLANK(Questions!$D260),"--",Questions!$D260),"xx"))</f>
        <v>#REF!</v>
      </c>
      <c r="Z36" s="189" t="e">
        <f>IF($A$31=FALSE,$BL$35,IF($C36="X",IF(ISBLANK(Questions!$D272),"--",Questions!$D272),"xx"))</f>
        <v>#REF!</v>
      </c>
      <c r="AA36" s="189" t="e">
        <f>IF($A$31=FALSE,$BL$35,IF($C36="X",IF(ISBLANK(Questions!$D283),"--",Questions!$D283),"xx"))</f>
        <v>#REF!</v>
      </c>
      <c r="AB36" s="470" t="e">
        <f>IF($A$31=FALSE,$BL$35,IF($C36="X",IF(ISBLANK(Questions!$D294),"--",Questions!$D294),"xx"))</f>
        <v>#REF!</v>
      </c>
      <c r="AC36" s="189" t="e">
        <f>IF($A$31=FALSE,$BL$35,IF($C36="X",IF(ISBLANK(Questions!$D305),"--",Questions!$D305),"xx"))</f>
        <v>#REF!</v>
      </c>
      <c r="AD36" s="183"/>
      <c r="AE36" s="189" t="e">
        <f>IF($A$31=FALSE,$BL$35,IF($C36="X",IF(ISBLANK(Questions!$D317),"--",Questions!$D317),"xx"))</f>
        <v>#REF!</v>
      </c>
      <c r="AF36" s="189" t="e">
        <f>IF($A$31=FALSE,$BL$35,IF($C36="X",IF(ISBLANK(Questions!$D328),"--",Questions!$D328),"xx"))</f>
        <v>#REF!</v>
      </c>
      <c r="AG36" s="189" t="e">
        <f>IF($A$31=FALSE,$BL$35,IF($C36="X",IF(ISBLANK(Questions!$D339),"--",Questions!$D339),"xx"))</f>
        <v>#REF!</v>
      </c>
      <c r="AH36" s="470" t="e">
        <f>IF($A$31=FALSE,$BL$35,IF($C36="X",IF(ISBLANK(Questions!$D350),"--",Questions!$D350),"xx"))</f>
        <v>#REF!</v>
      </c>
      <c r="AN36" s="477"/>
      <c r="AO36" s="477"/>
      <c r="AP36" s="477"/>
      <c r="AQ36" s="27"/>
      <c r="AR36" s="30"/>
      <c r="AS36" s="1197" t="e">
        <f>IF($A$31=FALSE,$BL$35,IF(C36="&lt;&gt;","xx",IF(BM36&lt;BN36,$BL$35,ROUND(BP36/BO36,2))))</f>
        <v>#REF!</v>
      </c>
      <c r="AT36" s="1198"/>
      <c r="AU36"/>
      <c r="AX36" s="602" t="e">
        <f>E36</f>
        <v>#REF!</v>
      </c>
      <c r="AY36" s="602" t="e">
        <f>F36</f>
        <v>#REF!</v>
      </c>
      <c r="AZ36" s="602" t="e">
        <f>G36</f>
        <v>#REF!</v>
      </c>
      <c r="BA36" s="602" t="e">
        <f>M36</f>
        <v>#REF!</v>
      </c>
      <c r="BB36" s="602" t="e">
        <f>N36</f>
        <v>#REF!</v>
      </c>
      <c r="BC36" s="602" t="e">
        <f>AE36</f>
        <v>#REF!</v>
      </c>
      <c r="BD36" s="602" t="e">
        <f>AF36</f>
        <v>#REF!</v>
      </c>
      <c r="BE36" s="602" t="e">
        <f>AG36</f>
        <v>#REF!</v>
      </c>
      <c r="BF36"/>
      <c r="BG36"/>
      <c r="BH36"/>
      <c r="BI36" s="36"/>
      <c r="BJ36"/>
      <c r="BL36" s="575">
        <f>COUNTIF(D36:AH36,"&gt;-")</f>
        <v>0</v>
      </c>
      <c r="BM36" s="575">
        <f>COUNT(D36:AH36)</f>
        <v>0</v>
      </c>
      <c r="BN36" s="575">
        <v>17</v>
      </c>
      <c r="BO36" s="575" t="e">
        <f>IF(AND($A$31,BM36&gt;=BN36),BM36*10,"--")</f>
        <v>#REF!</v>
      </c>
      <c r="BP36" s="575" t="e">
        <f>IF(AND($A$31,BM36&gt;=BN36),SUM(D36:AH36),"--")</f>
        <v>#REF!</v>
      </c>
    </row>
    <row r="37" spans="1:68" ht="15.75" hidden="1" thickBot="1">
      <c r="B37" s="33"/>
      <c r="C37" s="28"/>
      <c r="D37" s="154" t="s">
        <v>93</v>
      </c>
      <c r="E37" s="154"/>
      <c r="F37" s="22"/>
      <c r="G37" s="22"/>
      <c r="H37" s="467"/>
      <c r="I37" s="154" t="str">
        <f>PrSchr2</f>
        <v>Manufacturing</v>
      </c>
      <c r="K37" s="22"/>
      <c r="L37" s="469"/>
      <c r="M37" s="469"/>
      <c r="N37" s="22"/>
      <c r="O37"/>
      <c r="P37" s="469"/>
      <c r="Q37" s="22"/>
      <c r="R37" s="22"/>
      <c r="S37" s="22"/>
      <c r="T37" s="469"/>
      <c r="U37" s="22"/>
      <c r="V37" s="469"/>
      <c r="W37" s="22"/>
      <c r="X37" s="22"/>
      <c r="Z37" s="22"/>
      <c r="AA37" s="22"/>
      <c r="AB37" s="469"/>
      <c r="AC37" s="22"/>
      <c r="AD37" s="22"/>
      <c r="AE37" s="22"/>
      <c r="AF37" s="22"/>
      <c r="AG37" s="22"/>
      <c r="AH37" s="469"/>
      <c r="AN37" s="477"/>
      <c r="AO37" s="477"/>
      <c r="AP37" s="477"/>
      <c r="AQ37" s="22"/>
      <c r="AR37" s="28" t="s">
        <v>102</v>
      </c>
      <c r="AS37" s="332"/>
      <c r="AT37" s="333"/>
      <c r="AU37" s="183"/>
      <c r="AX37" s="503"/>
      <c r="AY37" s="503"/>
      <c r="AZ37" s="503"/>
      <c r="BA37" s="503"/>
      <c r="BB37" s="503"/>
      <c r="BC37" s="503"/>
      <c r="BD37" s="503"/>
      <c r="BE37" s="503"/>
      <c r="BF37"/>
      <c r="BG37"/>
      <c r="BH37"/>
      <c r="BI37" s="36"/>
      <c r="BJ37"/>
      <c r="BL37" s="22"/>
      <c r="BM37" s="22"/>
      <c r="BN37" s="22"/>
      <c r="BO37"/>
      <c r="BP37" s="22"/>
    </row>
    <row r="38" spans="1:68" ht="15.75" hidden="1" thickBot="1">
      <c r="A38" s="198" t="str">
        <f>IF(COUNT(D38:AH38)=0,"n.b.",IF(MIN(D38:H38,J38:O38,P38:R38,T38:X38,Z38:AC38,AE38:AH38)=0,"B","A"))</f>
        <v>n.b.</v>
      </c>
      <c r="B38" s="33"/>
      <c r="C38" s="30" t="e">
        <f>IF(AND(#REF!="X",'Input Form'!E54="x"),"X","&lt;&gt;")</f>
        <v>#REF!</v>
      </c>
      <c r="D38" s="189" t="e">
        <f>IF($A$31=FALSE,$BL$35,IF($C38="X",IF(ISBLANK(Questions!$D73),"--",Questions!$D73),"xx"))</f>
        <v>#REF!</v>
      </c>
      <c r="E38" s="189" t="e">
        <f>IF($A$31=FALSE,$BL$35,IF($C38="X",IF(ISBLANK(Questions!$D84),"--",Questions!$D84),"xx"))</f>
        <v>#REF!</v>
      </c>
      <c r="F38" s="189" t="e">
        <f>IF($A$31=FALSE,$BL$35,IF($C38="X",IF(ISBLANK(Questions!$D95),"--",Questions!$D95),"xx"))</f>
        <v>#REF!</v>
      </c>
      <c r="G38" s="189" t="e">
        <f>IF($A$31=FALSE,$BL$35,IF($C38="X",IF(ISBLANK(Questions!$D106),"--",Questions!$D106),"xx"))</f>
        <v>#REF!</v>
      </c>
      <c r="H38" s="470" t="e">
        <f>IF($A$31=FALSE,$BL$35,IF($C38="X",IF(ISBLANK(Questions!$D117),"--",Questions!$D117),"xx"))</f>
        <v>#REF!</v>
      </c>
      <c r="I38" s="183"/>
      <c r="J38" s="189" t="e">
        <f>IF($A$31=FALSE,$BL$35,IF($C38="X",IF(ISBLANK(Questions!$D129),"--",Questions!$D129),"xx"))</f>
        <v>#REF!</v>
      </c>
      <c r="K38" s="189" t="e">
        <f>IF($A$31=FALSE,$BL$35,IF($C38="X",IF(ISBLANK(Questions!$D140),"--",Questions!$D140),"xx"))</f>
        <v>#REF!</v>
      </c>
      <c r="L38" s="470" t="e">
        <f>IF($A$31=FALSE,$BL$35,IF($C38="X",IF(ISBLANK(Questions!$D151),"--",Questions!$D151),"xx"))</f>
        <v>#REF!</v>
      </c>
      <c r="M38" s="470" t="e">
        <f>IF($A$31=FALSE,$BL$35,IF($C38="X",IF(ISBLANK(Questions!$D162),"--",Questions!$D162),"xx"))</f>
        <v>#REF!</v>
      </c>
      <c r="N38" s="189" t="e">
        <f>IF($A$31=FALSE,$BL$35,IF($C38="X",IF(ISBLANK(Questions!$D173),"--",Questions!$D173),"xx"))</f>
        <v>#REF!</v>
      </c>
      <c r="O38"/>
      <c r="P38" s="470" t="e">
        <f>IF($A$31=FALSE,$BL$35,IF($C38="X",IF(ISBLANK(Questions!$D183),"--",Questions!$D183),"xx"))</f>
        <v>#REF!</v>
      </c>
      <c r="Q38" s="189" t="e">
        <f>IF($A$31=FALSE,$BL$35,IF($C38="X",IF(ISBLANK(Questions!$D194),"--",Questions!$D194),"xx"))</f>
        <v>#REF!</v>
      </c>
      <c r="R38" s="189" t="e">
        <f>IF($A$31=FALSE,$BL$35,IF($C38="X",IF(ISBLANK(Questions!$D205),"--",Questions!$D205),"xx"))</f>
        <v>#REF!</v>
      </c>
      <c r="S38" s="183"/>
      <c r="T38" s="470" t="e">
        <f>IF($A$31=FALSE,$BL$35,IF($C38="X",IF(ISBLANK(Questions!$D217),"--",Questions!$D217),"xx"))</f>
        <v>#REF!</v>
      </c>
      <c r="U38" s="189" t="e">
        <f>IF($A$31=FALSE,$BL$35,IF($C38="X",IF(ISBLANK(Questions!$D228),"--",Questions!$D228),"xx"))</f>
        <v>#REF!</v>
      </c>
      <c r="V38" s="470" t="e">
        <f>IF($A$31=FALSE,$BL$35,IF($C38="X",IF(ISBLANK(Questions!$D239),"--",Questions!$D239),"xx"))</f>
        <v>#REF!</v>
      </c>
      <c r="W38" s="189" t="e">
        <f>IF($A$31=FALSE,$BL$35,IF($C38="X",IF(ISBLANK(Questions!$D250),"--",Questions!$D250),"xx"))</f>
        <v>#REF!</v>
      </c>
      <c r="X38" s="189" t="e">
        <f>IF($A$31=FALSE,$BL$35,IF($C38="X",IF(ISBLANK(Questions!$D261),"--",Questions!$D261),"xx"))</f>
        <v>#REF!</v>
      </c>
      <c r="Z38" s="189" t="e">
        <f>IF($A$31=FALSE,$BL$35,IF($C38="X",IF(ISBLANK(Questions!$D273),"--",Questions!$D273),"xx"))</f>
        <v>#REF!</v>
      </c>
      <c r="AA38" s="189" t="e">
        <f>IF($A$31=FALSE,$BL$35,IF($C38="X",IF(ISBLANK(Questions!$D284),"--",Questions!$D284),"xx"))</f>
        <v>#REF!</v>
      </c>
      <c r="AB38" s="470" t="e">
        <f>IF($A$31=FALSE,$BL$35,IF($C38="X",IF(ISBLANK(Questions!$D295),"--",Questions!$D295),"xx"))</f>
        <v>#REF!</v>
      </c>
      <c r="AC38" s="189" t="e">
        <f>IF($A$31=FALSE,$BL$35,IF($C38="X",IF(ISBLANK(Questions!$D306),"--",Questions!$D306),"xx"))</f>
        <v>#REF!</v>
      </c>
      <c r="AD38" s="183"/>
      <c r="AE38" s="189" t="e">
        <f>IF($A$31=FALSE,$BL$35,IF($C38="X",IF(ISBLANK(Questions!$D318),"--",Questions!$D318),"xx"))</f>
        <v>#REF!</v>
      </c>
      <c r="AF38" s="189" t="e">
        <f>IF($A$31=FALSE,$BL$35,IF($C38="X",IF(ISBLANK(Questions!$D329),"--",Questions!$D329),"xx"))</f>
        <v>#REF!</v>
      </c>
      <c r="AG38" s="189" t="e">
        <f>IF($A$31=FALSE,$BL$35,IF($C38="X",IF(ISBLANK(Questions!$D340),"--",Questions!$D340),"xx"))</f>
        <v>#REF!</v>
      </c>
      <c r="AH38" s="470" t="e">
        <f>IF($A$31=FALSE,$BL$35,IF($C38="X",IF(ISBLANK(Questions!$D351),"--",Questions!$D351),"xx"))</f>
        <v>#REF!</v>
      </c>
      <c r="AN38" s="477"/>
      <c r="AO38" s="477"/>
      <c r="AP38" s="477"/>
      <c r="AQ38" s="27"/>
      <c r="AR38" s="30"/>
      <c r="AS38" s="1197" t="e">
        <f>IF($A$31=FALSE,$BL$35,IF(C38="&lt;&gt;","xx",IF(BM38&lt;BN38,$BL$35,ROUND(BP38/BO38,2))))</f>
        <v>#REF!</v>
      </c>
      <c r="AT38" s="1198"/>
      <c r="AU38"/>
      <c r="AX38" s="602" t="e">
        <f>E38</f>
        <v>#REF!</v>
      </c>
      <c r="AY38" s="602" t="e">
        <f>F38</f>
        <v>#REF!</v>
      </c>
      <c r="AZ38" s="602" t="e">
        <f>G38</f>
        <v>#REF!</v>
      </c>
      <c r="BA38" s="602" t="e">
        <f>M38</f>
        <v>#REF!</v>
      </c>
      <c r="BB38" s="602" t="e">
        <f>N38</f>
        <v>#REF!</v>
      </c>
      <c r="BC38" s="602" t="e">
        <f>AE38</f>
        <v>#REF!</v>
      </c>
      <c r="BD38" s="602" t="e">
        <f>AF38</f>
        <v>#REF!</v>
      </c>
      <c r="BE38" s="602" t="e">
        <f>AG38</f>
        <v>#REF!</v>
      </c>
      <c r="BF38"/>
      <c r="BG38"/>
      <c r="BH38"/>
      <c r="BI38" s="36"/>
      <c r="BJ38"/>
      <c r="BL38" s="575">
        <f>COUNTIF(D38:AH38,"&gt;-")</f>
        <v>0</v>
      </c>
      <c r="BM38" s="575">
        <f>COUNT(D38:AH38)</f>
        <v>0</v>
      </c>
      <c r="BN38" s="575">
        <v>17</v>
      </c>
      <c r="BO38" s="575" t="e">
        <f>IF(AND($A$31,BM38&gt;=BN38),BM38*10,"--")</f>
        <v>#REF!</v>
      </c>
      <c r="BP38" s="575" t="e">
        <f>IF(AND($A$31,BM38&gt;=BN38),SUM(D38:AH38),"--")</f>
        <v>#REF!</v>
      </c>
    </row>
    <row r="39" spans="1:68" ht="15.75" hidden="1" thickBot="1">
      <c r="B39" s="33"/>
      <c r="C39" s="28"/>
      <c r="D39" s="154" t="s">
        <v>94</v>
      </c>
      <c r="E39" s="154"/>
      <c r="F39" s="22"/>
      <c r="G39" s="22"/>
      <c r="H39" s="467"/>
      <c r="I39" s="154" t="str">
        <f>PrSchr3</f>
        <v>Shipping</v>
      </c>
      <c r="K39" s="22"/>
      <c r="L39" s="469"/>
      <c r="M39" s="469"/>
      <c r="N39" s="22"/>
      <c r="O39"/>
      <c r="P39" s="469"/>
      <c r="Q39" s="22"/>
      <c r="R39" s="22"/>
      <c r="S39" s="22"/>
      <c r="T39" s="469"/>
      <c r="U39" s="22"/>
      <c r="V39" s="469"/>
      <c r="W39" s="22"/>
      <c r="X39" s="22"/>
      <c r="Z39" s="22"/>
      <c r="AA39" s="22"/>
      <c r="AB39" s="469"/>
      <c r="AC39" s="22"/>
      <c r="AD39" s="22"/>
      <c r="AE39" s="22"/>
      <c r="AF39" s="22"/>
      <c r="AG39" s="22"/>
      <c r="AH39" s="469"/>
      <c r="AN39" s="477"/>
      <c r="AO39" s="477"/>
      <c r="AP39" s="477"/>
      <c r="AQ39" s="22"/>
      <c r="AR39" s="28" t="s">
        <v>103</v>
      </c>
      <c r="AS39" s="183"/>
      <c r="AT39" s="183"/>
      <c r="AU39" s="183"/>
      <c r="AX39" s="503"/>
      <c r="AY39" s="503"/>
      <c r="AZ39" s="503"/>
      <c r="BA39" s="503"/>
      <c r="BB39" s="503"/>
      <c r="BC39" s="503"/>
      <c r="BD39" s="503"/>
      <c r="BE39" s="503"/>
      <c r="BF39"/>
      <c r="BG39"/>
      <c r="BH39"/>
      <c r="BI39" s="36"/>
      <c r="BJ39"/>
      <c r="BL39" s="22"/>
      <c r="BM39" s="22"/>
      <c r="BN39" s="22"/>
      <c r="BO39"/>
      <c r="BP39" s="22"/>
    </row>
    <row r="40" spans="1:68" ht="15.75" hidden="1" thickBot="1">
      <c r="A40" s="198" t="str">
        <f>IF(COUNT(D40:AH40)=0,"n.b.",IF(MIN(D40:H40,J40:O40,P40:R40,T40:X40,Z40:AC40,AE40:AH40)=0,"B","A"))</f>
        <v>n.b.</v>
      </c>
      <c r="B40" s="33"/>
      <c r="C40" s="30" t="e">
        <f>IF(AND(#REF!="X",'Input Form'!E55="x"),"X","&lt;&gt;")</f>
        <v>#REF!</v>
      </c>
      <c r="D40" s="189" t="e">
        <f>IF($A$31=FALSE,$BL$35,IF($C40="X",IF(ISBLANK(Questions!$D74),"--",Questions!$D74),"xx"))</f>
        <v>#REF!</v>
      </c>
      <c r="E40" s="189" t="e">
        <f>IF($A$31=FALSE,$BL$35,IF($C40="X",IF(ISBLANK(Questions!$D85),"--",Questions!$D85),"xx"))</f>
        <v>#REF!</v>
      </c>
      <c r="F40" s="189" t="e">
        <f>IF($A$31=FALSE,$BL$35,IF($C40="X",IF(ISBLANK(Questions!$D98),"--",Questions!$D98),"xx"))</f>
        <v>#REF!</v>
      </c>
      <c r="G40" s="189" t="e">
        <f>IF($A$31=FALSE,$BL$35,IF($C40="X",IF(ISBLANK(Questions!$D107),"--",Questions!$D107),"xx"))</f>
        <v>#REF!</v>
      </c>
      <c r="H40" s="470" t="e">
        <f>IF($A$31=FALSE,$BL$35,IF($C40="X",IF(ISBLANK(Questions!$D118),"--",Questions!$D118),"xx"))</f>
        <v>#REF!</v>
      </c>
      <c r="I40" s="183"/>
      <c r="J40" s="189" t="e">
        <f>IF($A$31=FALSE,$BL$35,IF($C40="X",IF(ISBLANK(Questions!$D130),"--",Questions!$D130),"xx"))</f>
        <v>#REF!</v>
      </c>
      <c r="K40" s="189" t="e">
        <f>IF($A$31=FALSE,$BL$35,IF($C40="X",IF(ISBLANK(Questions!$D141),"--",Questions!$D141),"xx"))</f>
        <v>#REF!</v>
      </c>
      <c r="L40" s="470" t="e">
        <f>IF($A$31=FALSE,$BL$35,IF($C40="X",IF(ISBLANK(Questions!$D152),"--",Questions!$D152),"xx"))</f>
        <v>#REF!</v>
      </c>
      <c r="M40" s="470" t="e">
        <f>IF($A$31=FALSE,$BL$35,IF($C40="X",IF(ISBLANK(Questions!$D163),"--",Questions!$D163),"xx"))</f>
        <v>#REF!</v>
      </c>
      <c r="N40" s="189" t="e">
        <f>IF($A$31=FALSE,$BL$35,IF($C40="X",IF(ISBLANK(Questions!$D174),"--",Questions!$D174),"xx"))</f>
        <v>#REF!</v>
      </c>
      <c r="O40"/>
      <c r="P40" s="470" t="e">
        <f>IF($A$31=FALSE,$BL$35,IF($C40="X",IF(ISBLANK(Questions!$D184),"--",Questions!$D184),"xx"))</f>
        <v>#REF!</v>
      </c>
      <c r="Q40" s="189" t="e">
        <f>IF($A$31=FALSE,$BL$35,IF($C40="X",IF(ISBLANK(Questions!$D195),"--",Questions!$D195),"xx"))</f>
        <v>#REF!</v>
      </c>
      <c r="R40" s="189" t="e">
        <f>IF($A$31=FALSE,$BL$35,IF($C40="X",IF(ISBLANK(Questions!$D206),"--",Questions!$D206),"xx"))</f>
        <v>#REF!</v>
      </c>
      <c r="S40" s="183"/>
      <c r="T40" s="470" t="e">
        <f>IF($A$31=FALSE,$BL$35,IF($C40="X",IF(ISBLANK(Questions!$D218),"--",Questions!$D218),"xx"))</f>
        <v>#REF!</v>
      </c>
      <c r="U40" s="189" t="e">
        <f>IF($A$31=FALSE,$BL$35,IF($C40="X",IF(ISBLANK(Questions!$D229),"--",Questions!$D229),"xx"))</f>
        <v>#REF!</v>
      </c>
      <c r="V40" s="470" t="e">
        <f>IF($A$31=FALSE,$BL$35,IF($C40="X",IF(ISBLANK(Questions!$D240),"--",Questions!$D240),"xx"))</f>
        <v>#REF!</v>
      </c>
      <c r="W40" s="189" t="e">
        <f>IF($A$31=FALSE,$BL$35,IF($C40="X",IF(ISBLANK(Questions!$D251),"--",Questions!$D251),"xx"))</f>
        <v>#REF!</v>
      </c>
      <c r="X40" s="189" t="e">
        <f>IF($A$31=FALSE,$BL$35,IF($C40="X",IF(ISBLANK(Questions!$D262),"--",Questions!$D262),"xx"))</f>
        <v>#REF!</v>
      </c>
      <c r="Z40" s="189" t="e">
        <f>IF($A$31=FALSE,$BL$35,IF($C40="X",IF(ISBLANK(Questions!$D274),"--",Questions!$D274),"xx"))</f>
        <v>#REF!</v>
      </c>
      <c r="AA40" s="189" t="e">
        <f>IF($A$31=FALSE,$BL$35,IF($C40="X",IF(ISBLANK(Questions!$D285),"--",Questions!$D285),"xx"))</f>
        <v>#REF!</v>
      </c>
      <c r="AB40" s="470" t="e">
        <f>IF($A$31=FALSE,$BL$35,IF($C40="X",IF(ISBLANK(Questions!$D296),"--",Questions!$D296),"xx"))</f>
        <v>#REF!</v>
      </c>
      <c r="AC40" s="189" t="e">
        <f>IF($A$31=FALSE,$BL$35,IF($C40="X",IF(ISBLANK(Questions!$D307),"--",Questions!$D307),"xx"))</f>
        <v>#REF!</v>
      </c>
      <c r="AD40" s="183"/>
      <c r="AE40" s="189" t="e">
        <f>IF($A$31=FALSE,$BL$35,IF($C40="X",IF(ISBLANK(Questions!$D319),"--",Questions!$D319),"xx"))</f>
        <v>#REF!</v>
      </c>
      <c r="AF40" s="189" t="e">
        <f>IF($A$31=FALSE,$BL$35,IF($C40="X",IF(ISBLANK(Questions!$D330),"--",Questions!$D330),"xx"))</f>
        <v>#REF!</v>
      </c>
      <c r="AG40" s="189" t="e">
        <f>IF($A$31=FALSE,$BL$35,IF($C40="X",IF(ISBLANK(Questions!$D341),"--",Questions!$D341),"xx"))</f>
        <v>#REF!</v>
      </c>
      <c r="AH40" s="470" t="e">
        <f>IF($A$31=FALSE,$BL$35,IF($C40="X",IF(ISBLANK(Questions!$D352),"--",Questions!$D352),"xx"))</f>
        <v>#REF!</v>
      </c>
      <c r="AN40" s="477"/>
      <c r="AO40" s="477"/>
      <c r="AP40" s="477"/>
      <c r="AQ40" s="27"/>
      <c r="AR40" s="30"/>
      <c r="AS40" s="1197" t="e">
        <f>IF($A$31=FALSE,$BL$35,IF(C40="&lt;&gt;","xx",IF(BM40&lt;BN40,$BL$35,ROUND(BP40/BO40,2))))</f>
        <v>#REF!</v>
      </c>
      <c r="AT40" s="1198"/>
      <c r="AU40"/>
      <c r="AX40" s="602" t="e">
        <f>E40</f>
        <v>#REF!</v>
      </c>
      <c r="AY40" s="602" t="e">
        <f>F40</f>
        <v>#REF!</v>
      </c>
      <c r="AZ40" s="602" t="e">
        <f>G40</f>
        <v>#REF!</v>
      </c>
      <c r="BA40" s="602" t="e">
        <f>M40</f>
        <v>#REF!</v>
      </c>
      <c r="BB40" s="602" t="e">
        <f>N40</f>
        <v>#REF!</v>
      </c>
      <c r="BC40" s="602" t="e">
        <f>AE40</f>
        <v>#REF!</v>
      </c>
      <c r="BD40" s="602" t="e">
        <f>AF40</f>
        <v>#REF!</v>
      </c>
      <c r="BE40" s="602" t="e">
        <f>AG40</f>
        <v>#REF!</v>
      </c>
      <c r="BF40"/>
      <c r="BG40"/>
      <c r="BH40"/>
      <c r="BI40" s="36"/>
      <c r="BJ40"/>
      <c r="BL40" s="575">
        <f>COUNTIF(D40:AH40,"&gt;-")</f>
        <v>0</v>
      </c>
      <c r="BM40" s="575">
        <f>COUNT(D40:AH40)</f>
        <v>0</v>
      </c>
      <c r="BN40" s="575">
        <v>17</v>
      </c>
      <c r="BO40" s="575" t="e">
        <f>IF(AND($A$31,BM40&gt;=BN40),BM40*10,"--")</f>
        <v>#REF!</v>
      </c>
      <c r="BP40" s="575" t="e">
        <f>IF(AND($A$31,BM40&gt;=BN40),SUM(D40:AH40),"--")</f>
        <v>#REF!</v>
      </c>
    </row>
    <row r="41" spans="1:68" ht="15">
      <c r="A41" s="197" t="s">
        <v>383</v>
      </c>
      <c r="B41" s="33"/>
      <c r="C41" s="160"/>
      <c r="D41" s="27"/>
      <c r="E41" s="27"/>
      <c r="F41" s="27"/>
      <c r="G41" s="27"/>
      <c r="H41" s="27"/>
      <c r="I41" s="27"/>
      <c r="J41" s="27"/>
      <c r="K41" s="27"/>
      <c r="L41" s="27"/>
      <c r="M41" s="27"/>
      <c r="N41" s="27"/>
      <c r="O41"/>
      <c r="P41" s="27"/>
      <c r="Q41" s="27"/>
      <c r="R41" s="27"/>
      <c r="S41" s="27"/>
      <c r="T41" s="27"/>
      <c r="U41" s="27"/>
      <c r="V41" s="27"/>
      <c r="W41" s="27"/>
      <c r="X41" s="27"/>
      <c r="Z41" s="27"/>
      <c r="AA41" s="27"/>
      <c r="AB41" s="27"/>
      <c r="AC41" s="27"/>
      <c r="AD41" s="27"/>
      <c r="AE41" s="27"/>
      <c r="AF41" s="27"/>
      <c r="AG41" s="27"/>
      <c r="AH41" s="27"/>
      <c r="AI41" s="27"/>
      <c r="AJ41" s="27"/>
      <c r="AK41" s="27"/>
      <c r="AL41" s="27"/>
      <c r="AM41" s="27"/>
      <c r="AN41" s="477"/>
      <c r="AO41" s="477"/>
      <c r="AP41" s="477"/>
      <c r="AQ41" s="27"/>
      <c r="AR41" s="27"/>
      <c r="AS41" s="27"/>
      <c r="AT41" s="27"/>
      <c r="AU41" s="27"/>
      <c r="AX41" s="601"/>
      <c r="AY41" s="601"/>
      <c r="AZ41" s="601"/>
      <c r="BA41" s="601"/>
      <c r="BB41" s="601"/>
      <c r="BC41" s="601"/>
      <c r="BD41" s="601"/>
      <c r="BE41" s="601"/>
      <c r="BF41"/>
      <c r="BG41"/>
      <c r="BH41"/>
      <c r="BI41" s="36"/>
      <c r="BJ41"/>
    </row>
    <row r="42" spans="1:68" ht="15">
      <c r="A42" s="198" t="str">
        <f>IF(COUNTIF(A36:A40,"n.b.")=10,"n.b.",IF(COUNTIF(A36:A40,"C")&gt;=1,"C",IF(COUNTIF(A36:A40,"B")&gt;=1,"B","A")))</f>
        <v>A</v>
      </c>
      <c r="B42" s="33"/>
      <c r="C42" s="25"/>
      <c r="D42" s="154" t="e">
        <f>#REF!</f>
        <v>#REF!</v>
      </c>
      <c r="E42" s="22"/>
      <c r="F42" s="22"/>
      <c r="G42" s="22"/>
      <c r="H42" s="22"/>
      <c r="I42" s="22"/>
      <c r="J42" s="22"/>
      <c r="K42" s="22"/>
      <c r="L42" s="22"/>
      <c r="M42" s="22"/>
      <c r="N42" s="22"/>
      <c r="O42"/>
      <c r="P42" s="22"/>
      <c r="Q42" s="22"/>
      <c r="R42" s="22"/>
      <c r="S42" s="22"/>
      <c r="T42" s="22"/>
      <c r="U42" s="22"/>
      <c r="V42" s="22"/>
      <c r="W42" s="22"/>
      <c r="X42" s="22"/>
      <c r="Z42" s="22"/>
      <c r="AA42" s="22"/>
      <c r="AB42" s="22"/>
      <c r="AC42" s="22"/>
      <c r="AD42" s="22"/>
      <c r="AE42" s="22"/>
      <c r="AF42" s="22"/>
      <c r="AG42" s="22"/>
      <c r="AH42" s="22"/>
      <c r="AI42" s="22"/>
      <c r="AJ42" s="22"/>
      <c r="AK42" s="22"/>
      <c r="AL42" s="22"/>
      <c r="AM42" s="22"/>
      <c r="AN42" s="477"/>
      <c r="AO42" s="477"/>
      <c r="AP42" s="477"/>
      <c r="AQ42" s="22"/>
      <c r="AR42" s="22"/>
      <c r="AS42" s="22"/>
      <c r="AT42" s="161">
        <f>+COUNTIF(AS36:AT40,$BL$35)</f>
        <v>3</v>
      </c>
      <c r="AU42" s="161"/>
      <c r="AX42" s="161"/>
      <c r="AY42" s="161"/>
      <c r="AZ42" s="161"/>
      <c r="BA42" s="161"/>
      <c r="BB42" s="161"/>
      <c r="BC42" s="161"/>
      <c r="BD42" s="161"/>
      <c r="BE42" s="161"/>
      <c r="BF42"/>
      <c r="BG42"/>
      <c r="BH42"/>
      <c r="BI42" s="34"/>
      <c r="BJ42" s="22"/>
    </row>
    <row r="43" spans="1:68" ht="15" thickBot="1">
      <c r="B43" s="33"/>
      <c r="C43" s="22"/>
      <c r="D43" s="22"/>
      <c r="E43" s="22"/>
      <c r="F43" s="22"/>
      <c r="G43" s="22"/>
      <c r="H43" s="22"/>
      <c r="I43" s="22"/>
      <c r="J43" s="22"/>
      <c r="K43" s="22"/>
      <c r="L43" s="22"/>
      <c r="M43" s="22"/>
      <c r="N43" s="22"/>
      <c r="O43"/>
      <c r="P43" s="22"/>
      <c r="Q43" s="22"/>
      <c r="R43" s="22"/>
      <c r="S43" s="22"/>
      <c r="T43" s="22"/>
      <c r="U43"/>
      <c r="V43"/>
      <c r="W43"/>
      <c r="X43"/>
      <c r="Z43"/>
      <c r="AA43"/>
      <c r="AB43"/>
      <c r="AC43"/>
      <c r="AD43"/>
      <c r="AE43"/>
      <c r="AF43"/>
      <c r="AG43"/>
      <c r="AH43"/>
      <c r="AI43"/>
      <c r="AJ43"/>
      <c r="AK43"/>
      <c r="AL43"/>
      <c r="AM43"/>
      <c r="AN43" s="477"/>
      <c r="AO43" s="477"/>
      <c r="AP43" s="477"/>
      <c r="AQ43"/>
      <c r="AR43"/>
      <c r="AS43"/>
      <c r="AT43"/>
      <c r="AU43"/>
      <c r="AX43"/>
      <c r="AY43"/>
      <c r="AZ43"/>
      <c r="BA43"/>
      <c r="BB43"/>
      <c r="BC43"/>
      <c r="BD43"/>
      <c r="BE43"/>
      <c r="BF43"/>
      <c r="BG43"/>
      <c r="BH43"/>
      <c r="BI43" s="36"/>
      <c r="BJ43"/>
    </row>
    <row r="44" spans="1:68" ht="15" thickBot="1">
      <c r="B44" s="33"/>
      <c r="C44" s="21"/>
      <c r="D44" s="576" t="str">
        <f>D34</f>
        <v>6.1.1</v>
      </c>
      <c r="E44" s="577" t="str">
        <f>E34</f>
        <v>6.1.2</v>
      </c>
      <c r="F44" s="578" t="str">
        <f>F34</f>
        <v>6.1.3</v>
      </c>
      <c r="G44" s="578" t="str">
        <f>G34</f>
        <v>6.1.4</v>
      </c>
      <c r="H44" s="579" t="str">
        <f>H34</f>
        <v>6.1.5*</v>
      </c>
      <c r="I44" s="283"/>
      <c r="J44" s="576" t="str">
        <f>J34</f>
        <v>6.2.1</v>
      </c>
      <c r="K44" s="577" t="str">
        <f>K34</f>
        <v>6.2.2</v>
      </c>
      <c r="L44" s="585" t="str">
        <f>L34</f>
        <v>6.2.3*</v>
      </c>
      <c r="M44" s="585" t="str">
        <f>M34</f>
        <v>6.2.4*</v>
      </c>
      <c r="N44" s="586" t="str">
        <f>N34</f>
        <v>6.2.5</v>
      </c>
      <c r="O44" s="904"/>
      <c r="P44" s="578" t="str">
        <f>P34</f>
        <v>6.3.1*</v>
      </c>
      <c r="Q44" s="578" t="str">
        <f>Q34</f>
        <v>6.3.2</v>
      </c>
      <c r="R44" s="586" t="str">
        <f>R34</f>
        <v>6.3.3</v>
      </c>
      <c r="S44" s="282"/>
      <c r="T44" s="592" t="str">
        <f>T34</f>
        <v>6.4.1*</v>
      </c>
      <c r="U44" s="578" t="str">
        <f>U34</f>
        <v>6.4.2</v>
      </c>
      <c r="V44" s="585" t="str">
        <f>V34</f>
        <v>6.4.3*</v>
      </c>
      <c r="W44" s="578" t="str">
        <f>W34</f>
        <v>6.4.4</v>
      </c>
      <c r="X44" s="586" t="str">
        <f>X34</f>
        <v>6.4.5</v>
      </c>
      <c r="Z44" s="576" t="str">
        <f>Z34</f>
        <v>6.5.1</v>
      </c>
      <c r="AA44" s="578" t="str">
        <f>AA34</f>
        <v>6.5.2</v>
      </c>
      <c r="AB44" s="585" t="str">
        <f>AB34</f>
        <v>6.5.3*</v>
      </c>
      <c r="AC44" s="586" t="str">
        <f>AC34</f>
        <v>6.5.4</v>
      </c>
      <c r="AD44" s="283"/>
      <c r="AE44" s="576" t="str">
        <f>AE34</f>
        <v>6.6.1</v>
      </c>
      <c r="AF44" s="578" t="str">
        <f>AF34</f>
        <v>6.6.2</v>
      </c>
      <c r="AG44" s="578" t="str">
        <f>AG34</f>
        <v>6.6.3</v>
      </c>
      <c r="AH44" s="579" t="str">
        <f>AH34</f>
        <v>6.6.4*</v>
      </c>
      <c r="AN44" s="477"/>
      <c r="AO44" s="477"/>
      <c r="AP44" s="477"/>
      <c r="AQ44" s="21"/>
      <c r="AR44"/>
      <c r="AS44"/>
      <c r="AT44"/>
      <c r="AU44"/>
      <c r="AX44" s="595" t="str">
        <f t="shared" ref="AX44:BE44" si="1">AX34</f>
        <v>6.1.2</v>
      </c>
      <c r="AY44" s="596" t="str">
        <f t="shared" si="1"/>
        <v>6.1.3</v>
      </c>
      <c r="AZ44" s="596" t="str">
        <f t="shared" si="1"/>
        <v>6.1.4</v>
      </c>
      <c r="BA44" s="596" t="str">
        <f t="shared" si="1"/>
        <v>6.2.4</v>
      </c>
      <c r="BB44" s="596" t="str">
        <f t="shared" si="1"/>
        <v>6.2.5</v>
      </c>
      <c r="BC44" s="596" t="str">
        <f t="shared" si="1"/>
        <v>6.6.1</v>
      </c>
      <c r="BD44" s="596" t="str">
        <f t="shared" si="1"/>
        <v>6.6.2</v>
      </c>
      <c r="BE44" s="597" t="str">
        <f t="shared" si="1"/>
        <v>6.6.3</v>
      </c>
      <c r="BF44"/>
      <c r="BG44"/>
      <c r="BH44"/>
      <c r="BI44" s="36"/>
      <c r="BJ44"/>
      <c r="BL44" s="477" t="e">
        <f>#REF!</f>
        <v>#REF!</v>
      </c>
      <c r="BM44" s="477" t="e">
        <f>#REF!</f>
        <v>#REF!</v>
      </c>
      <c r="BN44" s="477" t="e">
        <f>#REF!</f>
        <v>#REF!</v>
      </c>
      <c r="BO44" s="477" t="e">
        <f>#REF!</f>
        <v>#REF!</v>
      </c>
      <c r="BP44" s="477" t="e">
        <f>#REF!</f>
        <v>#REF!</v>
      </c>
    </row>
    <row r="45" spans="1:68" ht="15.75" thickBot="1">
      <c r="B45" s="33"/>
      <c r="C45" s="25"/>
      <c r="D45" s="507" t="e">
        <f>IF(ISERROR(AVERAGE(D36:D40)),$BL$35,ROUND(AVERAGE(D36:D40),2))</f>
        <v>#REF!</v>
      </c>
      <c r="E45" s="486" t="e">
        <f>IF(ISERROR(AVERAGE(E36:E40)),$BL$35,ROUND(AVERAGE(E36:E40),2))</f>
        <v>#REF!</v>
      </c>
      <c r="F45" s="486" t="e">
        <f>IF(ISERROR(AVERAGE(F36:F40)),$BL$35,ROUND(AVERAGE(F36:F40),2))</f>
        <v>#REF!</v>
      </c>
      <c r="G45" s="486" t="e">
        <f>IF(ISERROR(AVERAGE(G36:G40)),$BL$35,ROUND(AVERAGE(G36:G40),2))</f>
        <v>#REF!</v>
      </c>
      <c r="H45" s="508" t="e">
        <f>IF(ISERROR(AVERAGE(H36:H40)),$BL$35,ROUND(AVERAGE(H36:H40),2))</f>
        <v>#REF!</v>
      </c>
      <c r="I45" s="184"/>
      <c r="J45" s="507" t="e">
        <f>IF(ISERROR(AVERAGE(J36:J40)),$BL$35,ROUND(AVERAGE(J36:J40),2))</f>
        <v>#REF!</v>
      </c>
      <c r="K45" s="486" t="e">
        <f>IF(ISERROR(AVERAGE(K36:K40)),$BL$35,ROUND(AVERAGE(K36:K40),2))</f>
        <v>#REF!</v>
      </c>
      <c r="L45" s="509" t="e">
        <f>IF(ISERROR(AVERAGE(L36:L40)),$BL$35,ROUND(AVERAGE(L36:L40),2))</f>
        <v>#REF!</v>
      </c>
      <c r="M45" s="509" t="e">
        <f>IF(ISERROR(AVERAGE(M36:M40)),$BL$35,ROUND(AVERAGE(M36:M40),2))</f>
        <v>#REF!</v>
      </c>
      <c r="N45" s="510" t="e">
        <f>IF(ISERROR(AVERAGE(N36:N40)),$BL$35,ROUND(AVERAGE(N36:N40),2))</f>
        <v>#REF!</v>
      </c>
      <c r="O45" s="904"/>
      <c r="P45" s="903" t="e">
        <f>IF(ISERROR(AVERAGE(P36:P40)),$BL$35,ROUND(AVERAGE(P36:P40),2))</f>
        <v>#REF!</v>
      </c>
      <c r="Q45" s="486" t="e">
        <f>IF(ISERROR(AVERAGE(Q36:Q40)),$BL$35,ROUND(AVERAGE(Q36:Q40),2))</f>
        <v>#REF!</v>
      </c>
      <c r="R45" s="510" t="e">
        <f>IF(ISERROR(AVERAGE(R36:R40)),$BL$35,ROUND(AVERAGE(R36:R40),2))</f>
        <v>#REF!</v>
      </c>
      <c r="S45" s="185"/>
      <c r="T45" s="511" t="e">
        <f>IF(ISERROR(AVERAGE(T36:T40)),$BL$35,ROUND(AVERAGE(T36:T40),2))</f>
        <v>#REF!</v>
      </c>
      <c r="U45" s="486" t="e">
        <f>IF(ISERROR(AVERAGE(U36:U40)),$BL$35,ROUND(AVERAGE(U36:U40),2))</f>
        <v>#REF!</v>
      </c>
      <c r="V45" s="509" t="e">
        <f>IF(ISERROR(AVERAGE(V36:V40)),$BL$35,ROUND(AVERAGE(V36:V40),2))</f>
        <v>#REF!</v>
      </c>
      <c r="W45" s="486" t="e">
        <f>IF(ISERROR(AVERAGE(W36:W40)),$BL$35,ROUND(AVERAGE(W36:W40),2))</f>
        <v>#REF!</v>
      </c>
      <c r="X45" s="510" t="e">
        <f>IF(ISERROR(AVERAGE(X36:X40)),$BL$35,ROUND(AVERAGE(X36:X40),2))</f>
        <v>#REF!</v>
      </c>
      <c r="Z45" s="507" t="e">
        <f>IF(ISERROR(AVERAGE(Z36:Z40)),$BL$35,ROUND(AVERAGE(Z36:Z40),2))</f>
        <v>#REF!</v>
      </c>
      <c r="AA45" s="486" t="e">
        <f>IF(ISERROR(AVERAGE(AA36:AA40)),$BL$35,ROUND(AVERAGE(AA36:AA40),2))</f>
        <v>#REF!</v>
      </c>
      <c r="AB45" s="509" t="e">
        <f>IF(ISERROR(AVERAGE(AB36:AB40)),$BL$35,ROUND(AVERAGE(AB36:AB40),2))</f>
        <v>#REF!</v>
      </c>
      <c r="AC45" s="510" t="e">
        <f>IF(ISERROR(AVERAGE(AC36:AC40)),$BL$35,ROUND(AVERAGE(AC36:AC40),2))</f>
        <v>#REF!</v>
      </c>
      <c r="AD45" s="185"/>
      <c r="AE45" s="507" t="e">
        <f>IF(ISERROR(AVERAGE(AE36:AE40)),$BL$35,ROUND(AVERAGE(AE36:AE40),2))</f>
        <v>#REF!</v>
      </c>
      <c r="AF45" s="486" t="e">
        <f>IF(ISERROR(AVERAGE(AF36:AF40)),$BL$35,ROUND(AVERAGE(AF36:AF40),2))</f>
        <v>#REF!</v>
      </c>
      <c r="AG45" s="486" t="e">
        <f>IF(ISERROR(AVERAGE(AG36:AG40)),$BL$35,ROUND(AVERAGE(AG36:AG40),2))</f>
        <v>#REF!</v>
      </c>
      <c r="AH45" s="508" t="e">
        <f>IF(ISERROR(AVERAGE(AH36:AH40)),$BL$35,ROUND(AVERAGE(AH36:AH40),2))</f>
        <v>#REF!</v>
      </c>
      <c r="AN45" s="477"/>
      <c r="AO45" s="477"/>
      <c r="AP45" s="477"/>
      <c r="AQ45" s="162"/>
      <c r="AR45" s="279" t="s">
        <v>498</v>
      </c>
      <c r="AS45" s="1197" t="e">
        <f>IF(COUNTIF(AS36:AT40,$BL$35)&gt;0,$BL$35,ROUND(BP45/BO45,2))</f>
        <v>#REF!</v>
      </c>
      <c r="AT45" s="1198"/>
      <c r="AU45"/>
      <c r="AX45" s="551" t="e">
        <f t="shared" ref="AX45:BE45" si="2">IF(ISERROR(AVERAGE(AX36:AX40)),$BL$35,ROUND(AVERAGE(AX36:AX40),2))</f>
        <v>#REF!</v>
      </c>
      <c r="AY45" s="510" t="e">
        <f t="shared" si="2"/>
        <v>#REF!</v>
      </c>
      <c r="AZ45" s="510" t="e">
        <f t="shared" si="2"/>
        <v>#REF!</v>
      </c>
      <c r="BA45" s="510" t="e">
        <f t="shared" si="2"/>
        <v>#REF!</v>
      </c>
      <c r="BB45" s="510" t="e">
        <f t="shared" si="2"/>
        <v>#REF!</v>
      </c>
      <c r="BC45" s="510" t="e">
        <f t="shared" si="2"/>
        <v>#REF!</v>
      </c>
      <c r="BD45" s="510" t="e">
        <f t="shared" si="2"/>
        <v>#REF!</v>
      </c>
      <c r="BE45" s="510" t="e">
        <f t="shared" si="2"/>
        <v>#REF!</v>
      </c>
      <c r="BF45"/>
      <c r="BG45"/>
      <c r="BH45"/>
      <c r="BI45" s="36"/>
      <c r="BJ45"/>
      <c r="BL45" s="575">
        <f>SUM(BL36:BL40)</f>
        <v>0</v>
      </c>
      <c r="BM45" s="575">
        <f>SUM(BM36:BM40)</f>
        <v>0</v>
      </c>
      <c r="BN45" s="575">
        <f>SUM(F47,L47,P47,V47,AA47,AF47)</f>
        <v>0</v>
      </c>
      <c r="BO45" s="575">
        <f>COUNT(D45:AH45)*10</f>
        <v>0</v>
      </c>
      <c r="BP45" s="575" t="e">
        <f>SUM(D45:AH45)</f>
        <v>#REF!</v>
      </c>
    </row>
    <row r="46" spans="1:68" ht="15" hidden="1" thickBot="1">
      <c r="B46" s="33"/>
      <c r="C46" s="22"/>
      <c r="D46" s="33"/>
      <c r="E46" s="477" t="e">
        <f>$BM$7</f>
        <v>#REF!</v>
      </c>
      <c r="F46" s="477" t="e">
        <f>$BN$7</f>
        <v>#REF!</v>
      </c>
      <c r="G46" s="477" t="s">
        <v>444</v>
      </c>
      <c r="H46" s="580" t="s">
        <v>305</v>
      </c>
      <c r="J46" s="587"/>
      <c r="K46" s="477" t="e">
        <f>$BM$7</f>
        <v>#REF!</v>
      </c>
      <c r="L46" s="477" t="e">
        <f>$BN$7</f>
        <v>#REF!</v>
      </c>
      <c r="M46" s="477" t="s">
        <v>444</v>
      </c>
      <c r="N46" s="580" t="s">
        <v>305</v>
      </c>
      <c r="O46" s="905" t="e">
        <f>$BM$7</f>
        <v>#REF!</v>
      </c>
      <c r="P46" s="477" t="e">
        <f>$BN$7</f>
        <v>#REF!</v>
      </c>
      <c r="Q46" s="477" t="s">
        <v>444</v>
      </c>
      <c r="R46" s="580" t="s">
        <v>305</v>
      </c>
      <c r="T46" s="587"/>
      <c r="U46" s="477" t="e">
        <f>$BM$7</f>
        <v>#REF!</v>
      </c>
      <c r="V46" s="477" t="e">
        <f>$BN$7</f>
        <v>#REF!</v>
      </c>
      <c r="W46" s="477" t="s">
        <v>444</v>
      </c>
      <c r="X46" s="580" t="s">
        <v>305</v>
      </c>
      <c r="Y46" s="22"/>
      <c r="Z46" s="589" t="e">
        <f>$BM$7</f>
        <v>#REF!</v>
      </c>
      <c r="AA46" s="477" t="e">
        <f>$BN$7</f>
        <v>#REF!</v>
      </c>
      <c r="AB46" s="477" t="s">
        <v>444</v>
      </c>
      <c r="AC46" s="580" t="s">
        <v>305</v>
      </c>
      <c r="AD46" s="22"/>
      <c r="AE46" s="589" t="e">
        <f>$BM$7</f>
        <v>#REF!</v>
      </c>
      <c r="AF46" s="477" t="e">
        <f>$BN$7</f>
        <v>#REF!</v>
      </c>
      <c r="AG46" s="477" t="s">
        <v>444</v>
      </c>
      <c r="AH46" s="580" t="s">
        <v>305</v>
      </c>
      <c r="AI46" s="22"/>
      <c r="AJ46" s="22"/>
      <c r="AK46" s="22"/>
      <c r="AL46" s="22"/>
      <c r="AM46" s="183"/>
      <c r="AN46" s="477"/>
      <c r="AO46" s="477"/>
      <c r="AP46" s="477"/>
      <c r="AQ46" s="183"/>
      <c r="AR46" s="183"/>
      <c r="AS46" s="183"/>
      <c r="AT46" s="183"/>
      <c r="AU46" s="183"/>
      <c r="AX46" s="900" t="e">
        <f>$BL$7</f>
        <v>#REF!</v>
      </c>
      <c r="AY46" s="901" t="e">
        <f>$BM$7</f>
        <v>#REF!</v>
      </c>
      <c r="AZ46" s="901" t="e">
        <f>$BN$7</f>
        <v>#REF!</v>
      </c>
      <c r="BA46" s="901" t="e">
        <f>$BO$7</f>
        <v>#REF!</v>
      </c>
      <c r="BB46" s="901" t="e">
        <f>$BP$7</f>
        <v>#REF!</v>
      </c>
      <c r="BC46" s="333"/>
      <c r="BD46" s="333"/>
      <c r="BE46" s="902"/>
      <c r="BF46"/>
      <c r="BG46"/>
      <c r="BH46"/>
      <c r="BI46" s="37"/>
      <c r="BJ46" s="183"/>
    </row>
    <row r="47" spans="1:68" ht="15.75" hidden="1" thickBot="1">
      <c r="B47" s="33"/>
      <c r="D47" s="33"/>
      <c r="E47" s="575">
        <f>COUNT(D36:H40)</f>
        <v>0</v>
      </c>
      <c r="F47" s="575">
        <f>ROUNDUP(COUNTIF($C$36:$C$40,"X")*5/3*2,0)</f>
        <v>0</v>
      </c>
      <c r="G47" s="575" t="e">
        <f>IF(AND($A31,E47&gt;=F47),E47*10,"--")</f>
        <v>#REF!</v>
      </c>
      <c r="H47" s="581" t="e">
        <f>IF(AND($A31,E47&gt;=F47),SUM(D36:H40),"--")</f>
        <v>#REF!</v>
      </c>
      <c r="J47" s="33"/>
      <c r="K47" s="575">
        <f>COUNT(J36:N40)</f>
        <v>0</v>
      </c>
      <c r="L47" s="575">
        <f>ROUNDUP(COUNTIF($C$36:$C$40,"X")*5/3*2,0)</f>
        <v>0</v>
      </c>
      <c r="M47" s="575" t="e">
        <f>IF(AND($A31,K47&gt;=L47),K47*10,"--")</f>
        <v>#REF!</v>
      </c>
      <c r="N47" s="581" t="e">
        <f>IF(AND($A31,K47&gt;=L47),SUM(J36:N40),"--")</f>
        <v>#REF!</v>
      </c>
      <c r="O47" s="906">
        <f>COUNT(P36:R40)</f>
        <v>0</v>
      </c>
      <c r="P47" s="575">
        <f>ROUNDUP(COUNTIF($C$36:$C$40,"X")*3/3*2,0)</f>
        <v>0</v>
      </c>
      <c r="Q47" s="575" t="e">
        <f>IF(AND($A31,O47&gt;=P47),O47*10,"--")</f>
        <v>#REF!</v>
      </c>
      <c r="R47" s="581" t="e">
        <f>IF(AND($A31,O47&gt;=P47),SUM(P36:R40),"--")</f>
        <v>#REF!</v>
      </c>
      <c r="T47" s="33"/>
      <c r="U47" s="575">
        <f>COUNT(T36:X40)</f>
        <v>0</v>
      </c>
      <c r="V47" s="575">
        <f>ROUNDUP(COUNTIF($C$36:$C$40,"X")*5/3*2,0)</f>
        <v>0</v>
      </c>
      <c r="W47" s="575" t="e">
        <f>IF(AND($A31,U47&gt;=V47),U47*10,"--")</f>
        <v>#REF!</v>
      </c>
      <c r="X47" s="581" t="e">
        <f>IF(AND($A31,U47&gt;=V47),SUM(T36:X40),"--")</f>
        <v>#REF!</v>
      </c>
      <c r="Z47" s="600">
        <f>COUNT(Z36:AC40)</f>
        <v>0</v>
      </c>
      <c r="AA47" s="575">
        <f>ROUNDUP(COUNTIF($C$36:$C$40,"X")*4/3*2,0)</f>
        <v>0</v>
      </c>
      <c r="AB47" s="575" t="e">
        <f>IF(AND($A31,Z47&gt;=AA47),Z47*10,"--")</f>
        <v>#REF!</v>
      </c>
      <c r="AC47" s="581" t="e">
        <f>IF(AND($A31,Z47&gt;=AA47),SUM(Z36:AC40),"--")</f>
        <v>#REF!</v>
      </c>
      <c r="AD47" s="30"/>
      <c r="AE47" s="600">
        <f>COUNT(AE36:AH40)</f>
        <v>0</v>
      </c>
      <c r="AF47" s="575">
        <f>ROUNDUP(COUNTIF($C$36:$C$40,"X")*4/3*2,0)</f>
        <v>0</v>
      </c>
      <c r="AG47" s="575" t="e">
        <f>IF(AND($A31,AE47&gt;=AF47),AE47*10,"--")</f>
        <v>#REF!</v>
      </c>
      <c r="AH47" s="581" t="e">
        <f>IF(AND($A31,AE47&gt;=AF47),SUM(AE36:AH40),"--")</f>
        <v>#REF!</v>
      </c>
      <c r="AS47" s="164"/>
      <c r="AT47" s="276"/>
      <c r="AX47" s="600">
        <f>COUNTIF(AX45:BE45,"&gt;-")</f>
        <v>0</v>
      </c>
      <c r="AY47" s="575">
        <f>COUNT(AX36:BE40)</f>
        <v>0</v>
      </c>
      <c r="AZ47" s="575">
        <f>ROUNDUP(COUNTIF($C$36:$C$40,"X")*8/3*2,0)</f>
        <v>0</v>
      </c>
      <c r="BA47" s="575">
        <f>IF(AND($B48,AY47&gt;=AZ47),COUNTIF(AX45:BE45,"&lt;&gt;"&amp;AX46)*10,"--")</f>
        <v>80</v>
      </c>
      <c r="BB47" s="575" t="e">
        <f>IF(AND($B48,AY47&gt;=AZ47),SUM(AX45:BE45),"--")</f>
        <v>#REF!</v>
      </c>
      <c r="BC47" s="164"/>
      <c r="BD47" s="164"/>
      <c r="BE47" s="598"/>
      <c r="BF47"/>
      <c r="BG47"/>
      <c r="BH47"/>
      <c r="BI47" s="39"/>
    </row>
    <row r="48" spans="1:68" ht="15.75" thickBot="1">
      <c r="B48" s="33"/>
      <c r="C48" s="30"/>
      <c r="D48" s="582"/>
      <c r="E48" s="583"/>
      <c r="F48" s="584" t="s">
        <v>88</v>
      </c>
      <c r="G48" s="1177" t="e">
        <f>IF(OR($A$31=FALSE,F47&gt;E47),$BL$35,IFERROR(ROUND(H47/G47,2),$BL$35))</f>
        <v>#REF!</v>
      </c>
      <c r="H48" s="1178"/>
      <c r="I48"/>
      <c r="J48" s="582"/>
      <c r="K48" s="583"/>
      <c r="L48" s="588" t="s">
        <v>87</v>
      </c>
      <c r="M48" s="1177" t="e">
        <f>IF(OR($A$31=FALSE,L47&gt;K47),$BL$35,IFERROR(ROUND(N47/M47,2),$BL$35))</f>
        <v>#REF!</v>
      </c>
      <c r="N48" s="1178"/>
      <c r="O48" s="904"/>
      <c r="P48" s="591" t="s">
        <v>86</v>
      </c>
      <c r="Q48" s="1177" t="e">
        <f>IF(OR($A$31=FALSE,P47&gt;O47),$BL$35,IFERROR(ROUND(R47/Q47,2),$BL$35))</f>
        <v>#REF!</v>
      </c>
      <c r="R48" s="1178"/>
      <c r="S48"/>
      <c r="T48" s="593"/>
      <c r="U48" s="594"/>
      <c r="V48" s="591" t="s">
        <v>85</v>
      </c>
      <c r="W48" s="1177" t="e">
        <f>IF(OR($A$31=FALSE,V47&gt;U47),$BL$35,IFERROR(ROUND(X47/W47,2),$BL$35))</f>
        <v>#REF!</v>
      </c>
      <c r="X48" s="1178"/>
      <c r="Y48"/>
      <c r="Z48" s="582"/>
      <c r="AA48" s="584" t="s">
        <v>84</v>
      </c>
      <c r="AB48" s="1177" t="e">
        <f>IF(OR($A$31=FALSE,AA47&gt;Z47),$BL$35,IFERROR(ROUND(AC47/AB47,2),$BL$35))</f>
        <v>#REF!</v>
      </c>
      <c r="AC48" s="1178"/>
      <c r="AD48"/>
      <c r="AE48" s="582"/>
      <c r="AF48" s="588" t="s">
        <v>83</v>
      </c>
      <c r="AG48" s="1177" t="e">
        <f>IF(OR($A$31=FALSE,AF47&gt;AE47),$BL$35,IFERROR(ROUND(AH47/AG47,2),$BL$35))</f>
        <v>#REF!</v>
      </c>
      <c r="AH48" s="1178"/>
      <c r="AI48"/>
      <c r="AM48" s="153"/>
      <c r="AN48" s="153"/>
      <c r="AO48" s="153"/>
      <c r="AP48" s="153"/>
      <c r="AQ48" s="153"/>
      <c r="AS48" s="164"/>
      <c r="AT48" s="277"/>
      <c r="AU48" s="164"/>
      <c r="AX48" s="79"/>
      <c r="AY48" s="594"/>
      <c r="AZ48" s="594"/>
      <c r="BA48" s="594"/>
      <c r="BB48" s="594"/>
      <c r="BC48" s="599" t="s">
        <v>82</v>
      </c>
      <c r="BD48" s="1195" t="e">
        <f>IF(A31=FALSE,AX46,IF(AY47&gt;=AZ47,ROUND(BB47/BA47,2),$BL$35))</f>
        <v>#REF!</v>
      </c>
      <c r="BE48" s="1196"/>
      <c r="BF48"/>
      <c r="BG48"/>
      <c r="BH48"/>
      <c r="BI48" s="39"/>
    </row>
    <row r="49" spans="1:68" ht="15">
      <c r="B49" s="33"/>
      <c r="C49" s="30"/>
      <c r="D49" s="163"/>
      <c r="E49" s="30"/>
      <c r="G49" s="153"/>
      <c r="H49" s="153"/>
      <c r="I49"/>
      <c r="J49" s="163"/>
      <c r="K49" s="30"/>
      <c r="M49" s="30"/>
      <c r="N49" s="153"/>
      <c r="O49" s="153"/>
      <c r="P49"/>
      <c r="Q49" s="163"/>
      <c r="R49" s="30"/>
      <c r="S49" s="30"/>
      <c r="T49" s="153"/>
      <c r="U49" s="153"/>
      <c r="V49" s="163"/>
      <c r="X49" s="153"/>
      <c r="Y49" s="153"/>
      <c r="Z49" s="163"/>
      <c r="AC49" s="153"/>
      <c r="AD49" s="153"/>
      <c r="AE49" s="163"/>
      <c r="AF49" s="30"/>
      <c r="AG49" s="30"/>
      <c r="AH49" s="30"/>
      <c r="AM49" s="153"/>
      <c r="AN49" s="153"/>
      <c r="AO49" s="153"/>
      <c r="AP49" s="153"/>
      <c r="AQ49" s="153"/>
      <c r="AS49" s="164"/>
      <c r="AT49" s="163"/>
      <c r="AU49" s="164"/>
      <c r="AW49" s="164"/>
      <c r="AX49" s="164"/>
      <c r="AY49" s="164"/>
      <c r="AZ49" s="164"/>
      <c r="BA49" s="164"/>
      <c r="BB49" s="164"/>
      <c r="BE49" s="165"/>
      <c r="BF49"/>
      <c r="BG49"/>
      <c r="BH49"/>
      <c r="BI49" s="39"/>
    </row>
    <row r="50" spans="1:68" ht="15">
      <c r="B50" s="33"/>
      <c r="C50" s="22"/>
      <c r="D50" s="22"/>
      <c r="E50" s="22"/>
      <c r="F50" s="22"/>
      <c r="G50" s="22"/>
      <c r="H50" s="22"/>
      <c r="I50" s="22"/>
      <c r="J50" s="22"/>
      <c r="K50" s="22"/>
      <c r="L50" s="22"/>
      <c r="M50" s="22"/>
      <c r="N50" s="22"/>
      <c r="O50" s="25"/>
      <c r="P50" s="22"/>
      <c r="Q50" s="22"/>
      <c r="R50" s="22"/>
      <c r="S50" s="22"/>
      <c r="T50" s="22"/>
      <c r="U50" s="22"/>
      <c r="V50" s="22"/>
      <c r="W50" s="22"/>
      <c r="X50" s="22"/>
      <c r="Y50" s="22"/>
      <c r="Z50" s="22"/>
      <c r="AA50" s="22"/>
      <c r="AB50" s="22"/>
      <c r="AC50" s="22"/>
      <c r="AD50" s="22"/>
      <c r="AE50" s="22"/>
      <c r="AF50" s="22"/>
      <c r="AG50" s="22"/>
      <c r="AH50" s="22"/>
      <c r="AI50" s="22"/>
      <c r="AJ50" s="22"/>
      <c r="AK50" s="22"/>
      <c r="AL50" s="22"/>
      <c r="AM50" s="22"/>
      <c r="AN50" s="22"/>
      <c r="AO50" s="22"/>
      <c r="AP50" s="22"/>
      <c r="AQ50" s="22"/>
      <c r="AR50" s="22"/>
      <c r="AS50" s="22"/>
      <c r="AT50" s="22"/>
      <c r="AU50" s="22"/>
      <c r="AV50" s="22"/>
      <c r="AW50" s="22"/>
      <c r="AX50" s="22"/>
      <c r="AY50" s="22"/>
      <c r="AZ50" s="22"/>
      <c r="BA50" s="22"/>
      <c r="BB50" s="22"/>
      <c r="BC50" s="22"/>
      <c r="BD50" s="22"/>
      <c r="BE50"/>
      <c r="BF50"/>
      <c r="BG50"/>
      <c r="BH50"/>
      <c r="BI50" s="34"/>
      <c r="BJ50" s="22"/>
    </row>
    <row r="51" spans="1:68" ht="15" thickBot="1">
      <c r="A51" s="199" t="s">
        <v>384</v>
      </c>
      <c r="B51" s="33"/>
      <c r="C51" s="22"/>
      <c r="D51" s="22"/>
      <c r="E51" s="22"/>
      <c r="F51" s="22"/>
      <c r="G51" s="148"/>
      <c r="H51" s="22"/>
      <c r="I51" s="22"/>
      <c r="J51" s="22"/>
      <c r="K51" s="22"/>
      <c r="L51" s="22"/>
      <c r="M51" s="22"/>
      <c r="N51" s="148"/>
      <c r="O51" s="22"/>
      <c r="P51" s="22"/>
      <c r="Q51" s="22"/>
      <c r="R51" s="148"/>
      <c r="S51"/>
      <c r="T51"/>
      <c r="U51" s="321" t="s">
        <v>180</v>
      </c>
      <c r="V51" s="321" t="s">
        <v>181</v>
      </c>
      <c r="W51" s="465" t="s">
        <v>311</v>
      </c>
      <c r="X51" s="465" t="s">
        <v>353</v>
      </c>
      <c r="Y51" s="321" t="s">
        <v>185</v>
      </c>
      <c r="AQ51" s="183"/>
      <c r="AR51" s="183"/>
      <c r="AS51" s="183"/>
      <c r="AT51" s="183"/>
      <c r="AU51" s="183"/>
      <c r="AV51" s="183"/>
      <c r="AW51" s="183"/>
      <c r="AX51" s="183"/>
      <c r="AY51" s="183"/>
      <c r="AZ51" s="183"/>
      <c r="BA51" s="183"/>
      <c r="BB51" s="183"/>
      <c r="BC51" s="183"/>
      <c r="BD51" s="183"/>
      <c r="BE51"/>
      <c r="BF51"/>
      <c r="BG51"/>
      <c r="BH51"/>
      <c r="BI51" s="37"/>
      <c r="BJ51" s="183"/>
      <c r="BL51" s="477" t="e">
        <f>#REF!</f>
        <v>#REF!</v>
      </c>
      <c r="BM51" s="477" t="e">
        <f>#REF!</f>
        <v>#REF!</v>
      </c>
      <c r="BN51" s="477" t="e">
        <f>#REF!</f>
        <v>#REF!</v>
      </c>
      <c r="BO51" s="477" t="e">
        <f>#REF!</f>
        <v>#REF!</v>
      </c>
      <c r="BP51" s="477" t="e">
        <f>#REF!</f>
        <v>#REF!</v>
      </c>
    </row>
    <row r="52" spans="1:68" ht="16.5" thickBot="1">
      <c r="A52" s="198" t="e">
        <f>IF(COUNT(U52:Y52)=0,BL51,IF(MIN(U52:Y52)=0,"B","A"))</f>
        <v>#REF!</v>
      </c>
      <c r="B52" s="33"/>
      <c r="C52" s="53" t="s">
        <v>143</v>
      </c>
      <c r="D52" s="54" t="str">
        <f>Questions!C360</f>
        <v>Customer care / customer satisfaction / service</v>
      </c>
      <c r="E52" s="22"/>
      <c r="F52" s="22"/>
      <c r="G52" s="22"/>
      <c r="H52" s="22"/>
      <c r="I52" s="22"/>
      <c r="J52" s="22"/>
      <c r="K52" s="22"/>
      <c r="L52" s="22"/>
      <c r="M52" s="22"/>
      <c r="N52" s="22"/>
      <c r="O52" s="25"/>
      <c r="P52" s="22"/>
      <c r="Q52" s="22"/>
      <c r="R52" s="22"/>
      <c r="S52"/>
      <c r="T52"/>
      <c r="U52" s="189" t="e">
        <f>IF($A$53=FALSE,$BL$51,IF(ISBLANK(Questions!D$361),"--",Questions!D$361))</f>
        <v>#REF!</v>
      </c>
      <c r="V52" s="189" t="e">
        <f>IF($A$53=FALSE,$BL$51,IF(ISBLANK(Questions!D$362),"--",Questions!D$362))</f>
        <v>#REF!</v>
      </c>
      <c r="W52" s="470" t="e">
        <f>IF($A$53=FALSE,$BL$51,IF(ISBLANK(Questions!D$363),"--",Questions!D$363))</f>
        <v>#REF!</v>
      </c>
      <c r="X52" s="470" t="e">
        <f>IF($A$53=FALSE,$BL$51,IF(ISBLANK(Questions!D$364),"--",Questions!D$364))</f>
        <v>#REF!</v>
      </c>
      <c r="Y52" s="189" t="e">
        <f>IF($A$53=FALSE,$BL$51,IF(ISBLANK(Questions!D$365),"--",Questions!D$365))</f>
        <v>#REF!</v>
      </c>
      <c r="AR52" s="166" t="s">
        <v>726</v>
      </c>
      <c r="AS52" s="1195" t="e">
        <f>IF(A53=FALSE,BL51,IF(BM52&gt;=BN52,ROUND(BP52/BO52,2),$BL$35))</f>
        <v>#REF!</v>
      </c>
      <c r="AT52" s="1196"/>
      <c r="AU52"/>
      <c r="AV52" s="153"/>
      <c r="AW52" s="153"/>
      <c r="AX52" s="153"/>
      <c r="AY52" s="153"/>
      <c r="AZ52" s="153"/>
      <c r="BA52" s="153"/>
      <c r="BB52" s="153"/>
      <c r="BC52" s="153"/>
      <c r="BD52" s="153"/>
      <c r="BE52"/>
      <c r="BF52"/>
      <c r="BG52"/>
      <c r="BH52"/>
      <c r="BI52" s="34"/>
      <c r="BJ52" s="22"/>
      <c r="BL52" s="575">
        <f>COUNTIF(U52:Y52,"&gt;-")</f>
        <v>0</v>
      </c>
      <c r="BM52" s="575">
        <f>COUNT(U52:Y52)</f>
        <v>0</v>
      </c>
      <c r="BN52" s="575">
        <v>4</v>
      </c>
      <c r="BO52" s="575" t="e">
        <f>IF(AND($A53,BM52&gt;=BN52),BM52*10,"--")</f>
        <v>#REF!</v>
      </c>
      <c r="BP52" s="575" t="e">
        <f>IF(AND($A53,BM52&gt;=BN52),SUM(U52:Y52),"--")</f>
        <v>#REF!</v>
      </c>
    </row>
    <row r="53" spans="1:68">
      <c r="A53" s="757" t="e">
        <f>#REF!</f>
        <v>#REF!</v>
      </c>
      <c r="B53" s="472"/>
      <c r="C53" s="225"/>
      <c r="D53" s="359"/>
      <c r="E53" s="359"/>
      <c r="F53" s="359"/>
      <c r="G53" s="359"/>
      <c r="H53" s="359"/>
      <c r="I53" s="22"/>
      <c r="J53"/>
      <c r="K53"/>
      <c r="L53"/>
      <c r="M53"/>
      <c r="N53"/>
      <c r="O53"/>
      <c r="P53"/>
      <c r="Q53"/>
      <c r="R53"/>
      <c r="S53" s="22"/>
      <c r="T53" s="22"/>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s="36"/>
      <c r="BJ53"/>
    </row>
    <row r="54" spans="1:68">
      <c r="B54" s="982"/>
      <c r="C54" s="983"/>
      <c r="D54" s="983"/>
      <c r="E54" s="983"/>
      <c r="F54" s="983"/>
      <c r="G54" s="983"/>
      <c r="H54" s="983"/>
      <c r="I54" s="983"/>
      <c r="J54" s="983"/>
      <c r="K54" s="983"/>
      <c r="L54" s="983"/>
      <c r="M54" s="983"/>
      <c r="N54" s="983"/>
      <c r="O54" s="983"/>
      <c r="P54" s="983"/>
      <c r="Q54" s="983"/>
      <c r="R54" s="983"/>
      <c r="S54" s="983"/>
      <c r="T54" s="983"/>
      <c r="U54" s="983"/>
      <c r="V54" s="983"/>
      <c r="W54" s="983"/>
      <c r="X54" s="983"/>
      <c r="Y54" s="983"/>
      <c r="Z54" s="983"/>
      <c r="AA54" s="983"/>
      <c r="AB54" s="983"/>
      <c r="AC54" s="983"/>
      <c r="AD54" s="983"/>
      <c r="AE54" s="983"/>
      <c r="AF54" s="983"/>
      <c r="AG54" s="983"/>
      <c r="AH54" s="983"/>
      <c r="AI54" s="983"/>
      <c r="AJ54" s="983"/>
      <c r="AK54" s="983"/>
      <c r="AL54" s="983"/>
      <c r="AM54" s="983"/>
      <c r="AN54" s="983"/>
      <c r="AO54" s="983"/>
      <c r="AP54" s="983"/>
      <c r="AQ54" s="983"/>
      <c r="AR54" s="983"/>
      <c r="AS54" s="983"/>
      <c r="AT54" s="983"/>
      <c r="AU54" s="983"/>
      <c r="AV54" s="983"/>
      <c r="AW54" s="983"/>
      <c r="AX54" s="983"/>
      <c r="AY54" s="983"/>
      <c r="AZ54" s="983"/>
      <c r="BA54" s="983"/>
      <c r="BB54" s="983"/>
      <c r="BC54" s="983"/>
      <c r="BD54" s="983"/>
      <c r="BE54" s="983"/>
      <c r="BF54" s="983"/>
      <c r="BG54" s="983"/>
      <c r="BH54" s="983"/>
      <c r="BI54" s="984"/>
      <c r="BJ54" s="22"/>
    </row>
    <row r="55" spans="1:68">
      <c r="A55" s="199"/>
      <c r="B55" s="33"/>
      <c r="C55" s="421"/>
      <c r="D55" s="422"/>
      <c r="E55" s="422"/>
      <c r="F55" s="422"/>
      <c r="G55" s="422"/>
      <c r="H55" s="422"/>
      <c r="I55" s="422"/>
      <c r="J55" s="422"/>
      <c r="K55" s="422"/>
      <c r="L55" s="422"/>
      <c r="M55" s="422"/>
      <c r="N55" s="422"/>
      <c r="O55" s="422"/>
      <c r="P55" s="422"/>
      <c r="Q55" s="422"/>
      <c r="R55" s="422"/>
      <c r="S55" s="422"/>
      <c r="T55" s="422"/>
      <c r="U55" s="422"/>
      <c r="V55" s="422"/>
      <c r="W55" s="422"/>
      <c r="X55" s="422"/>
      <c r="Y55" s="422"/>
      <c r="Z55" s="422"/>
      <c r="AA55" s="422"/>
      <c r="AB55" s="422"/>
      <c r="AC55" s="422"/>
      <c r="AD55" s="422"/>
      <c r="AE55" s="422"/>
      <c r="AF55" s="422"/>
      <c r="AG55" s="422"/>
      <c r="AH55" s="422"/>
      <c r="AI55" s="423"/>
      <c r="AJ55" s="423"/>
      <c r="AK55" s="423"/>
      <c r="AL55" s="423"/>
      <c r="AM55" s="423"/>
      <c r="AN55" s="423"/>
      <c r="AO55" s="423"/>
      <c r="AP55" s="423"/>
      <c r="AQ55" s="423"/>
      <c r="AR55" s="423"/>
      <c r="AS55" s="423"/>
      <c r="AT55" s="423"/>
      <c r="AU55" s="423"/>
      <c r="AV55" s="423"/>
      <c r="AW55" s="423"/>
      <c r="AX55" s="423"/>
      <c r="AY55" s="423"/>
      <c r="AZ55" s="423"/>
      <c r="BA55" s="423"/>
      <c r="BB55" s="423"/>
      <c r="BC55" s="423"/>
      <c r="BD55" s="423"/>
      <c r="BE55" s="423"/>
      <c r="BF55" s="423"/>
      <c r="BG55" s="423"/>
      <c r="BH55" s="423"/>
      <c r="BI55" s="424"/>
      <c r="BJ55" s="423"/>
    </row>
    <row r="56" spans="1:68">
      <c r="B56" s="33"/>
      <c r="C56" s="422"/>
      <c r="D56" s="422"/>
      <c r="E56" s="422"/>
      <c r="F56" s="422"/>
      <c r="G56" s="422"/>
      <c r="H56" s="422"/>
      <c r="I56" s="422"/>
      <c r="J56" s="422"/>
      <c r="K56" s="422"/>
      <c r="L56" s="422"/>
      <c r="M56" s="422"/>
      <c r="N56" s="422"/>
      <c r="O56" s="422"/>
      <c r="P56" s="422"/>
      <c r="Q56" s="422"/>
      <c r="R56" s="422"/>
      <c r="S56" s="422"/>
      <c r="T56" s="422"/>
      <c r="U56" s="422"/>
      <c r="V56" s="422"/>
      <c r="W56" s="422"/>
      <c r="X56" s="422"/>
      <c r="Y56" s="422"/>
      <c r="Z56" s="422"/>
      <c r="AA56" s="422"/>
      <c r="AB56" s="422"/>
      <c r="AC56" s="422"/>
      <c r="AD56" s="422"/>
      <c r="AE56" s="422"/>
      <c r="AF56" s="422"/>
      <c r="AG56" s="422"/>
      <c r="AH56" s="422"/>
      <c r="AI56" s="423"/>
      <c r="AJ56" s="423"/>
      <c r="AK56" s="423"/>
      <c r="AL56" s="423"/>
      <c r="AM56" s="423"/>
      <c r="AN56" s="423"/>
      <c r="AO56" s="423"/>
      <c r="AP56" s="423"/>
      <c r="AQ56" s="423"/>
      <c r="AR56" s="423"/>
      <c r="AS56" s="423"/>
      <c r="AT56" s="423"/>
      <c r="AU56" s="423"/>
      <c r="AV56" s="423"/>
      <c r="BE56" s="423"/>
      <c r="BF56" s="423"/>
      <c r="BG56" s="423"/>
      <c r="BH56" s="423"/>
      <c r="BI56" s="424"/>
      <c r="BJ56" s="423"/>
    </row>
    <row r="57" spans="1:68" s="183" customFormat="1" ht="18">
      <c r="A57" s="197"/>
      <c r="B57" s="425"/>
      <c r="D57" s="426" t="e">
        <f>#REF!</f>
        <v>#REF!</v>
      </c>
      <c r="E57" s="427"/>
      <c r="F57" s="427"/>
      <c r="H57" s="427"/>
      <c r="I57" s="428"/>
      <c r="J57" s="428"/>
      <c r="K57" s="428"/>
      <c r="L57" s="428"/>
      <c r="M57" s="1202"/>
      <c r="N57" s="1202"/>
      <c r="O57" s="1202"/>
      <c r="P57" s="1202"/>
      <c r="Q57" s="428"/>
      <c r="R57" s="428"/>
      <c r="S57" s="428"/>
      <c r="T57"/>
      <c r="U57"/>
      <c r="V57"/>
      <c r="W57"/>
      <c r="X57"/>
      <c r="Y57"/>
      <c r="Z57"/>
      <c r="AA57"/>
      <c r="AB57"/>
      <c r="AC57"/>
      <c r="AD57"/>
      <c r="AE57"/>
      <c r="AF57"/>
      <c r="AG57" s="422"/>
      <c r="AH57" s="422"/>
      <c r="AI57" s="429"/>
      <c r="AJ57" s="429"/>
      <c r="AK57" s="429"/>
      <c r="AL57" s="429"/>
      <c r="AM57" s="429"/>
      <c r="AN57" s="1223">
        <f>'Input Form'!E34</f>
        <v>0</v>
      </c>
      <c r="AO57" s="1223"/>
      <c r="AP57" s="1223"/>
      <c r="AQ57" s="1223"/>
      <c r="AR57" s="1223"/>
      <c r="AS57" s="1223"/>
      <c r="AT57" s="1223"/>
      <c r="AU57" s="430" t="e">
        <f>#REF!</f>
        <v>#REF!</v>
      </c>
      <c r="AV57" s="431"/>
      <c r="AW57" s="432"/>
      <c r="AX57" s="432"/>
      <c r="AY57" s="432"/>
      <c r="AZ57" s="432"/>
      <c r="BA57" s="432"/>
      <c r="BB57" s="432"/>
      <c r="BC57" s="432"/>
      <c r="BD57" s="432"/>
      <c r="BE57" s="423"/>
      <c r="BF57" s="423"/>
      <c r="BG57" s="423"/>
      <c r="BH57" s="423"/>
      <c r="BI57" s="433"/>
      <c r="BJ57" s="434"/>
    </row>
    <row r="58" spans="1:68" ht="16.5" thickBot="1">
      <c r="B58" s="33"/>
      <c r="C58" s="422"/>
      <c r="D58" s="1203"/>
      <c r="E58" s="1203"/>
      <c r="F58" s="1203"/>
      <c r="G58" s="1203"/>
      <c r="H58" s="1203"/>
      <c r="I58" s="1204"/>
      <c r="J58" s="1204"/>
      <c r="K58" s="1204"/>
      <c r="L58" s="1204"/>
      <c r="M58" s="1204"/>
      <c r="N58" s="1204"/>
      <c r="O58" s="1204"/>
      <c r="P58" s="1204"/>
      <c r="Q58" s="550"/>
      <c r="R58" s="550"/>
      <c r="S58" s="550"/>
      <c r="T58"/>
      <c r="U58"/>
      <c r="V58"/>
      <c r="W58"/>
      <c r="X58"/>
      <c r="Y58"/>
      <c r="Z58"/>
      <c r="AA58"/>
      <c r="AB58"/>
      <c r="AC58"/>
      <c r="AD58"/>
      <c r="AE58"/>
      <c r="AF58"/>
      <c r="AG58" s="422"/>
      <c r="AH58" s="422"/>
      <c r="AI58" s="429"/>
      <c r="AJ58" s="429"/>
      <c r="AK58" s="429"/>
      <c r="AL58" s="429"/>
      <c r="AM58" s="429"/>
      <c r="AN58" s="429"/>
      <c r="AO58" s="429"/>
      <c r="AP58" s="429"/>
      <c r="AQ58" s="429"/>
      <c r="AR58" s="429"/>
      <c r="AS58" s="429"/>
      <c r="AT58" s="429"/>
      <c r="AW58" s="432"/>
      <c r="AX58" s="432"/>
      <c r="AY58" s="432"/>
      <c r="AZ58" s="432"/>
      <c r="BA58" s="432"/>
      <c r="BB58" s="432"/>
      <c r="BC58" s="432"/>
      <c r="BD58" s="432"/>
      <c r="BE58" s="423"/>
      <c r="BF58" s="423"/>
      <c r="BG58" s="423"/>
      <c r="BH58" s="423"/>
      <c r="BI58" s="424"/>
      <c r="BJ58" s="423"/>
    </row>
    <row r="59" spans="1:68" ht="15.75">
      <c r="B59" s="33"/>
      <c r="D59" s="435" t="e">
        <f>+IF(K149="n.b.","n.b.",+IF(K149&lt;80%,"C",+IF(K149&lt;90%,"B","A")))</f>
        <v>#REF!</v>
      </c>
      <c r="E59" s="436" t="e">
        <f>#REF!</f>
        <v>#REF!</v>
      </c>
      <c r="F59" s="437"/>
      <c r="G59" s="437"/>
      <c r="H59" s="437"/>
      <c r="I59" s="437"/>
      <c r="J59" s="437"/>
      <c r="K59" s="437"/>
      <c r="L59" s="437"/>
      <c r="M59" s="438"/>
      <c r="N59" s="438"/>
      <c r="O59" s="439"/>
      <c r="P59" s="439"/>
      <c r="Q59" s="439"/>
      <c r="R59" s="440"/>
      <c r="T59"/>
      <c r="U59"/>
      <c r="V59"/>
      <c r="W59"/>
      <c r="X59"/>
      <c r="Y59"/>
      <c r="Z59"/>
      <c r="AA59"/>
      <c r="AB59"/>
      <c r="AC59"/>
      <c r="AD59"/>
      <c r="AE59"/>
      <c r="AF59"/>
      <c r="AG59" s="422"/>
      <c r="AH59" s="422"/>
      <c r="AI59" s="429"/>
      <c r="AJ59" s="429"/>
      <c r="AK59" s="429"/>
      <c r="AL59" s="429"/>
      <c r="AM59" s="429"/>
      <c r="AN59" s="429"/>
      <c r="AO59" s="429"/>
      <c r="AP59" s="429"/>
      <c r="AQ59" s="429"/>
      <c r="AR59" s="429"/>
      <c r="AS59" s="429"/>
      <c r="AT59" s="429"/>
      <c r="AU59" s="423"/>
      <c r="AV59" s="423"/>
      <c r="AW59" s="432"/>
      <c r="AX59" s="432"/>
      <c r="AY59" s="432"/>
      <c r="AZ59" s="432"/>
      <c r="BA59" s="432"/>
      <c r="BB59" s="432"/>
      <c r="BC59" s="432"/>
      <c r="BD59" s="432"/>
      <c r="BE59" s="423"/>
      <c r="BF59" s="423"/>
      <c r="BG59" s="423"/>
      <c r="BH59" s="423"/>
      <c r="BI59" s="424"/>
      <c r="BJ59" s="423"/>
    </row>
    <row r="60" spans="1:68" ht="18">
      <c r="B60" s="33"/>
      <c r="D60" s="441" t="str">
        <f>+E146</f>
        <v>A</v>
      </c>
      <c r="E60" s="442" t="e">
        <f>#REF!</f>
        <v>#REF!</v>
      </c>
      <c r="F60" s="443"/>
      <c r="G60" s="443"/>
      <c r="H60" s="443"/>
      <c r="I60" s="443"/>
      <c r="J60" s="443"/>
      <c r="K60" s="443"/>
      <c r="L60" s="443"/>
      <c r="M60" s="218"/>
      <c r="N60" s="218"/>
      <c r="O60" s="444"/>
      <c r="P60" s="444"/>
      <c r="Q60" s="444"/>
      <c r="R60" s="445"/>
      <c r="T60"/>
      <c r="U60"/>
      <c r="V60"/>
      <c r="W60"/>
      <c r="X60"/>
      <c r="Y60"/>
      <c r="Z60"/>
      <c r="AA60"/>
      <c r="AB60"/>
      <c r="AC60"/>
      <c r="AD60"/>
      <c r="AE60"/>
      <c r="AF60"/>
      <c r="AG60" s="422"/>
      <c r="AH60" s="422"/>
      <c r="AI60" s="211"/>
      <c r="AJ60" s="211"/>
      <c r="AK60" s="211"/>
      <c r="AL60" s="211"/>
      <c r="AM60" s="422"/>
      <c r="AN60" s="422"/>
      <c r="AO60" s="422"/>
      <c r="AP60" s="422"/>
      <c r="AS60" s="430"/>
      <c r="AT60" s="430"/>
      <c r="AU60" s="430"/>
      <c r="AV60" s="430"/>
      <c r="AW60" s="430"/>
      <c r="AX60" s="430"/>
      <c r="AY60" s="430"/>
      <c r="AZ60" s="430"/>
      <c r="BA60" s="430"/>
      <c r="BB60" s="430"/>
      <c r="BC60" s="430"/>
      <c r="BD60" s="423"/>
      <c r="BE60" s="446"/>
      <c r="BF60" s="423"/>
      <c r="BG60" s="423"/>
      <c r="BH60" s="423"/>
      <c r="BI60" s="424"/>
      <c r="BJ60" s="423"/>
    </row>
    <row r="61" spans="1:68" ht="16.5" thickBot="1">
      <c r="B61" s="33"/>
      <c r="D61" s="447" t="str">
        <f>IF(COUNTIF(A8:A52,BL51)=16,BL51,+IF(COUNTIF((A8:A52),"C")&gt;=1,"C",+IF(+COUNTIF((A8:A52),"B")&gt;=1,"B","A")))</f>
        <v>A</v>
      </c>
      <c r="E61" s="442" t="e">
        <f>#REF!</f>
        <v>#REF!</v>
      </c>
      <c r="F61" s="443"/>
      <c r="G61" s="443"/>
      <c r="H61" s="443"/>
      <c r="I61" s="443"/>
      <c r="J61" s="443"/>
      <c r="K61" s="443"/>
      <c r="L61" s="443"/>
      <c r="M61" s="218"/>
      <c r="N61" s="218"/>
      <c r="O61" s="444"/>
      <c r="P61" s="444"/>
      <c r="Q61" s="444"/>
      <c r="R61" s="445"/>
      <c r="T61"/>
      <c r="U61"/>
      <c r="V61"/>
      <c r="W61"/>
      <c r="X61"/>
      <c r="Y61"/>
      <c r="Z61"/>
      <c r="AA61"/>
      <c r="AB61"/>
      <c r="AC61"/>
      <c r="AD61"/>
      <c r="AE61"/>
      <c r="AF61"/>
      <c r="AG61" s="422"/>
      <c r="AH61" s="422"/>
      <c r="AI61" s="448"/>
      <c r="AJ61" s="448"/>
      <c r="AK61" s="448"/>
      <c r="AL61" s="1221" t="e">
        <f>#REF!</f>
        <v>#REF!</v>
      </c>
      <c r="AM61" s="1221" t="e">
        <f>#REF!</f>
        <v>#REF!</v>
      </c>
      <c r="AN61" s="1221" t="e">
        <f>#REF!</f>
        <v>#REF!</v>
      </c>
      <c r="AO61" s="1221" t="e">
        <f>#REF!</f>
        <v>#REF!</v>
      </c>
      <c r="AP61" s="1221" t="e">
        <f>#REF!</f>
        <v>#REF!</v>
      </c>
      <c r="AQ61" s="1221" t="e">
        <f>#REF!</f>
        <v>#REF!</v>
      </c>
      <c r="AR61" s="1221" t="e">
        <f>#REF!</f>
        <v>#REF!</v>
      </c>
      <c r="AS61" s="1221" t="e">
        <f>#REF!</f>
        <v>#REF!</v>
      </c>
      <c r="AT61" s="1221" t="e">
        <f>#REF!</f>
        <v>#REF!</v>
      </c>
      <c r="AU61" s="1221" t="e">
        <f>#REF!</f>
        <v>#REF!</v>
      </c>
      <c r="AV61" s="1221" t="e">
        <f>#REF!</f>
        <v>#REF!</v>
      </c>
      <c r="AW61" s="1221" t="e">
        <f>#REF!</f>
        <v>#REF!</v>
      </c>
      <c r="AX61" s="1221" t="e">
        <f>#REF!</f>
        <v>#REF!</v>
      </c>
      <c r="AY61" s="1222" t="e">
        <f>SUM(BP8,CB14,CB22,BP29,BP45,BP52)</f>
        <v>#REF!</v>
      </c>
      <c r="AZ61" s="1222"/>
      <c r="BA61" s="565"/>
      <c r="BB61" s="1205" t="s">
        <v>439</v>
      </c>
      <c r="BC61" s="1205"/>
      <c r="BD61" s="1205"/>
      <c r="BE61" s="1205" t="e">
        <f>#REF!</f>
        <v>#REF!</v>
      </c>
      <c r="BF61" s="1205" t="e">
        <f>#REF!</f>
        <v>#REF!</v>
      </c>
      <c r="BG61" s="449"/>
      <c r="BH61" s="423"/>
      <c r="BI61" s="424"/>
      <c r="BJ61" s="423"/>
    </row>
    <row r="62" spans="1:68" ht="15.75">
      <c r="B62" s="33"/>
      <c r="D62" s="441" t="e">
        <f>+AD152</f>
        <v>#REF!</v>
      </c>
      <c r="E62" s="442" t="e">
        <f>#REF!</f>
        <v>#REF!</v>
      </c>
      <c r="F62" s="443"/>
      <c r="G62" s="443"/>
      <c r="H62" s="443"/>
      <c r="I62" s="443"/>
      <c r="J62" s="443"/>
      <c r="K62" s="443"/>
      <c r="L62" s="443"/>
      <c r="M62" s="218"/>
      <c r="N62" s="218"/>
      <c r="O62" s="444"/>
      <c r="P62" s="444"/>
      <c r="Q62" s="444"/>
      <c r="R62" s="445"/>
      <c r="T62"/>
      <c r="U62"/>
      <c r="V62"/>
      <c r="W62"/>
      <c r="X62"/>
      <c r="Y62"/>
      <c r="Z62"/>
      <c r="AA62"/>
      <c r="AB62"/>
      <c r="AC62"/>
      <c r="AD62"/>
      <c r="AE62"/>
      <c r="AF62"/>
      <c r="AG62" s="422"/>
      <c r="AH62" s="422"/>
      <c r="AI62" s="448"/>
      <c r="AJ62" s="448"/>
      <c r="AK62" s="448"/>
      <c r="AL62" s="1221" t="e">
        <f>#REF!</f>
        <v>#REF!</v>
      </c>
      <c r="AM62" s="1221" t="e">
        <f>#REF!</f>
        <v>#REF!</v>
      </c>
      <c r="AN62" s="1221" t="e">
        <f>#REF!</f>
        <v>#REF!</v>
      </c>
      <c r="AO62" s="1221" t="e">
        <f>#REF!</f>
        <v>#REF!</v>
      </c>
      <c r="AP62" s="1221" t="e">
        <f>#REF!</f>
        <v>#REF!</v>
      </c>
      <c r="AQ62" s="1221" t="e">
        <f>#REF!</f>
        <v>#REF!</v>
      </c>
      <c r="AR62" s="1221" t="e">
        <f>#REF!</f>
        <v>#REF!</v>
      </c>
      <c r="AS62" s="1221" t="e">
        <f>#REF!</f>
        <v>#REF!</v>
      </c>
      <c r="AT62" s="1221" t="e">
        <f>#REF!</f>
        <v>#REF!</v>
      </c>
      <c r="AU62" s="1221" t="e">
        <f>#REF!</f>
        <v>#REF!</v>
      </c>
      <c r="AV62" s="1221" t="e">
        <f>#REF!</f>
        <v>#REF!</v>
      </c>
      <c r="AW62" s="1221" t="e">
        <f>#REF!</f>
        <v>#REF!</v>
      </c>
      <c r="AX62" s="1221" t="e">
        <f>#REF!</f>
        <v>#REF!</v>
      </c>
      <c r="AY62" s="1222"/>
      <c r="AZ62" s="1222"/>
      <c r="BA62" s="565"/>
      <c r="BB62" s="1206" t="e">
        <f>IF(OR(AN57=0,ISERROR(AVERAGE(epm,epp,epr,ez,epg,ek))),$BL$35,ROUND(AY61/AY64,2))</f>
        <v>#REF!</v>
      </c>
      <c r="BC62" s="1207"/>
      <c r="BD62" s="1208"/>
      <c r="BE62" s="1215" t="e">
        <f>+IF(BB62=$BL$35,$BL$35,+D65)</f>
        <v>#REF!</v>
      </c>
      <c r="BF62" s="1216"/>
      <c r="BG62" s="449"/>
      <c r="BI62" s="424"/>
      <c r="BJ62" s="423"/>
    </row>
    <row r="63" spans="1:68" ht="30">
      <c r="B63" s="33"/>
      <c r="D63" s="441" t="e">
        <f>+AD167</f>
        <v>#REF!</v>
      </c>
      <c r="E63" s="442" t="e">
        <f>#REF!</f>
        <v>#REF!</v>
      </c>
      <c r="F63" s="443"/>
      <c r="G63" s="443"/>
      <c r="H63" s="443"/>
      <c r="I63" s="443"/>
      <c r="J63" s="443"/>
      <c r="K63" s="443"/>
      <c r="L63" s="443"/>
      <c r="M63" s="218"/>
      <c r="N63" s="218"/>
      <c r="O63" s="444"/>
      <c r="P63" s="444"/>
      <c r="Q63" s="444"/>
      <c r="R63" s="445"/>
      <c r="T63"/>
      <c r="U63"/>
      <c r="V63"/>
      <c r="W63"/>
      <c r="X63"/>
      <c r="Y63"/>
      <c r="Z63"/>
      <c r="AA63"/>
      <c r="AB63"/>
      <c r="AC63"/>
      <c r="AD63"/>
      <c r="AE63"/>
      <c r="AF63"/>
      <c r="AG63" s="422"/>
      <c r="AH63" s="422"/>
      <c r="AI63" s="448"/>
      <c r="AJ63" s="448"/>
      <c r="AK63" s="448"/>
      <c r="AL63" s="355" t="s">
        <v>443</v>
      </c>
      <c r="AM63" s="355"/>
      <c r="AN63" s="355"/>
      <c r="AO63" s="355"/>
      <c r="AP63" s="355"/>
      <c r="AQ63" s="355"/>
      <c r="AR63" s="355"/>
      <c r="AS63" s="355"/>
      <c r="AT63" s="355"/>
      <c r="AU63" s="355"/>
      <c r="AV63" s="355"/>
      <c r="AW63" s="355"/>
      <c r="AX63" s="355"/>
      <c r="AY63" s="355"/>
      <c r="AZ63" s="355"/>
      <c r="BA63" s="355"/>
      <c r="BB63" s="1209"/>
      <c r="BC63" s="1210"/>
      <c r="BD63" s="1211"/>
      <c r="BE63" s="1217"/>
      <c r="BF63" s="1218"/>
      <c r="BG63" s="450"/>
      <c r="BH63" s="450"/>
      <c r="BI63" s="424"/>
      <c r="BJ63" s="423"/>
    </row>
    <row r="64" spans="1:68" ht="30.75" thickBot="1">
      <c r="B64" s="33"/>
      <c r="D64" s="441" t="e">
        <f>++IF(K149=$BL$35,$BL$35,+IF(MIN(epm,ede,epe,elm,ek,epg)&lt;70%,"C",+IF(MIN(epm,ede,epe,elm,ek,epg)&lt;80%,"B","A")))</f>
        <v>#REF!</v>
      </c>
      <c r="E64" s="442" t="e">
        <f>#REF!</f>
        <v>#REF!</v>
      </c>
      <c r="F64" s="443"/>
      <c r="G64" s="443"/>
      <c r="H64" s="443"/>
      <c r="I64" s="443"/>
      <c r="J64" s="443"/>
      <c r="K64" s="443"/>
      <c r="L64" s="443"/>
      <c r="M64" s="218"/>
      <c r="N64" s="218"/>
      <c r="O64" s="444"/>
      <c r="P64" s="444"/>
      <c r="Q64" s="444"/>
      <c r="R64" s="445"/>
      <c r="T64"/>
      <c r="U64"/>
      <c r="V64"/>
      <c r="W64"/>
      <c r="X64"/>
      <c r="Y64"/>
      <c r="Z64"/>
      <c r="AA64"/>
      <c r="AB64"/>
      <c r="AC64"/>
      <c r="AD64"/>
      <c r="AE64"/>
      <c r="AF64"/>
      <c r="AG64" s="422"/>
      <c r="AH64" s="422"/>
      <c r="AI64" s="448"/>
      <c r="AJ64" s="448"/>
      <c r="AK64" s="448"/>
      <c r="AL64" s="1221" t="e">
        <f>#REF!</f>
        <v>#REF!</v>
      </c>
      <c r="AM64" s="1221" t="e">
        <f>#REF!</f>
        <v>#REF!</v>
      </c>
      <c r="AN64" s="1221" t="e">
        <f>#REF!</f>
        <v>#REF!</v>
      </c>
      <c r="AO64" s="1221" t="e">
        <f>#REF!</f>
        <v>#REF!</v>
      </c>
      <c r="AP64" s="1221" t="e">
        <f>#REF!</f>
        <v>#REF!</v>
      </c>
      <c r="AQ64" s="1221" t="e">
        <f>#REF!</f>
        <v>#REF!</v>
      </c>
      <c r="AR64" s="1221" t="e">
        <f>#REF!</f>
        <v>#REF!</v>
      </c>
      <c r="AS64" s="1221" t="e">
        <f>#REF!</f>
        <v>#REF!</v>
      </c>
      <c r="AT64" s="1221" t="e">
        <f>#REF!</f>
        <v>#REF!</v>
      </c>
      <c r="AU64" s="1221" t="e">
        <f>#REF!</f>
        <v>#REF!</v>
      </c>
      <c r="AV64" s="1221" t="e">
        <f>#REF!</f>
        <v>#REF!</v>
      </c>
      <c r="AW64" s="1221" t="e">
        <f>#REF!</f>
        <v>#REF!</v>
      </c>
      <c r="AX64" s="1221" t="e">
        <f>#REF!</f>
        <v>#REF!</v>
      </c>
      <c r="AY64" s="1222" t="e">
        <f>SUM(BO8,CA14,CA22,BO29,BO45,BO52)</f>
        <v>#REF!</v>
      </c>
      <c r="AZ64" s="1222"/>
      <c r="BA64" s="565"/>
      <c r="BB64" s="1212"/>
      <c r="BC64" s="1213"/>
      <c r="BD64" s="1214"/>
      <c r="BE64" s="1219"/>
      <c r="BF64" s="1220"/>
      <c r="BG64" s="450"/>
      <c r="BI64" s="424"/>
      <c r="BJ64" s="423"/>
    </row>
    <row r="65" spans="2:62" ht="30.75" thickBot="1">
      <c r="B65" s="33"/>
      <c r="D65" s="451" t="str">
        <f>IF(COUNTIF(D59:D64,"n.b.")=6,"n.b.",IF(COUNTIF(D59:D64,"C")&gt;=1,"C",IF(COUNTIF(D59:D64,"B")&gt;=1,"B","A")))</f>
        <v>A</v>
      </c>
      <c r="E65" s="452" t="e">
        <f>#REF!</f>
        <v>#REF!</v>
      </c>
      <c r="F65" s="453"/>
      <c r="G65" s="453"/>
      <c r="H65" s="453"/>
      <c r="I65" s="453"/>
      <c r="J65" s="453"/>
      <c r="K65" s="453"/>
      <c r="L65" s="453"/>
      <c r="M65" s="454"/>
      <c r="N65" s="454"/>
      <c r="O65" s="455"/>
      <c r="P65" s="455"/>
      <c r="Q65" s="455"/>
      <c r="R65" s="456"/>
      <c r="T65"/>
      <c r="U65"/>
      <c r="V65"/>
      <c r="W65"/>
      <c r="X65"/>
      <c r="Y65"/>
      <c r="Z65"/>
      <c r="AA65"/>
      <c r="AB65"/>
      <c r="AC65"/>
      <c r="AD65"/>
      <c r="AE65"/>
      <c r="AF65"/>
      <c r="AG65" s="422"/>
      <c r="AH65" s="422"/>
      <c r="AI65" s="448"/>
      <c r="AJ65" s="448"/>
      <c r="AK65" s="448"/>
      <c r="AL65" s="1221" t="e">
        <f>#REF!</f>
        <v>#REF!</v>
      </c>
      <c r="AM65" s="1221" t="e">
        <f>#REF!</f>
        <v>#REF!</v>
      </c>
      <c r="AN65" s="1221" t="e">
        <f>#REF!</f>
        <v>#REF!</v>
      </c>
      <c r="AO65" s="1221" t="e">
        <f>#REF!</f>
        <v>#REF!</v>
      </c>
      <c r="AP65" s="1221" t="e">
        <f>#REF!</f>
        <v>#REF!</v>
      </c>
      <c r="AQ65" s="1221" t="e">
        <f>#REF!</f>
        <v>#REF!</v>
      </c>
      <c r="AR65" s="1221" t="e">
        <f>#REF!</f>
        <v>#REF!</v>
      </c>
      <c r="AS65" s="1221" t="e">
        <f>#REF!</f>
        <v>#REF!</v>
      </c>
      <c r="AT65" s="1221" t="e">
        <f>#REF!</f>
        <v>#REF!</v>
      </c>
      <c r="AU65" s="1221" t="e">
        <f>#REF!</f>
        <v>#REF!</v>
      </c>
      <c r="AV65" s="1221" t="e">
        <f>#REF!</f>
        <v>#REF!</v>
      </c>
      <c r="AW65" s="1221" t="e">
        <f>#REF!</f>
        <v>#REF!</v>
      </c>
      <c r="AX65" s="1221" t="e">
        <f>#REF!</f>
        <v>#REF!</v>
      </c>
      <c r="AY65" s="1222"/>
      <c r="AZ65" s="1222"/>
      <c r="BA65" s="565"/>
      <c r="BB65" s="355"/>
      <c r="BG65" s="450"/>
      <c r="BI65" s="424"/>
      <c r="BJ65" s="423"/>
    </row>
    <row r="66" spans="2:62" ht="19.5" customHeight="1">
      <c r="B66" s="33"/>
      <c r="C66" s="423"/>
      <c r="D66" s="444"/>
      <c r="E66" s="444"/>
      <c r="F66" s="444"/>
      <c r="G66" s="444"/>
      <c r="H66" s="444"/>
      <c r="I66" s="444"/>
      <c r="J66" s="444"/>
      <c r="K66" s="444"/>
      <c r="L66" s="444"/>
      <c r="M66" s="444"/>
      <c r="N66" s="444"/>
      <c r="O66" s="444"/>
      <c r="P66" s="444"/>
      <c r="Q66" s="444"/>
      <c r="R66" s="444"/>
      <c r="S66" s="444"/>
      <c r="T66" s="423"/>
      <c r="U66" s="422"/>
      <c r="V66" s="422"/>
      <c r="W66" s="422"/>
      <c r="X66" s="422"/>
      <c r="Y66" s="422"/>
      <c r="Z66" s="422"/>
      <c r="AA66" s="422"/>
      <c r="AB66" s="422"/>
      <c r="AC66" s="422"/>
      <c r="AD66" s="422"/>
      <c r="AE66" s="422"/>
      <c r="AF66" s="422"/>
      <c r="AG66" s="422"/>
      <c r="AH66" s="422"/>
      <c r="AI66" s="448"/>
      <c r="AJ66" s="448"/>
      <c r="AK66" s="448"/>
      <c r="AL66" s="448"/>
      <c r="AM66" s="448"/>
      <c r="AN66" s="448"/>
      <c r="AO66" s="448"/>
      <c r="AP66" s="448"/>
      <c r="AQ66" s="448"/>
      <c r="AR66" s="448"/>
      <c r="AS66" s="448"/>
      <c r="AT66" s="448"/>
      <c r="AU66" s="448"/>
      <c r="AV66" s="448"/>
      <c r="AW66" s="448"/>
      <c r="AX66" s="448"/>
      <c r="AY66" s="448"/>
      <c r="BD66" s="450"/>
      <c r="BI66" s="424"/>
      <c r="BJ66" s="423"/>
    </row>
    <row r="67" spans="2:62" ht="15" customHeight="1">
      <c r="B67" s="33"/>
      <c r="D67" s="444"/>
      <c r="E67" s="444"/>
      <c r="F67" s="444"/>
      <c r="G67" s="444"/>
      <c r="H67" s="444"/>
      <c r="I67" s="444"/>
      <c r="J67" s="444"/>
      <c r="K67" s="444"/>
      <c r="L67" s="444"/>
      <c r="M67" s="444"/>
      <c r="N67" s="444"/>
      <c r="O67" s="444"/>
      <c r="P67" s="444"/>
      <c r="Q67" s="444"/>
      <c r="R67" s="444"/>
      <c r="S67" s="444"/>
      <c r="T67" s="22"/>
      <c r="U67" s="422"/>
      <c r="W67" s="422"/>
      <c r="X67" s="422"/>
      <c r="Y67" s="422"/>
      <c r="Z67" s="422"/>
      <c r="AA67" s="422"/>
      <c r="AB67" s="422"/>
      <c r="AC67" s="422"/>
      <c r="AD67" s="422"/>
      <c r="AE67" s="422"/>
      <c r="AF67" s="422"/>
      <c r="AG67" s="422"/>
      <c r="AH67" s="422"/>
      <c r="AI67" s="1228"/>
      <c r="AJ67" s="1228"/>
      <c r="AK67" s="1228"/>
      <c r="AL67" s="1228"/>
      <c r="AM67" s="1228"/>
      <c r="AN67" s="1228"/>
      <c r="AO67" s="1228"/>
      <c r="AP67" s="1228"/>
      <c r="AQ67" s="1229"/>
      <c r="AR67" s="356"/>
      <c r="AS67" s="356"/>
      <c r="AT67" s="753"/>
      <c r="AX67" s="457"/>
      <c r="AY67" s="457"/>
      <c r="BE67" s="446"/>
      <c r="BF67" s="457"/>
      <c r="BG67" s="457"/>
      <c r="BH67" s="457"/>
      <c r="BI67" s="458"/>
      <c r="BJ67" s="22"/>
    </row>
    <row r="68" spans="2:62" ht="14.25" customHeight="1">
      <c r="B68" s="33"/>
      <c r="C68" s="22"/>
      <c r="D68" s="22"/>
      <c r="E68" s="22"/>
      <c r="F68" s="22"/>
      <c r="G68" s="22"/>
      <c r="H68" s="22"/>
      <c r="I68" s="22"/>
      <c r="J68" s="22"/>
      <c r="K68" s="22"/>
      <c r="L68" s="22"/>
      <c r="M68" s="22"/>
      <c r="N68" s="22"/>
      <c r="O68" s="149"/>
      <c r="P68" s="22"/>
      <c r="Q68" s="22"/>
      <c r="R68" s="22"/>
      <c r="S68" s="22"/>
      <c r="T68" s="22"/>
      <c r="U68" s="22"/>
      <c r="V68" s="754"/>
      <c r="W68" s="754"/>
      <c r="X68" s="754"/>
      <c r="Y68" s="446"/>
      <c r="Z68" s="174"/>
      <c r="AA68" s="174"/>
      <c r="AB68" s="22"/>
      <c r="AC68" s="22"/>
      <c r="AD68" s="22"/>
      <c r="AE68" s="459"/>
      <c r="AF68" s="434"/>
      <c r="AG68" s="755"/>
      <c r="AH68" s="434"/>
      <c r="AI68" s="175"/>
      <c r="AJ68" s="175"/>
      <c r="AK68" s="175"/>
      <c r="AL68" s="175"/>
      <c r="AM68" s="175"/>
      <c r="AN68" s="175"/>
      <c r="AO68" s="175"/>
      <c r="AP68" s="175"/>
      <c r="AQ68" s="434"/>
      <c r="AR68" s="174"/>
      <c r="AS68" s="174"/>
      <c r="AT68" s="754"/>
      <c r="AX68" s="457"/>
      <c r="AY68" s="457"/>
      <c r="BF68" s="457"/>
      <c r="BG68" s="457"/>
      <c r="BH68" s="457"/>
      <c r="BI68" s="458"/>
      <c r="BJ68" s="22"/>
    </row>
    <row r="69" spans="2:62" ht="15" customHeight="1">
      <c r="B69" s="33"/>
      <c r="C69" s="460" t="e">
        <f>#REF!</f>
        <v>#REF!</v>
      </c>
      <c r="D69" s="423"/>
      <c r="E69" s="423"/>
      <c r="F69" s="423"/>
      <c r="G69" s="423"/>
      <c r="H69" s="423"/>
      <c r="I69" s="22"/>
      <c r="J69" s="423"/>
      <c r="K69" s="423"/>
      <c r="L69" s="423"/>
      <c r="M69" s="423"/>
      <c r="N69" s="422"/>
      <c r="O69" s="461"/>
      <c r="P69" s="422"/>
      <c r="Q69" s="422"/>
      <c r="R69" s="422"/>
      <c r="S69" s="218"/>
      <c r="T69" s="218"/>
      <c r="U69" s="422"/>
      <c r="V69" s="422"/>
      <c r="X69" s="422"/>
      <c r="Y69" s="422"/>
      <c r="Z69" s="422"/>
      <c r="AA69" s="423"/>
      <c r="AB69" s="423"/>
      <c r="AC69" s="423"/>
      <c r="AD69" s="423"/>
      <c r="AG69" s="23" t="e">
        <f>#REF!</f>
        <v>#REF!</v>
      </c>
      <c r="AX69" s="457"/>
      <c r="AY69" s="457"/>
      <c r="AZ69" s="457"/>
      <c r="BA69" s="457"/>
      <c r="BB69" s="457"/>
      <c r="BC69" s="457"/>
      <c r="BD69" s="457"/>
      <c r="BE69" s="457"/>
      <c r="BF69" s="457"/>
      <c r="BG69" s="457"/>
      <c r="BH69" s="457"/>
      <c r="BI69" s="424"/>
      <c r="BJ69" s="423"/>
    </row>
    <row r="70" spans="2:62" ht="7.15" customHeight="1" thickBot="1">
      <c r="B70" s="79"/>
      <c r="C70" s="462"/>
      <c r="D70" s="463"/>
      <c r="E70" s="463"/>
      <c r="F70" s="463"/>
      <c r="G70" s="463"/>
      <c r="H70" s="463"/>
      <c r="I70" s="463"/>
      <c r="J70" s="463"/>
      <c r="K70" s="463"/>
      <c r="L70" s="463"/>
      <c r="M70" s="463"/>
      <c r="N70" s="463"/>
      <c r="O70" s="463"/>
      <c r="P70" s="463"/>
      <c r="Q70" s="463"/>
      <c r="R70" s="463"/>
      <c r="S70" s="463"/>
      <c r="T70" s="463"/>
      <c r="U70" s="463"/>
      <c r="V70" s="463"/>
      <c r="W70" s="463"/>
      <c r="X70" s="463"/>
      <c r="Y70" s="463"/>
      <c r="Z70" s="463"/>
      <c r="AA70" s="463"/>
      <c r="AB70" s="463"/>
      <c r="AC70" s="463"/>
      <c r="AD70" s="463"/>
      <c r="AE70" s="463"/>
      <c r="AF70" s="463"/>
      <c r="AG70" s="463"/>
      <c r="AH70" s="463"/>
      <c r="AI70" s="463"/>
      <c r="AJ70" s="463"/>
      <c r="AK70" s="463"/>
      <c r="AL70" s="463"/>
      <c r="AM70" s="463"/>
      <c r="AN70" s="463"/>
      <c r="AO70" s="463"/>
      <c r="AP70" s="463"/>
      <c r="AQ70" s="463"/>
      <c r="AR70" s="463"/>
      <c r="AS70" s="463"/>
      <c r="AT70" s="463"/>
      <c r="AU70" s="463"/>
      <c r="AV70" s="463"/>
      <c r="AW70" s="463"/>
      <c r="AX70" s="463"/>
      <c r="AY70" s="463"/>
      <c r="AZ70" s="463"/>
      <c r="BA70" s="463"/>
      <c r="BB70" s="463"/>
      <c r="BC70" s="463"/>
      <c r="BD70" s="463"/>
      <c r="BE70" s="463"/>
      <c r="BF70" s="463"/>
      <c r="BG70" s="463"/>
      <c r="BH70" s="463"/>
      <c r="BI70" s="464"/>
      <c r="BJ70" s="423"/>
    </row>
    <row r="71" spans="2:62" ht="10.5" customHeight="1">
      <c r="C71" s="176"/>
      <c r="D71" s="177"/>
      <c r="E71" s="177"/>
      <c r="F71" s="177"/>
      <c r="G71" s="177"/>
      <c r="H71" s="177"/>
      <c r="I71" s="177"/>
      <c r="J71" s="177"/>
      <c r="K71" s="177"/>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row>
    <row r="72" spans="2:62" ht="21" customHeight="1">
      <c r="T72" s="237"/>
      <c r="U72" s="237"/>
      <c r="V72" s="237"/>
      <c r="W72" s="237"/>
      <c r="X72" s="237"/>
      <c r="Y72" s="237"/>
      <c r="Z72" s="237"/>
      <c r="AA72" s="237"/>
      <c r="AB72" s="237"/>
      <c r="AC72" s="237"/>
      <c r="AD72" s="237"/>
      <c r="AE72" s="237"/>
      <c r="AF72" s="237"/>
      <c r="AG72" s="237"/>
      <c r="AH72" s="237"/>
      <c r="AI72" s="237"/>
      <c r="AJ72" s="237"/>
      <c r="AK72" s="237"/>
      <c r="AL72" s="237"/>
      <c r="AM72" s="237"/>
      <c r="AN72" s="237"/>
      <c r="AO72" s="237"/>
      <c r="AP72" s="237"/>
      <c r="AQ72" s="237"/>
      <c r="AR72" s="237"/>
      <c r="AS72" s="237"/>
      <c r="AT72" s="237"/>
      <c r="AU72" s="237"/>
      <c r="AV72" s="237"/>
      <c r="AW72" s="1226"/>
      <c r="AX72" s="1226"/>
      <c r="AY72" s="1226"/>
      <c r="AZ72" s="1226"/>
      <c r="BA72" s="1226"/>
      <c r="BB72" s="1226"/>
      <c r="BC72" s="1226"/>
      <c r="BD72" s="1226"/>
      <c r="BE72" s="1226"/>
      <c r="BF72" s="1226"/>
      <c r="BG72" s="1226"/>
      <c r="BH72" s="1226"/>
      <c r="BI72" s="1226"/>
    </row>
    <row r="73" spans="2:62" ht="138" customHeight="1">
      <c r="D73" s="256" t="s">
        <v>110</v>
      </c>
      <c r="E73" s="257" t="s">
        <v>211</v>
      </c>
      <c r="F73" s="257"/>
      <c r="G73" s="223"/>
      <c r="H73" s="257" t="s">
        <v>217</v>
      </c>
      <c r="I73" s="258" t="s">
        <v>218</v>
      </c>
      <c r="J73" s="236"/>
      <c r="K73" s="236"/>
      <c r="L73" s="236"/>
      <c r="T73" s="237"/>
      <c r="U73" s="237"/>
      <c r="V73" s="237"/>
      <c r="W73" s="237"/>
      <c r="X73" s="237"/>
      <c r="Y73" s="237"/>
      <c r="Z73" s="237"/>
      <c r="AA73" s="237"/>
      <c r="AB73" s="237"/>
      <c r="AC73" s="237"/>
      <c r="AD73" s="237"/>
      <c r="AE73" s="237"/>
      <c r="AF73" s="236"/>
      <c r="AG73" s="236"/>
      <c r="AH73" s="236"/>
      <c r="AI73" s="236"/>
      <c r="AJ73" s="236"/>
      <c r="AK73" s="236"/>
      <c r="AL73" s="236"/>
      <c r="AM73" s="237"/>
      <c r="AN73" s="237"/>
      <c r="AO73" s="237"/>
      <c r="AP73" s="237"/>
      <c r="AQ73" s="237"/>
      <c r="AR73" s="237"/>
      <c r="AS73" s="237"/>
      <c r="AT73" s="237"/>
      <c r="AU73" s="237"/>
      <c r="AV73" s="237"/>
      <c r="AW73" s="1226"/>
      <c r="AX73" s="1226"/>
      <c r="AY73" s="1226"/>
      <c r="AZ73" s="1226"/>
      <c r="BA73" s="1226"/>
      <c r="BB73" s="1226"/>
      <c r="BC73" s="1226"/>
      <c r="BD73" s="1226"/>
      <c r="BE73" s="1226"/>
      <c r="BF73" s="1226"/>
      <c r="BG73" s="1226"/>
      <c r="BH73" s="1226"/>
      <c r="BI73" s="1226"/>
    </row>
    <row r="74" spans="2:62" ht="15.75">
      <c r="D74" s="259" t="s">
        <v>138</v>
      </c>
      <c r="I74" s="224"/>
      <c r="T74" s="237"/>
      <c r="U74" s="237"/>
      <c r="V74" s="237"/>
      <c r="W74" s="237"/>
      <c r="X74" s="237"/>
      <c r="Y74" s="237"/>
      <c r="Z74" s="237"/>
      <c r="AA74" s="237"/>
      <c r="AB74" s="237"/>
      <c r="AC74" s="237"/>
      <c r="AD74" s="237"/>
      <c r="AE74" s="237"/>
      <c r="AM74" s="237"/>
      <c r="AN74" s="237"/>
      <c r="AO74" s="237"/>
      <c r="AP74" s="237"/>
      <c r="AQ74" s="237"/>
      <c r="AR74" s="237"/>
      <c r="AS74" s="237"/>
      <c r="AT74" s="237"/>
      <c r="AU74" s="237"/>
      <c r="AV74" s="237"/>
      <c r="AW74" s="1230"/>
      <c r="AX74" s="1230"/>
      <c r="AY74" s="1230"/>
      <c r="AZ74" s="1230"/>
      <c r="BA74" s="1230"/>
      <c r="BB74" s="1230"/>
      <c r="BC74" s="1230"/>
      <c r="BD74" s="1230"/>
      <c r="BE74" s="1230"/>
      <c r="BF74" s="1230"/>
      <c r="BG74" s="1230"/>
      <c r="BH74" s="1230"/>
      <c r="BI74" s="1230"/>
    </row>
    <row r="75" spans="2:62" ht="15">
      <c r="D75" s="260" t="str">
        <f>+Questions!$A13</f>
        <v>2.1</v>
      </c>
      <c r="I75" s="224"/>
      <c r="T75" s="237"/>
      <c r="U75" s="237"/>
      <c r="V75" s="237"/>
      <c r="W75" s="237"/>
      <c r="X75" s="237"/>
      <c r="Y75" s="237"/>
      <c r="Z75" s="237"/>
      <c r="AA75" s="237"/>
      <c r="AB75" s="237"/>
      <c r="AC75" s="237"/>
      <c r="AD75" s="237"/>
      <c r="AE75" s="237"/>
      <c r="AM75" s="237"/>
      <c r="AN75" s="237"/>
      <c r="AO75" s="237"/>
      <c r="AP75" s="237"/>
      <c r="AQ75" s="237"/>
      <c r="AR75" s="237"/>
      <c r="AS75" s="237"/>
      <c r="AT75" s="237"/>
      <c r="AU75" s="237"/>
      <c r="AV75" s="237"/>
      <c r="AW75" s="1230"/>
      <c r="AX75" s="1230"/>
      <c r="AY75" s="1230"/>
      <c r="AZ75" s="1230"/>
      <c r="BA75" s="1230"/>
      <c r="BB75" s="1230"/>
      <c r="BC75" s="1230"/>
      <c r="BD75" s="1230"/>
      <c r="BE75" s="1230"/>
      <c r="BF75" s="1230"/>
      <c r="BG75" s="1230"/>
      <c r="BH75" s="1230"/>
      <c r="BI75" s="1230"/>
    </row>
    <row r="76" spans="2:62" ht="15">
      <c r="D76" s="260" t="str">
        <f>+Questions!$A14</f>
        <v>2.2</v>
      </c>
      <c r="I76" s="224"/>
      <c r="T76" s="237"/>
      <c r="U76" s="568"/>
      <c r="V76" s="568"/>
      <c r="W76" s="238"/>
      <c r="X76" s="568"/>
      <c r="Y76" s="568"/>
      <c r="Z76" s="568"/>
      <c r="AA76" s="568"/>
      <c r="AB76" s="568"/>
      <c r="AC76" s="568"/>
      <c r="AD76" s="568"/>
      <c r="AE76" s="568"/>
      <c r="AF76" s="568"/>
      <c r="AG76" s="568"/>
      <c r="AH76" s="568"/>
      <c r="AI76" s="568"/>
      <c r="AJ76" s="568"/>
      <c r="AK76" s="568"/>
      <c r="AL76" s="568"/>
      <c r="AM76" s="568"/>
      <c r="AN76" s="568"/>
      <c r="AO76" s="568"/>
      <c r="AP76" s="568"/>
      <c r="AQ76" s="568"/>
      <c r="AR76" s="568"/>
      <c r="AS76" s="568"/>
      <c r="AT76" s="568"/>
      <c r="AU76" s="568"/>
      <c r="AV76" s="568"/>
      <c r="AW76" s="1226"/>
      <c r="AX76" s="1226"/>
      <c r="AY76" s="1226"/>
      <c r="AZ76" s="1226"/>
      <c r="BA76" s="1226"/>
      <c r="BB76" s="1226"/>
      <c r="BC76" s="1226"/>
      <c r="BD76" s="1226"/>
      <c r="BE76" s="1226"/>
      <c r="BF76" s="1226"/>
      <c r="BG76" s="1226"/>
      <c r="BH76" s="1226"/>
      <c r="BI76" s="1226"/>
    </row>
    <row r="77" spans="2:62" ht="15">
      <c r="D77" s="260" t="str">
        <f>+Questions!$A15</f>
        <v>2.3</v>
      </c>
      <c r="I77" s="224"/>
      <c r="T77" s="237"/>
      <c r="U77" s="568"/>
      <c r="V77" s="568"/>
      <c r="W77" s="568"/>
      <c r="X77" s="568"/>
      <c r="Y77" s="568"/>
      <c r="Z77" s="568"/>
      <c r="AA77" s="568"/>
      <c r="AB77" s="568"/>
      <c r="AC77" s="568"/>
      <c r="AD77" s="568"/>
      <c r="AE77" s="568"/>
      <c r="AF77" s="568"/>
      <c r="AG77" s="568"/>
      <c r="AH77" s="568"/>
      <c r="AI77" s="568"/>
      <c r="AJ77" s="568"/>
      <c r="AK77" s="568"/>
      <c r="AL77" s="568"/>
      <c r="AM77" s="568"/>
      <c r="AN77" s="568"/>
      <c r="AO77" s="568"/>
      <c r="AP77" s="568"/>
      <c r="AQ77" s="568"/>
      <c r="AR77" s="568"/>
      <c r="AS77" s="568"/>
      <c r="AT77" s="568"/>
      <c r="AU77" s="568"/>
      <c r="AV77" s="568"/>
      <c r="AW77" s="1226"/>
      <c r="AX77" s="1226"/>
      <c r="AY77" s="1226"/>
      <c r="AZ77" s="1226"/>
      <c r="BA77" s="1226"/>
      <c r="BB77" s="1226"/>
      <c r="BC77" s="1226"/>
      <c r="BD77" s="1226"/>
      <c r="BE77" s="1226"/>
      <c r="BF77" s="1226"/>
      <c r="BG77" s="1226"/>
      <c r="BH77" s="1226"/>
      <c r="BI77" s="1226"/>
    </row>
    <row r="78" spans="2:62" ht="15">
      <c r="D78" s="260" t="str">
        <f>+Questions!$A16</f>
        <v>2.4</v>
      </c>
      <c r="I78" s="224"/>
      <c r="T78" s="237"/>
      <c r="U78" s="568"/>
      <c r="V78" s="568"/>
      <c r="W78" s="1231"/>
      <c r="X78" s="1232"/>
      <c r="Y78" s="1232"/>
      <c r="Z78" s="1232"/>
      <c r="AA78" s="1232"/>
      <c r="AB78" s="1232"/>
      <c r="AC78" s="1232"/>
      <c r="AD78" s="1232"/>
      <c r="AE78" s="1232"/>
      <c r="AF78" s="1232"/>
      <c r="AG78" s="1232"/>
      <c r="AH78" s="1232"/>
      <c r="AI78" s="1232"/>
      <c r="AJ78" s="1232"/>
      <c r="AK78" s="1232"/>
      <c r="AL78" s="1232"/>
      <c r="AM78" s="1232"/>
      <c r="AN78" s="1232"/>
      <c r="AO78" s="1232"/>
      <c r="AP78" s="1232"/>
      <c r="AQ78" s="1232"/>
      <c r="AR78" s="1232"/>
      <c r="AS78" s="1232"/>
      <c r="AT78" s="1232"/>
      <c r="AU78" s="1232"/>
      <c r="AV78" s="1232"/>
      <c r="AW78" s="1226"/>
      <c r="AX78" s="1226"/>
      <c r="AY78" s="1226"/>
      <c r="AZ78" s="1226"/>
      <c r="BA78" s="1226"/>
      <c r="BB78" s="1226"/>
      <c r="BC78" s="1226"/>
      <c r="BD78" s="1226"/>
      <c r="BE78" s="1226"/>
      <c r="BF78" s="1226"/>
      <c r="BG78" s="1226"/>
      <c r="BH78" s="1226"/>
      <c r="BI78" s="1226"/>
    </row>
    <row r="79" spans="2:62" ht="15">
      <c r="D79" s="260" t="str">
        <f>+Questions!$A17</f>
        <v>2.5</v>
      </c>
      <c r="E79" s="23" t="e">
        <f>H8</f>
        <v>#REF!</v>
      </c>
      <c r="I79" s="224"/>
      <c r="T79" s="237"/>
      <c r="U79" s="568"/>
      <c r="V79" s="568"/>
      <c r="W79" s="1232"/>
      <c r="X79" s="1232"/>
      <c r="Y79" s="1232"/>
      <c r="Z79" s="1232"/>
      <c r="AA79" s="1232"/>
      <c r="AB79" s="1232"/>
      <c r="AC79" s="1232"/>
      <c r="AD79" s="1232"/>
      <c r="AE79" s="1232"/>
      <c r="AF79" s="1232"/>
      <c r="AG79" s="1232"/>
      <c r="AH79" s="1232"/>
      <c r="AI79" s="1232"/>
      <c r="AJ79" s="1232"/>
      <c r="AK79" s="1232"/>
      <c r="AL79" s="1232"/>
      <c r="AM79" s="1232"/>
      <c r="AN79" s="1232"/>
      <c r="AO79" s="1232"/>
      <c r="AP79" s="1232"/>
      <c r="AQ79" s="1232"/>
      <c r="AR79" s="1232"/>
      <c r="AS79" s="1232"/>
      <c r="AT79" s="1232"/>
      <c r="AU79" s="1232"/>
      <c r="AV79" s="1232"/>
      <c r="AW79" s="1226"/>
      <c r="AX79" s="1226"/>
      <c r="AY79" s="1226"/>
      <c r="AZ79" s="1226"/>
      <c r="BA79" s="1226"/>
      <c r="BB79" s="1226"/>
      <c r="BC79" s="1226"/>
      <c r="BD79" s="1226"/>
      <c r="BE79" s="1226"/>
      <c r="BF79" s="1226"/>
      <c r="BG79" s="1226"/>
      <c r="BH79" s="1226"/>
      <c r="BI79" s="1226"/>
    </row>
    <row r="80" spans="2:62" ht="15">
      <c r="D80" s="260" t="str">
        <f>+Questions!$A18</f>
        <v>2.6</v>
      </c>
      <c r="E80" s="23" t="e">
        <f>I8</f>
        <v>#REF!</v>
      </c>
      <c r="I80" s="224"/>
      <c r="T80" s="237"/>
      <c r="U80" s="568"/>
      <c r="V80" s="568"/>
      <c r="W80" s="1224"/>
      <c r="X80" s="1225"/>
      <c r="Y80" s="1225"/>
      <c r="Z80" s="1225"/>
      <c r="AA80" s="1225"/>
      <c r="AB80" s="1225"/>
      <c r="AC80" s="1225"/>
      <c r="AD80" s="1225"/>
      <c r="AE80" s="1225"/>
      <c r="AF80" s="1225"/>
      <c r="AG80" s="1225"/>
      <c r="AH80" s="1225"/>
      <c r="AI80" s="1225"/>
      <c r="AJ80" s="1225"/>
      <c r="AK80" s="1225"/>
      <c r="AL80" s="1225"/>
      <c r="AM80" s="1225"/>
      <c r="AN80" s="1225"/>
      <c r="AO80" s="1225"/>
      <c r="AP80" s="1225"/>
      <c r="AQ80" s="1225"/>
      <c r="AR80" s="1225"/>
      <c r="AS80" s="1225"/>
      <c r="AT80" s="1225"/>
      <c r="AU80" s="1225"/>
      <c r="AV80" s="1225"/>
      <c r="AW80" s="1226"/>
      <c r="AX80" s="1226"/>
      <c r="AY80" s="1226"/>
      <c r="AZ80" s="1226"/>
      <c r="BA80" s="1226"/>
      <c r="BB80" s="1226"/>
      <c r="BC80" s="1226"/>
      <c r="BD80" s="1226"/>
      <c r="BE80" s="1226"/>
      <c r="BF80" s="1226"/>
      <c r="BG80" s="1226"/>
      <c r="BH80" s="1226"/>
      <c r="BI80" s="1226"/>
    </row>
    <row r="81" spans="4:61" ht="15">
      <c r="D81" s="260" t="str">
        <f>+Questions!$A19</f>
        <v>2.7</v>
      </c>
      <c r="I81" s="224"/>
      <c r="T81" s="237"/>
      <c r="U81" s="568"/>
      <c r="V81" s="568"/>
      <c r="W81" s="1225"/>
      <c r="X81" s="1225"/>
      <c r="Y81" s="1225"/>
      <c r="Z81" s="1225"/>
      <c r="AA81" s="1225"/>
      <c r="AB81" s="1225"/>
      <c r="AC81" s="1225"/>
      <c r="AD81" s="1225"/>
      <c r="AE81" s="1225"/>
      <c r="AF81" s="1225"/>
      <c r="AG81" s="1225"/>
      <c r="AH81" s="1225"/>
      <c r="AI81" s="1225"/>
      <c r="AJ81" s="1225"/>
      <c r="AK81" s="1225"/>
      <c r="AL81" s="1225"/>
      <c r="AM81" s="1225"/>
      <c r="AN81" s="1225"/>
      <c r="AO81" s="1225"/>
      <c r="AP81" s="1225"/>
      <c r="AQ81" s="1225"/>
      <c r="AR81" s="1225"/>
      <c r="AS81" s="1225"/>
      <c r="AT81" s="1225"/>
      <c r="AU81" s="1225"/>
      <c r="AV81" s="1225"/>
      <c r="AW81" s="1226"/>
      <c r="AX81" s="1226"/>
      <c r="AY81" s="1226"/>
      <c r="AZ81" s="1226"/>
      <c r="BA81" s="1226"/>
      <c r="BB81" s="1226"/>
      <c r="BC81" s="1226"/>
      <c r="BD81" s="1226"/>
      <c r="BE81" s="1226"/>
      <c r="BF81" s="1226"/>
      <c r="BG81" s="1226"/>
      <c r="BH81" s="1226"/>
      <c r="BI81" s="1226"/>
    </row>
    <row r="82" spans="4:61" ht="15.75">
      <c r="D82" s="261" t="str">
        <f>+Questions!$A20</f>
        <v>P3</v>
      </c>
      <c r="G82" s="23" t="s">
        <v>138</v>
      </c>
      <c r="H82" s="23" t="str">
        <f>+IF(COUNT(E75:E81)=0,"n.b.",+IF(MIN(E75:E81)=0,"C",+IF(MIN(E75:E81)=4,"B","A")))</f>
        <v>n.b.</v>
      </c>
      <c r="I82" s="224" t="e">
        <f>+A8</f>
        <v>#REF!</v>
      </c>
      <c r="T82" s="237"/>
      <c r="U82" s="568"/>
      <c r="V82" s="568"/>
      <c r="W82" s="1225"/>
      <c r="X82" s="1225"/>
      <c r="Y82" s="1225"/>
      <c r="Z82" s="1225"/>
      <c r="AA82" s="1225"/>
      <c r="AB82" s="1225"/>
      <c r="AC82" s="1225"/>
      <c r="AD82" s="1225"/>
      <c r="AE82" s="1225"/>
      <c r="AF82" s="1225"/>
      <c r="AG82" s="1225"/>
      <c r="AH82" s="1225"/>
      <c r="AI82" s="1225"/>
      <c r="AJ82" s="1225"/>
      <c r="AK82" s="1225"/>
      <c r="AL82" s="1225"/>
      <c r="AM82" s="1225"/>
      <c r="AN82" s="1225"/>
      <c r="AO82" s="1225"/>
      <c r="AP82" s="1225"/>
      <c r="AQ82" s="1225"/>
      <c r="AR82" s="1225"/>
      <c r="AS82" s="1225"/>
      <c r="AT82" s="1225"/>
      <c r="AU82" s="1225"/>
      <c r="AV82" s="1225"/>
      <c r="AW82" s="1227"/>
      <c r="AX82" s="1227"/>
      <c r="AY82" s="1227"/>
      <c r="AZ82" s="1227"/>
      <c r="BA82" s="1227"/>
      <c r="BB82" s="1227"/>
      <c r="BC82" s="1227"/>
      <c r="BD82" s="1227"/>
      <c r="BE82" s="1227"/>
      <c r="BF82" s="1227"/>
      <c r="BG82" s="1227"/>
      <c r="BH82" s="1227"/>
      <c r="BI82" s="1227"/>
    </row>
    <row r="83" spans="4:61" ht="15">
      <c r="D83" s="260" t="str">
        <f>+Questions!$A22</f>
        <v>3.1</v>
      </c>
      <c r="I83" s="224"/>
      <c r="T83" s="237"/>
      <c r="U83" s="568"/>
      <c r="V83" s="568"/>
      <c r="W83" s="1224"/>
      <c r="X83" s="1225"/>
      <c r="Y83" s="1225"/>
      <c r="Z83" s="1225"/>
      <c r="AA83" s="1225"/>
      <c r="AB83" s="1225"/>
      <c r="AC83" s="1225"/>
      <c r="AD83" s="1225"/>
      <c r="AE83" s="1225"/>
      <c r="AF83" s="1225"/>
      <c r="AG83" s="1225"/>
      <c r="AH83" s="1225"/>
      <c r="AI83" s="1225"/>
      <c r="AJ83" s="1225"/>
      <c r="AK83" s="1225"/>
      <c r="AL83" s="1225"/>
      <c r="AM83" s="1225"/>
      <c r="AN83" s="1225"/>
      <c r="AO83" s="1225"/>
      <c r="AP83" s="1225"/>
      <c r="AQ83" s="1225"/>
      <c r="AR83" s="1225"/>
      <c r="AS83" s="1225"/>
      <c r="AT83" s="1225"/>
      <c r="AU83" s="1225"/>
      <c r="AV83" s="1225"/>
      <c r="AW83" s="1227"/>
      <c r="AX83" s="1227"/>
      <c r="AY83" s="1227"/>
      <c r="AZ83" s="1227"/>
      <c r="BA83" s="1227"/>
      <c r="BB83" s="1227"/>
      <c r="BC83" s="1227"/>
      <c r="BD83" s="1227"/>
      <c r="BE83" s="1227"/>
      <c r="BF83" s="1227"/>
      <c r="BG83" s="1227"/>
      <c r="BH83" s="1227"/>
      <c r="BI83" s="1227"/>
    </row>
    <row r="84" spans="4:61" ht="15">
      <c r="D84" s="260" t="str">
        <f>+Questions!$A25</f>
        <v>3.2</v>
      </c>
      <c r="E84" s="23" t="str">
        <f>IF(COUNT(J84:K84)&gt;0,MIN(J84:K84),"n.b")</f>
        <v>n.b</v>
      </c>
      <c r="I84" s="224"/>
      <c r="J84" s="142" t="e">
        <f>E14</f>
        <v>#REF!</v>
      </c>
      <c r="K84" s="142" t="e">
        <f>P14</f>
        <v>#REF!</v>
      </c>
      <c r="T84" s="237"/>
      <c r="U84" s="568"/>
      <c r="V84" s="568"/>
      <c r="W84" s="1225"/>
      <c r="X84" s="1225"/>
      <c r="Y84" s="1225"/>
      <c r="Z84" s="1225"/>
      <c r="AA84" s="1225"/>
      <c r="AB84" s="1225"/>
      <c r="AC84" s="1225"/>
      <c r="AD84" s="1225"/>
      <c r="AE84" s="1225"/>
      <c r="AF84" s="1225"/>
      <c r="AG84" s="1225"/>
      <c r="AH84" s="1225"/>
      <c r="AI84" s="1225"/>
      <c r="AJ84" s="1225"/>
      <c r="AK84" s="1225"/>
      <c r="AL84" s="1225"/>
      <c r="AM84" s="1225"/>
      <c r="AN84" s="1225"/>
      <c r="AO84" s="1225"/>
      <c r="AP84" s="1225"/>
      <c r="AQ84" s="1225"/>
      <c r="AR84" s="1225"/>
      <c r="AS84" s="1225"/>
      <c r="AT84" s="1225"/>
      <c r="AU84" s="1225"/>
      <c r="AV84" s="1225"/>
      <c r="AW84" s="1227"/>
      <c r="AX84" s="1227"/>
      <c r="AY84" s="1227"/>
      <c r="AZ84" s="1227"/>
      <c r="BA84" s="1227"/>
      <c r="BB84" s="1227"/>
      <c r="BC84" s="1227"/>
      <c r="BD84" s="1227"/>
      <c r="BE84" s="1227"/>
      <c r="BF84" s="1227"/>
      <c r="BG84" s="1227"/>
      <c r="BH84" s="1227"/>
      <c r="BI84" s="1227"/>
    </row>
    <row r="85" spans="4:61" ht="15">
      <c r="D85" s="260" t="str">
        <f>+Questions!$A28</f>
        <v>3.3</v>
      </c>
      <c r="I85" s="224"/>
      <c r="J85" s="142"/>
      <c r="K85" s="142"/>
      <c r="T85" s="237"/>
      <c r="U85" s="568"/>
      <c r="V85" s="568"/>
      <c r="W85" s="1234"/>
      <c r="X85" s="1234"/>
      <c r="Y85" s="1234"/>
      <c r="Z85" s="1234"/>
      <c r="AA85" s="1234"/>
      <c r="AB85" s="1234"/>
      <c r="AC85" s="1234"/>
      <c r="AD85" s="1234"/>
      <c r="AE85" s="1234"/>
      <c r="AF85" s="1234"/>
      <c r="AG85" s="1234"/>
      <c r="AH85" s="1234"/>
      <c r="AI85" s="1234"/>
      <c r="AJ85" s="1234"/>
      <c r="AK85" s="1234"/>
      <c r="AL85" s="1234"/>
      <c r="AM85" s="1234"/>
      <c r="AN85" s="1234"/>
      <c r="AO85" s="1234"/>
      <c r="AP85" s="1234"/>
      <c r="AQ85" s="1234"/>
      <c r="AR85" s="1234"/>
      <c r="AS85" s="1234"/>
      <c r="AT85" s="1234"/>
      <c r="AU85" s="1234"/>
      <c r="AV85" s="1234"/>
      <c r="AW85" s="1227"/>
      <c r="AX85" s="1227"/>
      <c r="AY85" s="1227"/>
      <c r="AZ85" s="1227"/>
      <c r="BA85" s="1227"/>
      <c r="BB85" s="1227"/>
      <c r="BC85" s="1227"/>
      <c r="BD85" s="1227"/>
      <c r="BE85" s="1227"/>
      <c r="BF85" s="1227"/>
      <c r="BG85" s="1227"/>
      <c r="BH85" s="1227"/>
      <c r="BI85" s="1227"/>
    </row>
    <row r="86" spans="4:61" ht="15">
      <c r="D86" s="260" t="str">
        <f>+Questions!$A31</f>
        <v>3.4</v>
      </c>
      <c r="I86" s="224"/>
      <c r="J86" s="142"/>
      <c r="K86" s="142"/>
      <c r="T86" s="237"/>
      <c r="U86" s="568"/>
      <c r="V86" s="568"/>
      <c r="W86" s="1234"/>
      <c r="X86" s="1234"/>
      <c r="Y86" s="1234"/>
      <c r="Z86" s="1234"/>
      <c r="AA86" s="1234"/>
      <c r="AB86" s="1234"/>
      <c r="AC86" s="1234"/>
      <c r="AD86" s="1234"/>
      <c r="AE86" s="1234"/>
      <c r="AF86" s="1234"/>
      <c r="AG86" s="1234"/>
      <c r="AH86" s="1234"/>
      <c r="AI86" s="1234"/>
      <c r="AJ86" s="1234"/>
      <c r="AK86" s="1234"/>
      <c r="AL86" s="1234"/>
      <c r="AM86" s="1234"/>
      <c r="AN86" s="1234"/>
      <c r="AO86" s="1234"/>
      <c r="AP86" s="1234"/>
      <c r="AQ86" s="1234"/>
      <c r="AR86" s="1234"/>
      <c r="AS86" s="1234"/>
      <c r="AT86" s="1234"/>
      <c r="AU86" s="1234"/>
      <c r="AV86" s="1234"/>
      <c r="AW86" s="1227"/>
      <c r="AX86" s="1227"/>
      <c r="AY86" s="1227"/>
      <c r="AZ86" s="1227"/>
      <c r="BA86" s="1227"/>
      <c r="BB86" s="1227"/>
      <c r="BC86" s="1227"/>
      <c r="BD86" s="1227"/>
      <c r="BE86" s="1227"/>
      <c r="BF86" s="1227"/>
      <c r="BG86" s="1227"/>
      <c r="BH86" s="1227"/>
      <c r="BI86" s="1227"/>
    </row>
    <row r="87" spans="4:61">
      <c r="D87" s="260" t="str">
        <f>+Questions!$A34</f>
        <v>3.5</v>
      </c>
      <c r="I87" s="224"/>
      <c r="J87" s="142"/>
      <c r="K87" s="142"/>
      <c r="T87" s="211"/>
      <c r="U87" s="1233"/>
      <c r="V87" s="1233"/>
      <c r="W87" s="1233"/>
      <c r="X87" s="1233"/>
      <c r="Y87" s="1233"/>
      <c r="Z87" s="1233"/>
      <c r="AA87" s="1233"/>
      <c r="AB87" s="1233"/>
      <c r="AC87" s="1233"/>
      <c r="AD87" s="1233"/>
      <c r="AE87" s="1233"/>
      <c r="AF87" s="1233"/>
      <c r="AG87" s="1233"/>
      <c r="AH87" s="1233"/>
      <c r="AI87" s="1233"/>
      <c r="AJ87" s="1233"/>
      <c r="AK87" s="1233"/>
      <c r="AL87" s="1233"/>
      <c r="AM87" s="1233"/>
      <c r="AN87" s="1233"/>
      <c r="AO87" s="1233"/>
      <c r="AP87" s="1233"/>
      <c r="AQ87" s="1233"/>
      <c r="AR87" s="1233"/>
      <c r="AS87" s="1233"/>
      <c r="AT87" s="1233"/>
      <c r="AU87" s="1233"/>
      <c r="AV87" s="1233"/>
      <c r="AW87" s="1227"/>
      <c r="AX87" s="1227"/>
      <c r="AY87" s="1227"/>
      <c r="AZ87" s="1227"/>
      <c r="BA87" s="1227"/>
      <c r="BB87" s="1227"/>
      <c r="BC87" s="1227"/>
      <c r="BD87" s="1227"/>
      <c r="BE87" s="1227"/>
      <c r="BF87" s="1227"/>
      <c r="BG87" s="1227"/>
      <c r="BH87" s="1227"/>
      <c r="BI87" s="1227"/>
    </row>
    <row r="88" spans="4:61" ht="15">
      <c r="D88" s="261" t="str">
        <f>+Questions!$A37</f>
        <v>P4</v>
      </c>
      <c r="G88" s="23" t="s">
        <v>139</v>
      </c>
      <c r="H88" s="23" t="str">
        <f>+IF(COUNT(E82:E87)=0,"n.b.",+IF(MIN(E82:E87)=0,"C",+IF(MIN(E82:E87)=4,"B","A")))</f>
        <v>n.b.</v>
      </c>
      <c r="I88" s="224" t="e">
        <f>+A14</f>
        <v>#REF!</v>
      </c>
      <c r="J88" s="142"/>
      <c r="K88" s="142"/>
      <c r="T88" s="211"/>
      <c r="U88" s="1233"/>
      <c r="V88" s="1233"/>
      <c r="W88" s="1233"/>
      <c r="X88" s="1233"/>
      <c r="Y88" s="1233"/>
      <c r="Z88" s="1233"/>
      <c r="AA88" s="1233"/>
      <c r="AB88" s="1233"/>
      <c r="AC88" s="1233"/>
      <c r="AD88" s="1233"/>
      <c r="AE88" s="1233"/>
      <c r="AF88" s="1233"/>
      <c r="AG88" s="1233"/>
      <c r="AH88" s="1233"/>
      <c r="AI88" s="1233"/>
      <c r="AJ88" s="1233"/>
      <c r="AK88" s="1233"/>
      <c r="AL88" s="1233"/>
      <c r="AM88" s="1233"/>
      <c r="AN88" s="1233"/>
      <c r="AO88" s="1233"/>
      <c r="AP88" s="1233"/>
      <c r="AQ88" s="1233"/>
      <c r="AR88" s="1233"/>
      <c r="AS88" s="1233"/>
      <c r="AT88" s="1233"/>
      <c r="AU88" s="1233"/>
      <c r="AV88" s="1233"/>
      <c r="AW88" s="1227"/>
      <c r="AX88" s="1227"/>
      <c r="AY88" s="1227"/>
      <c r="AZ88" s="1227"/>
      <c r="BA88" s="1227"/>
      <c r="BB88" s="1227"/>
      <c r="BC88" s="1227"/>
      <c r="BD88" s="1227"/>
      <c r="BE88" s="1227"/>
      <c r="BF88" s="1227"/>
      <c r="BG88" s="1227"/>
      <c r="BH88" s="1227"/>
      <c r="BI88" s="1227"/>
    </row>
    <row r="89" spans="4:61">
      <c r="D89" s="260" t="str">
        <f>+Questions!$A39</f>
        <v>4.1</v>
      </c>
      <c r="E89" s="23" t="str">
        <f>IF(COUNT(J89:K89)&gt;0,MIN(J89:K89),"n.b")</f>
        <v>n.b</v>
      </c>
      <c r="I89" s="224"/>
      <c r="J89" s="142" t="e">
        <f>D22</f>
        <v>#REF!</v>
      </c>
      <c r="K89" s="142" t="e">
        <f>Q22</f>
        <v>#REF!</v>
      </c>
      <c r="T89" s="211"/>
      <c r="U89" s="1233"/>
      <c r="V89" s="1233"/>
      <c r="W89" s="1233"/>
      <c r="X89" s="1233"/>
      <c r="Y89" s="1233"/>
      <c r="Z89" s="1233"/>
      <c r="AA89" s="1233"/>
      <c r="AB89" s="1233"/>
      <c r="AC89" s="1233"/>
      <c r="AD89" s="1233"/>
      <c r="AE89" s="1233"/>
      <c r="AF89" s="1233"/>
      <c r="AG89" s="1233"/>
      <c r="AH89" s="1233"/>
      <c r="AI89" s="1233"/>
      <c r="AJ89" s="1233"/>
      <c r="AK89" s="1233"/>
      <c r="AL89" s="1233"/>
      <c r="AM89" s="1233"/>
      <c r="AN89" s="1233"/>
      <c r="AO89" s="1233"/>
      <c r="AP89" s="1233"/>
      <c r="AQ89" s="1233"/>
      <c r="AR89" s="1233"/>
      <c r="AS89" s="1233"/>
      <c r="AT89" s="1233"/>
      <c r="AU89" s="1233"/>
      <c r="AV89" s="1233"/>
      <c r="AW89" s="1227"/>
      <c r="AX89" s="1227"/>
      <c r="AY89" s="1227"/>
      <c r="AZ89" s="1227"/>
      <c r="BA89" s="1227"/>
      <c r="BB89" s="1227"/>
      <c r="BC89" s="1227"/>
      <c r="BD89" s="1227"/>
      <c r="BE89" s="1227"/>
      <c r="BF89" s="1227"/>
      <c r="BG89" s="1227"/>
      <c r="BH89" s="1227"/>
      <c r="BI89" s="1227"/>
    </row>
    <row r="90" spans="4:61">
      <c r="D90" s="260" t="str">
        <f>+Questions!$A42</f>
        <v>4.2</v>
      </c>
      <c r="I90" s="224"/>
      <c r="J90" s="142"/>
      <c r="K90" s="142"/>
      <c r="T90" s="211"/>
      <c r="U90" s="1233"/>
      <c r="V90" s="1233"/>
      <c r="W90" s="1233"/>
      <c r="X90" s="1233"/>
      <c r="Y90" s="1233"/>
      <c r="Z90" s="1233"/>
      <c r="AA90" s="1233"/>
      <c r="AB90" s="1233"/>
      <c r="AC90" s="1233"/>
      <c r="AD90" s="1233"/>
      <c r="AE90" s="1233"/>
      <c r="AF90" s="1233"/>
      <c r="AG90" s="1233"/>
      <c r="AH90" s="1233"/>
      <c r="AI90" s="1233"/>
      <c r="AJ90" s="1233"/>
      <c r="AK90" s="1233"/>
      <c r="AL90" s="1233"/>
      <c r="AM90" s="1233"/>
      <c r="AN90" s="1233"/>
      <c r="AO90" s="1233"/>
      <c r="AP90" s="1233"/>
      <c r="AQ90" s="1233"/>
      <c r="AR90" s="1233"/>
      <c r="AS90" s="1233"/>
      <c r="AT90" s="1233"/>
      <c r="AU90" s="1233"/>
      <c r="AV90" s="1233"/>
      <c r="AW90" s="1227"/>
      <c r="AX90" s="1227"/>
      <c r="AY90" s="1227"/>
      <c r="AZ90" s="1227"/>
      <c r="BA90" s="1227"/>
      <c r="BB90" s="1227"/>
      <c r="BC90" s="1227"/>
      <c r="BD90" s="1227"/>
      <c r="BE90" s="1227"/>
      <c r="BF90" s="1227"/>
      <c r="BG90" s="1227"/>
      <c r="BH90" s="1227"/>
      <c r="BI90" s="1227"/>
    </row>
    <row r="91" spans="4:61">
      <c r="D91" s="260" t="str">
        <f>+Questions!$A45</f>
        <v>4.3</v>
      </c>
      <c r="I91" s="224"/>
      <c r="J91" s="142"/>
      <c r="K91" s="142"/>
      <c r="T91" s="211"/>
      <c r="U91" s="1233"/>
      <c r="V91" s="1233"/>
      <c r="W91" s="1233"/>
      <c r="X91" s="1233"/>
      <c r="Y91" s="1233"/>
      <c r="Z91" s="1233"/>
      <c r="AA91" s="1233"/>
      <c r="AB91" s="1233"/>
      <c r="AC91" s="1233"/>
      <c r="AD91" s="1233"/>
      <c r="AE91" s="1233"/>
      <c r="AF91" s="1233"/>
      <c r="AG91" s="1233"/>
      <c r="AH91" s="1233"/>
      <c r="AI91" s="1233"/>
      <c r="AJ91" s="1233"/>
      <c r="AK91" s="1233"/>
      <c r="AL91" s="1233"/>
      <c r="AM91" s="1233"/>
      <c r="AN91" s="1233"/>
      <c r="AO91" s="1233"/>
      <c r="AP91" s="1233"/>
      <c r="AQ91" s="1233"/>
      <c r="AR91" s="1233"/>
      <c r="AS91" s="1233"/>
      <c r="AT91" s="1233"/>
      <c r="AU91" s="1233"/>
      <c r="AV91" s="1233"/>
      <c r="AW91" s="1227"/>
      <c r="AX91" s="1227"/>
      <c r="AY91" s="1227"/>
      <c r="AZ91" s="1227"/>
      <c r="BA91" s="1227"/>
      <c r="BB91" s="1227"/>
      <c r="BC91" s="1227"/>
      <c r="BD91" s="1227"/>
      <c r="BE91" s="1227"/>
      <c r="BF91" s="1227"/>
      <c r="BG91" s="1227"/>
      <c r="BH91" s="1227"/>
      <c r="BI91" s="1227"/>
    </row>
    <row r="92" spans="4:61">
      <c r="D92" s="260" t="str">
        <f>+Questions!$A48</f>
        <v>4.4</v>
      </c>
      <c r="E92" s="23" t="str">
        <f>IF(COUNT(J92:K92)&gt;0,MIN(J92:K92),"n.b")</f>
        <v>n.b</v>
      </c>
      <c r="I92" s="224"/>
      <c r="J92" s="142" t="e">
        <f>G22</f>
        <v>#REF!</v>
      </c>
      <c r="K92" s="142" t="e">
        <f>T22</f>
        <v>#REF!</v>
      </c>
      <c r="T92" s="211"/>
      <c r="U92" s="1233"/>
      <c r="V92" s="1233"/>
      <c r="W92" s="1233"/>
      <c r="X92" s="1233"/>
      <c r="Y92" s="1233"/>
      <c r="Z92" s="1233"/>
      <c r="AA92" s="1233"/>
      <c r="AB92" s="1233"/>
      <c r="AC92" s="1233"/>
      <c r="AD92" s="1233"/>
      <c r="AE92" s="1233"/>
      <c r="AF92" s="1233"/>
      <c r="AG92" s="1233"/>
      <c r="AH92" s="1233"/>
      <c r="AI92" s="1233"/>
      <c r="AJ92" s="1233"/>
      <c r="AK92" s="1233"/>
      <c r="AL92" s="1233"/>
      <c r="AM92" s="1233"/>
      <c r="AN92" s="1233"/>
      <c r="AO92" s="1233"/>
      <c r="AP92" s="1233"/>
      <c r="AQ92" s="1233"/>
      <c r="AR92" s="1233"/>
      <c r="AS92" s="1233"/>
      <c r="AT92" s="1233"/>
      <c r="AU92" s="1233"/>
      <c r="AV92" s="1233"/>
      <c r="AW92" s="1227"/>
      <c r="AX92" s="1227"/>
      <c r="AY92" s="1227"/>
      <c r="AZ92" s="1227"/>
      <c r="BA92" s="1227"/>
      <c r="BB92" s="1227"/>
      <c r="BC92" s="1227"/>
      <c r="BD92" s="1227"/>
      <c r="BE92" s="1227"/>
      <c r="BF92" s="1227"/>
      <c r="BG92" s="1227"/>
      <c r="BH92" s="1227"/>
      <c r="BI92" s="1227"/>
    </row>
    <row r="93" spans="4:61">
      <c r="D93" s="260" t="str">
        <f>+Questions!$A51</f>
        <v>4.5</v>
      </c>
      <c r="I93" s="224"/>
      <c r="J93" s="142"/>
      <c r="K93" s="142"/>
      <c r="T93" s="211"/>
      <c r="U93" s="1233"/>
      <c r="V93" s="1233"/>
      <c r="W93" s="1233"/>
      <c r="X93" s="1233"/>
      <c r="Y93" s="1233"/>
      <c r="Z93" s="1233"/>
      <c r="AA93" s="1233"/>
      <c r="AB93" s="1233"/>
      <c r="AC93" s="1233"/>
      <c r="AD93" s="1233"/>
      <c r="AE93" s="1233"/>
      <c r="AF93" s="1233"/>
      <c r="AG93" s="1233"/>
      <c r="AH93" s="1233"/>
      <c r="AI93" s="1233"/>
      <c r="AJ93" s="1233"/>
      <c r="AK93" s="1233"/>
      <c r="AL93" s="1233"/>
      <c r="AM93" s="1233"/>
      <c r="AN93" s="1233"/>
      <c r="AO93" s="1233"/>
      <c r="AP93" s="1233"/>
      <c r="AQ93" s="1233"/>
      <c r="AR93" s="1233"/>
      <c r="AS93" s="1233"/>
      <c r="AT93" s="1233"/>
      <c r="AU93" s="1233"/>
      <c r="AV93" s="1233"/>
      <c r="AW93" s="1227"/>
      <c r="AX93" s="1227"/>
      <c r="AY93" s="1227"/>
      <c r="AZ93" s="1227"/>
      <c r="BA93" s="1227"/>
      <c r="BB93" s="1227"/>
      <c r="BC93" s="1227"/>
      <c r="BD93" s="1227"/>
      <c r="BE93" s="1227"/>
      <c r="BF93" s="1227"/>
      <c r="BG93" s="1227"/>
      <c r="BH93" s="1227"/>
      <c r="BI93" s="1227"/>
    </row>
    <row r="94" spans="4:61">
      <c r="D94" s="260" t="str">
        <f>+Questions!$A54</f>
        <v>4.6</v>
      </c>
      <c r="I94" s="224"/>
      <c r="J94" s="142"/>
      <c r="K94" s="142"/>
      <c r="T94" s="211"/>
      <c r="U94" s="1233"/>
      <c r="V94" s="1233"/>
      <c r="W94" s="1233"/>
      <c r="X94" s="1233"/>
      <c r="Y94" s="1233"/>
      <c r="Z94" s="1233"/>
      <c r="AA94" s="1233"/>
      <c r="AB94" s="1233"/>
      <c r="AC94" s="1233"/>
      <c r="AD94" s="1233"/>
      <c r="AE94" s="1233"/>
      <c r="AF94" s="1233"/>
      <c r="AG94" s="1233"/>
      <c r="AH94" s="1233"/>
      <c r="AI94" s="1233"/>
      <c r="AJ94" s="1233"/>
      <c r="AK94" s="1233"/>
      <c r="AL94" s="1233"/>
      <c r="AM94" s="1233"/>
      <c r="AN94" s="1233"/>
      <c r="AO94" s="1233"/>
      <c r="AP94" s="1233"/>
      <c r="AQ94" s="1233"/>
      <c r="AR94" s="1233"/>
      <c r="AS94" s="1233"/>
      <c r="AT94" s="1233"/>
      <c r="AU94" s="1233"/>
      <c r="AV94" s="1233"/>
      <c r="AW94" s="1227"/>
      <c r="AX94" s="1227"/>
      <c r="AY94" s="1227"/>
      <c r="AZ94" s="1227"/>
      <c r="BA94" s="1227"/>
      <c r="BB94" s="1227"/>
      <c r="BC94" s="1227"/>
      <c r="BD94" s="1227"/>
      <c r="BE94" s="1227"/>
      <c r="BF94" s="1227"/>
      <c r="BG94" s="1227"/>
      <c r="BH94" s="1227"/>
      <c r="BI94" s="1227"/>
    </row>
    <row r="95" spans="4:61" ht="15">
      <c r="D95" s="331" t="str">
        <f>+Questions!$A56</f>
        <v>4.7</v>
      </c>
      <c r="I95" s="224"/>
      <c r="J95" s="142"/>
      <c r="K95" s="142"/>
      <c r="T95" s="211"/>
      <c r="U95" s="568"/>
      <c r="V95" s="568"/>
      <c r="W95" s="568"/>
      <c r="X95" s="568"/>
      <c r="Y95" s="568"/>
      <c r="Z95" s="568"/>
      <c r="AA95" s="568"/>
      <c r="AB95" s="568"/>
      <c r="AC95" s="568"/>
      <c r="AD95" s="568"/>
      <c r="AE95" s="568"/>
      <c r="AF95" s="568"/>
      <c r="AG95" s="568"/>
      <c r="AH95" s="568"/>
      <c r="AI95" s="568"/>
      <c r="AJ95" s="568"/>
      <c r="AK95" s="568"/>
      <c r="AL95" s="568"/>
      <c r="AM95" s="568"/>
      <c r="AN95" s="568"/>
      <c r="AO95" s="568"/>
      <c r="AP95" s="568"/>
      <c r="AQ95" s="568"/>
      <c r="AR95" s="568"/>
      <c r="AS95" s="568"/>
      <c r="AT95" s="568"/>
      <c r="AU95" s="568"/>
      <c r="AV95" s="568"/>
      <c r="AW95" s="803"/>
      <c r="AX95" s="803"/>
      <c r="AY95" s="803"/>
      <c r="AZ95" s="803"/>
      <c r="BA95" s="803"/>
      <c r="BB95" s="803"/>
      <c r="BC95" s="803"/>
      <c r="BD95" s="803"/>
      <c r="BE95" s="803"/>
      <c r="BF95" s="803"/>
      <c r="BG95" s="803"/>
      <c r="BH95" s="803"/>
      <c r="BI95" s="803"/>
    </row>
    <row r="96" spans="4:61" ht="15">
      <c r="D96" s="260" t="str">
        <f>+Questions!$A58</f>
        <v>4.8</v>
      </c>
      <c r="E96" s="23" t="str">
        <f>IF(COUNT(J96:K96)&gt;0,MIN(J96:K96),"n.b")</f>
        <v>n.b</v>
      </c>
      <c r="I96" s="224"/>
      <c r="J96" s="142" t="e">
        <f>K22</f>
        <v>#REF!</v>
      </c>
      <c r="K96" s="142" t="e">
        <f>X22</f>
        <v>#REF!</v>
      </c>
      <c r="T96" s="211"/>
      <c r="U96" s="1233"/>
      <c r="V96" s="1233"/>
      <c r="W96" s="1233"/>
      <c r="X96" s="1233"/>
      <c r="Y96" s="1233"/>
      <c r="Z96" s="1233"/>
      <c r="AA96" s="1233"/>
      <c r="AB96" s="1233"/>
      <c r="AC96" s="1233"/>
      <c r="AD96" s="1233"/>
      <c r="AE96" s="1233"/>
      <c r="AF96" s="1233"/>
      <c r="AG96" s="1233"/>
      <c r="AH96" s="1233"/>
      <c r="AI96" s="1233"/>
      <c r="AJ96" s="1233"/>
      <c r="AK96" s="1233"/>
      <c r="AL96" s="1233"/>
      <c r="AM96" s="1233"/>
      <c r="AN96" s="1233"/>
      <c r="AO96" s="1233"/>
      <c r="AP96" s="1233"/>
      <c r="AQ96" s="1233"/>
      <c r="AR96" s="1233"/>
      <c r="AS96" s="1233"/>
      <c r="AT96" s="1233"/>
      <c r="AU96" s="1233"/>
      <c r="AV96" s="1233"/>
      <c r="AW96" s="1227"/>
      <c r="AX96" s="1227"/>
      <c r="AY96" s="1227"/>
      <c r="AZ96" s="1227"/>
      <c r="BA96" s="1227"/>
      <c r="BB96" s="1227"/>
      <c r="BC96" s="1227"/>
      <c r="BD96" s="1227"/>
      <c r="BE96" s="1227"/>
      <c r="BF96" s="1227"/>
      <c r="BG96" s="1227"/>
      <c r="BH96" s="1227"/>
      <c r="BI96" s="1227"/>
    </row>
    <row r="97" spans="4:20" ht="15">
      <c r="D97" s="261" t="str">
        <f>+Questions!$A61</f>
        <v>P5</v>
      </c>
      <c r="G97" s="23" t="s">
        <v>140</v>
      </c>
      <c r="H97" s="23" t="str">
        <f>+IF(COUNT(E89:E96)=0,"n.b.",+IF(MIN(E89:E96)=0,"C",+IF(MIN(E89:E96)=4,"B","A")))</f>
        <v>n.b.</v>
      </c>
      <c r="I97" s="224" t="e">
        <f>+A22</f>
        <v>#REF!</v>
      </c>
    </row>
    <row r="98" spans="4:20">
      <c r="D98" s="260" t="str">
        <f>+Questions!$A62</f>
        <v>5.1</v>
      </c>
      <c r="I98" s="224"/>
    </row>
    <row r="99" spans="4:20">
      <c r="D99" s="260" t="str">
        <f>+Questions!$A63</f>
        <v>5.2</v>
      </c>
      <c r="I99" s="224"/>
    </row>
    <row r="100" spans="4:20">
      <c r="D100" s="260" t="str">
        <f>+Questions!$A64</f>
        <v>5.3</v>
      </c>
      <c r="I100" s="224"/>
    </row>
    <row r="101" spans="4:20">
      <c r="D101" s="260" t="str">
        <f>+Questions!$A65</f>
        <v>5.4</v>
      </c>
      <c r="E101" s="23" t="e">
        <f>O29</f>
        <v>#REF!</v>
      </c>
      <c r="I101" s="224"/>
    </row>
    <row r="102" spans="4:20">
      <c r="D102" s="260" t="str">
        <f>+Questions!$A66</f>
        <v>5.5</v>
      </c>
      <c r="E102" s="23" t="e">
        <f>P29</f>
        <v>#REF!</v>
      </c>
      <c r="I102" s="224"/>
    </row>
    <row r="103" spans="4:20">
      <c r="D103" s="260" t="str">
        <f>+Questions!$A67</f>
        <v>5.6</v>
      </c>
      <c r="I103" s="224"/>
    </row>
    <row r="104" spans="4:20">
      <c r="D104" s="260" t="str">
        <f>+Questions!$A68</f>
        <v>5.7</v>
      </c>
      <c r="G104" s="23" t="s">
        <v>141</v>
      </c>
      <c r="H104" s="23" t="str">
        <f>+IF(COUNT(E98:E104)=0,"n.b.",+IF(MIN(E98:E104)=0,"C",+IF(MIN(E98:E104)=4,"B","A")))</f>
        <v>n.b.</v>
      </c>
      <c r="I104" s="224" t="e">
        <f>+A29</f>
        <v>#REF!</v>
      </c>
    </row>
    <row r="105" spans="4:20" ht="15">
      <c r="D105" s="261" t="str">
        <f>+Questions!$A69</f>
        <v>P6</v>
      </c>
      <c r="E105" s="23" t="s">
        <v>227</v>
      </c>
      <c r="I105" s="224"/>
      <c r="J105" s="23">
        <f>'Input Form'!E53</f>
        <v>0</v>
      </c>
      <c r="K105" s="23">
        <f>'Input Form'!E54</f>
        <v>0</v>
      </c>
      <c r="L105" s="23">
        <f>'Input Form'!E55</f>
        <v>0</v>
      </c>
      <c r="T105" s="23" t="s">
        <v>503</v>
      </c>
    </row>
    <row r="106" spans="4:20">
      <c r="D106" s="260" t="str">
        <f>+Questions!$A70</f>
        <v>6.1</v>
      </c>
      <c r="E106" s="23" t="s">
        <v>227</v>
      </c>
      <c r="I106" s="224"/>
      <c r="J106" s="23" t="s">
        <v>279</v>
      </c>
      <c r="K106" s="23" t="s">
        <v>280</v>
      </c>
      <c r="L106" s="23" t="s">
        <v>281</v>
      </c>
    </row>
    <row r="107" spans="4:20">
      <c r="D107" s="260" t="str">
        <f>+Questions!$A71</f>
        <v>6.1.1</v>
      </c>
      <c r="E107" s="23" t="s">
        <v>332</v>
      </c>
      <c r="I107" s="224"/>
    </row>
    <row r="108" spans="4:20">
      <c r="D108" s="260" t="str">
        <f>+Questions!$A82</f>
        <v>6.1.2</v>
      </c>
      <c r="E108" s="23" t="str">
        <f>+IF(Questions!B82&lt;&gt;"x","kein *",+IF(ISERROR(AVERAGE(Questions!D83:D85)),"n.b.",+MIN(Questions!D83:D85)))</f>
        <v>kein *</v>
      </c>
      <c r="I108" s="224"/>
    </row>
    <row r="109" spans="4:20">
      <c r="D109" s="260" t="str">
        <f>+Questions!$A93</f>
        <v>6.1.3</v>
      </c>
      <c r="E109" s="23" t="str">
        <f>+IF(Questions!B93&lt;&gt;"x","kein *",+IF(ISERROR(AVERAGE(Questions!D94:D98)),"n.b.",+MIN(Questions!D94:D98)))</f>
        <v>kein *</v>
      </c>
      <c r="I109" s="224"/>
    </row>
    <row r="110" spans="4:20">
      <c r="D110" s="260" t="str">
        <f>+Questions!$A104</f>
        <v>6.1.4</v>
      </c>
      <c r="E110" s="23" t="str">
        <f>+IF(Questions!B104&lt;&gt;"x","kein *",+IF(ISERROR(AVERAGE(Questions!D105:D107)),"n.b.",+MIN(Questions!D105:D107)))</f>
        <v>kein *</v>
      </c>
      <c r="I110" s="224"/>
    </row>
    <row r="111" spans="4:20">
      <c r="D111" s="260" t="str">
        <f>+Questions!$A115</f>
        <v>6.1.5</v>
      </c>
      <c r="E111" s="23" t="str">
        <f>IF(COUNT(J111:S111)&gt;0,MIN(J111:S111),"n.b")</f>
        <v>n.b</v>
      </c>
      <c r="I111" s="224"/>
      <c r="J111" s="23" t="str">
        <f>IF(OR(J$105=0,ISBLANK(Questions!$D$116)),"--",Questions!$D$116)</f>
        <v>--</v>
      </c>
      <c r="K111" s="23" t="str">
        <f>IF(OR(K$105=0,ISBLANK(Questions!$D$117)),"--",Questions!$D$117)</f>
        <v>--</v>
      </c>
      <c r="L111" s="23" t="str">
        <f>IF(OR(L$105=0,ISBLANK(Questions!$D$118)),"--",Questions!$D$118)</f>
        <v>--</v>
      </c>
    </row>
    <row r="112" spans="4:20">
      <c r="D112" s="260" t="str">
        <f>+Questions!$A126</f>
        <v>6.2</v>
      </c>
      <c r="E112" s="23" t="s">
        <v>227</v>
      </c>
      <c r="I112" s="224"/>
    </row>
    <row r="113" spans="4:12">
      <c r="D113" s="260" t="str">
        <f>+Questions!$A127</f>
        <v>6.2.1</v>
      </c>
      <c r="E113" s="23" t="s">
        <v>332</v>
      </c>
      <c r="I113" s="224"/>
    </row>
    <row r="114" spans="4:12">
      <c r="D114" s="260" t="str">
        <f>+Questions!$A138</f>
        <v>6.2.2</v>
      </c>
      <c r="E114" s="23" t="s">
        <v>332</v>
      </c>
      <c r="I114" s="224"/>
    </row>
    <row r="115" spans="4:12">
      <c r="D115" s="260" t="str">
        <f>+Questions!$A149</f>
        <v>6.2.3</v>
      </c>
      <c r="E115" s="23" t="str">
        <f>IF(COUNT(J115:S115)&gt;0,MIN(J115:S115),"n.b")</f>
        <v>n.b</v>
      </c>
      <c r="I115" s="224"/>
      <c r="J115" s="23" t="str">
        <f>IF(OR(J$105=0,ISBLANK(Questions!$D$150)),"--",Questions!$D$150)</f>
        <v>--</v>
      </c>
      <c r="K115" s="23" t="str">
        <f>IF(OR(K$105=0,ISBLANK(Questions!$D$151)),"--",Questions!$D$151)</f>
        <v>--</v>
      </c>
      <c r="L115" s="23" t="str">
        <f>IF(OR(L$105=0,ISBLANK(Questions!$D$152)),"--",Questions!$D$152)</f>
        <v>--</v>
      </c>
    </row>
    <row r="116" spans="4:12">
      <c r="D116" s="260" t="str">
        <f>+Questions!$A160</f>
        <v>6.2.4</v>
      </c>
      <c r="E116" s="23" t="str">
        <f>IF(COUNT(J116:S116)&gt;0,MIN(J116:S116),"n.b")</f>
        <v>n.b</v>
      </c>
      <c r="I116" s="224"/>
      <c r="J116" s="23" t="str">
        <f>IF(OR(J$105=0,ISBLANK(Questions!$D$161)),"--",Questions!$D$161)</f>
        <v>--</v>
      </c>
      <c r="K116" s="23" t="str">
        <f>IF(OR(K$105=0,ISBLANK(Questions!$D$162)),"--",Questions!$D$162)</f>
        <v>--</v>
      </c>
      <c r="L116" s="23" t="str">
        <f>IF(OR(L$105=0,ISBLANK(Questions!$D$163)),"--",Questions!$D$163)</f>
        <v>--</v>
      </c>
    </row>
    <row r="117" spans="4:12">
      <c r="D117" s="260" t="str">
        <f>+Questions!$A171</f>
        <v>6.2.5</v>
      </c>
      <c r="E117" s="23" t="str">
        <f>+IF(Questions!B171&lt;&gt;"x","kein *",+IF(ISERROR(AVERAGE(Questions!D172:D174)),"n.b.",+MIN(Questions!D172:D174)))</f>
        <v>kein *</v>
      </c>
      <c r="I117" s="224"/>
    </row>
    <row r="118" spans="4:12">
      <c r="D118" s="260" t="str">
        <f>+Questions!$A180</f>
        <v>6.3</v>
      </c>
      <c r="E118" s="23" t="s">
        <v>227</v>
      </c>
      <c r="I118" s="224"/>
    </row>
    <row r="119" spans="4:12">
      <c r="D119" s="260" t="str">
        <f>+Questions!$A181</f>
        <v>6.3.1</v>
      </c>
      <c r="E119" s="23" t="str">
        <f>IF(COUNT(J119:S119)&gt;0,MIN(J119:S119),"n.b")</f>
        <v>n.b</v>
      </c>
      <c r="I119" s="224"/>
      <c r="J119" s="23" t="str">
        <f>IF(OR(J$105=0,ISBLANK(Questions!$D$182)),"--",Questions!$D$182)</f>
        <v>--</v>
      </c>
      <c r="K119" s="23" t="str">
        <f>IF(OR(K$105=0,ISBLANK(Questions!$D$183)),"--",Questions!$D$183)</f>
        <v>--</v>
      </c>
      <c r="L119" s="23" t="str">
        <f>IF(OR(L$105=0,ISBLANK(Questions!$D$184)),"--",Questions!$D$184)</f>
        <v>--</v>
      </c>
    </row>
    <row r="120" spans="4:12">
      <c r="D120" s="260" t="str">
        <f>+Questions!$A192</f>
        <v>6.3.2</v>
      </c>
      <c r="E120" s="23" t="s">
        <v>332</v>
      </c>
      <c r="I120" s="224"/>
    </row>
    <row r="121" spans="4:12">
      <c r="D121" s="260" t="str">
        <f>+Questions!$A203</f>
        <v>6.3.3</v>
      </c>
      <c r="E121" s="23" t="str">
        <f>+IF(Questions!B203&lt;&gt;"x","kein *",+IF(ISERROR(AVERAGE(Questions!D204:D206)),"n.b.",+MIN(Questions!D204:D206)))</f>
        <v>kein *</v>
      </c>
      <c r="I121" s="224"/>
    </row>
    <row r="122" spans="4:12">
      <c r="D122" s="260" t="str">
        <f>+Questions!$A214</f>
        <v>6.4</v>
      </c>
      <c r="E122" s="23" t="s">
        <v>227</v>
      </c>
      <c r="I122" s="224"/>
    </row>
    <row r="123" spans="4:12">
      <c r="D123" s="260" t="str">
        <f>+Questions!$A215</f>
        <v>6.4.1</v>
      </c>
      <c r="E123" s="23" t="str">
        <f>IF(COUNT(J123:S123)&gt;0,MIN(J123:S123),"n.b")</f>
        <v>n.b</v>
      </c>
      <c r="I123" s="224"/>
      <c r="J123" s="23" t="str">
        <f>IF(OR(J$105=0,ISBLANK(Questions!$D$216)),"--",Questions!$D$216)</f>
        <v>--</v>
      </c>
      <c r="K123" s="23" t="str">
        <f>IF(OR(K$105=0,ISBLANK(Questions!$D$217)),"--",Questions!$D$217)</f>
        <v>--</v>
      </c>
      <c r="L123" s="23" t="str">
        <f>IF(OR(L$105=0,ISBLANK(Questions!$D$218)),"--",Questions!$D$218)</f>
        <v>--</v>
      </c>
    </row>
    <row r="124" spans="4:12">
      <c r="D124" s="260" t="str">
        <f>+Questions!$A226</f>
        <v>6.4.2</v>
      </c>
      <c r="E124" s="23" t="s">
        <v>332</v>
      </c>
      <c r="I124" s="224"/>
    </row>
    <row r="125" spans="4:12">
      <c r="D125" s="260" t="str">
        <f>+Questions!$A237</f>
        <v>6.4.3</v>
      </c>
      <c r="E125" s="23" t="str">
        <f>IF(COUNT(J125:S125)&gt;0,MIN(J125:S125),"n.b")</f>
        <v>n.b</v>
      </c>
      <c r="I125" s="224"/>
      <c r="J125" s="23" t="str">
        <f>IF(OR(J$105=0,ISBLANK(Questions!$D$238)),"--",Questions!$D$238)</f>
        <v>--</v>
      </c>
      <c r="K125" s="23" t="str">
        <f>IF(OR(K$105=0,ISBLANK(Questions!$D$239)),"--",Questions!$D$239)</f>
        <v>--</v>
      </c>
      <c r="L125" s="23" t="str">
        <f>IF(OR(L$105=0,ISBLANK(Questions!$D$240)),"--",Questions!$D$240)</f>
        <v>--</v>
      </c>
    </row>
    <row r="126" spans="4:12">
      <c r="D126" s="260" t="str">
        <f>+Questions!$A248</f>
        <v>6.4.4</v>
      </c>
      <c r="E126" s="23" t="str">
        <f>+IF(Questions!B248&lt;&gt;"x","kein *",+IF(ISERROR(AVERAGE(Questions!D249:D251)),"n.b.",+MIN(Questions!D249:D251)))</f>
        <v>kein *</v>
      </c>
      <c r="I126" s="224"/>
    </row>
    <row r="127" spans="4:12">
      <c r="D127" s="331" t="str">
        <f>Questions!A259</f>
        <v>6.4.5</v>
      </c>
      <c r="E127" s="23" t="s">
        <v>332</v>
      </c>
      <c r="I127" s="224"/>
    </row>
    <row r="128" spans="4:12">
      <c r="D128" s="260" t="str">
        <f>+Questions!$A270</f>
        <v>6.5</v>
      </c>
      <c r="E128" s="23" t="s">
        <v>227</v>
      </c>
      <c r="I128" s="224"/>
    </row>
    <row r="129" spans="4:12">
      <c r="D129" s="260" t="str">
        <f>+Questions!$A271</f>
        <v>6.5.1</v>
      </c>
      <c r="E129" s="23" t="str">
        <f>+IF(Questions!B271&lt;&gt;"x","kein *",+IF(ISERROR(AVERAGE(Questions!D272:D274)),"n.b.",+MIN(Questions!D272:D274)))</f>
        <v>kein *</v>
      </c>
      <c r="I129" s="224"/>
    </row>
    <row r="130" spans="4:12">
      <c r="D130" s="260" t="str">
        <f>+Questions!$A282</f>
        <v>6.5.2</v>
      </c>
      <c r="E130" s="23" t="str">
        <f>+IF(Questions!B282&lt;&gt;"x","kein *",+IF(ISERROR(AVERAGE(Questions!D283:D285)),"n.b.",+MIN(Questions!D283:D285)))</f>
        <v>kein *</v>
      </c>
      <c r="I130" s="224"/>
    </row>
    <row r="131" spans="4:12">
      <c r="D131" s="260" t="str">
        <f>+Questions!$A293</f>
        <v>6.5.3</v>
      </c>
      <c r="E131" s="23">
        <f>IF(COUNT(J131:S131)&gt;0,MIN(J131:S131),"n.b")</f>
        <v>6</v>
      </c>
      <c r="I131" s="224"/>
      <c r="J131" s="23">
        <f>IF(Questions!$B293&lt;&gt;"x","kein *",IF(ISBLANK(Questions!D294),"--",Questions!D294))</f>
        <v>10</v>
      </c>
      <c r="K131" s="23">
        <f>IF(Questions!$B293&lt;&gt;"x","kein *",IF(ISBLANK(Questions!D295),"--",Questions!D295))</f>
        <v>6</v>
      </c>
      <c r="L131" s="23">
        <f>IF(Questions!$B293&lt;&gt;"x","kein *",IF(ISBLANK(Questions!D296),"--",Questions!D296))</f>
        <v>10</v>
      </c>
    </row>
    <row r="132" spans="4:12">
      <c r="D132" s="260" t="str">
        <f>+Questions!$A304</f>
        <v>6.5.4</v>
      </c>
      <c r="E132" s="23" t="s">
        <v>332</v>
      </c>
      <c r="I132" s="224"/>
    </row>
    <row r="133" spans="4:12">
      <c r="D133" s="260" t="str">
        <f>+Questions!$A315</f>
        <v>6.6</v>
      </c>
      <c r="E133" s="23" t="s">
        <v>227</v>
      </c>
      <c r="I133" s="224"/>
    </row>
    <row r="134" spans="4:12">
      <c r="D134" s="260" t="str">
        <f>+Questions!$A316</f>
        <v>6.6.1</v>
      </c>
      <c r="E134" s="23" t="s">
        <v>332</v>
      </c>
      <c r="I134" s="224"/>
    </row>
    <row r="135" spans="4:12">
      <c r="D135" s="260" t="str">
        <f>+Questions!$A327</f>
        <v>6.6.2</v>
      </c>
      <c r="E135" s="23" t="str">
        <f>+IF(Questions!B327&lt;&gt;"x","kein *",+IF(ISERROR(AVERAGE(Questions!D328:D330)),"n.b.",+MIN(Questions!D328:D330)))</f>
        <v>kein *</v>
      </c>
      <c r="I135" s="224"/>
    </row>
    <row r="136" spans="4:12">
      <c r="D136" s="260" t="str">
        <f>+Questions!$A338</f>
        <v>6.6.3</v>
      </c>
      <c r="E136" s="23" t="str">
        <f>+IF(Questions!B338&lt;&gt;"x","kein *",+IF(ISERROR(AVERAGE(Questions!D339:D341)),"n.b.",+MIN(Questions!D339:D341)))</f>
        <v>kein *</v>
      </c>
      <c r="I136" s="224"/>
    </row>
    <row r="137" spans="4:12">
      <c r="D137" s="260" t="str">
        <f>+Questions!$A349</f>
        <v>6.6.4</v>
      </c>
      <c r="E137" s="23" t="str">
        <f>IF(COUNT(J137:S137)&gt;0,MIN(J137:S137),"n.b")</f>
        <v>n.b</v>
      </c>
      <c r="I137" s="224"/>
      <c r="J137" s="23" t="str">
        <f>IF(OR(J$105=0,ISBLANK(Questions!$D$350)),"--",Questions!$D$350)</f>
        <v>--</v>
      </c>
      <c r="K137" s="23" t="str">
        <f>IF(OR(K$105=0,ISBLANK(Questions!$D$351)),"--",Questions!$D$351)</f>
        <v>--</v>
      </c>
      <c r="L137" s="23" t="str">
        <f>IF(OR(L$105=0,ISBLANK(Questions!$D$352)),"--",Questions!$D$352)</f>
        <v>--</v>
      </c>
    </row>
    <row r="138" spans="4:12" ht="15">
      <c r="D138" s="261" t="str">
        <f>+Questions!$A360</f>
        <v>P7</v>
      </c>
      <c r="E138" s="23" t="s">
        <v>227</v>
      </c>
      <c r="G138" s="23" t="s">
        <v>142</v>
      </c>
      <c r="H138" s="222" t="str">
        <f>IF(COUNT(E106:E137)=0,"n.b.",IF(MIN(E106:E137)=0,"C",IF(MIN(E106:E137)=4,"B","A")))</f>
        <v>A</v>
      </c>
      <c r="I138" s="239" t="str">
        <f>+A42</f>
        <v>A</v>
      </c>
      <c r="J138" s="222" t="str">
        <f>+IF(COUNTIFS(Questions!$A$72:$A$352,J106,Questions!$D$72:$D$352,"n.b.")=26,"n.b.",+IF(MIN(J107:J137)=0,"C",+IF(MIN(J107:J137)=4,"B","A")))</f>
        <v>A</v>
      </c>
      <c r="K138" s="222" t="str">
        <f>+IF(COUNTIFS(Questions!$A$72:$A$352,K106,Questions!$D$72:$D$352,"n.b.")=26,"n.b.",+IF(MIN(K107:K137)=0,"C",+IF(MIN(K107:K137)=4,"B","A")))</f>
        <v>A</v>
      </c>
      <c r="L138" s="222" t="str">
        <f>+IF(COUNTIFS(Questions!$A$72:$A$352,L106,Questions!$D$72:$D$352,"n.b.")=26,"n.b.",+IF(MIN(L107:L137)=0,"C",+IF(MIN(L107:L137)=4,"B","A")))</f>
        <v>A</v>
      </c>
    </row>
    <row r="139" spans="4:12">
      <c r="D139" s="260" t="str">
        <f>+Questions!$A361</f>
        <v>7.1</v>
      </c>
      <c r="I139" s="224"/>
      <c r="J139" s="23">
        <v>1</v>
      </c>
      <c r="K139" s="23">
        <v>2</v>
      </c>
      <c r="L139" s="23">
        <v>3</v>
      </c>
    </row>
    <row r="140" spans="4:12">
      <c r="D140" s="260" t="str">
        <f>+Questions!$A362</f>
        <v>7.2</v>
      </c>
      <c r="I140" s="224"/>
    </row>
    <row r="141" spans="4:12">
      <c r="D141" s="260" t="str">
        <f>+Questions!$A363</f>
        <v>7.3</v>
      </c>
      <c r="E141" s="23" t="e">
        <f>W52</f>
        <v>#REF!</v>
      </c>
      <c r="I141" s="224"/>
    </row>
    <row r="142" spans="4:12">
      <c r="D142" s="260" t="str">
        <f>+Questions!$A364</f>
        <v>7.4</v>
      </c>
      <c r="E142" s="23" t="e">
        <f>X52</f>
        <v>#REF!</v>
      </c>
      <c r="I142" s="224"/>
    </row>
    <row r="143" spans="4:12">
      <c r="D143" s="260" t="str">
        <f>+Questions!$A365</f>
        <v>7.5</v>
      </c>
      <c r="I143" s="224"/>
    </row>
    <row r="144" spans="4:12">
      <c r="D144" s="262"/>
      <c r="E144" s="225"/>
      <c r="F144" s="225"/>
      <c r="G144" s="225" t="s">
        <v>143</v>
      </c>
      <c r="H144" s="270" t="str">
        <f>IF(COUNT(E139:E143)=0,"n.b.",+IF(MIN(E139:E143)=0,"C",+IF(MIN(E139:E143)=4,"B","A")))</f>
        <v>n.b.</v>
      </c>
      <c r="I144" s="203" t="e">
        <f>+A52</f>
        <v>#REF!</v>
      </c>
    </row>
    <row r="145" spans="2:31" ht="15" thickBot="1">
      <c r="D145" s="251" t="s">
        <v>212</v>
      </c>
      <c r="E145" s="252">
        <f>+COUNT((E75:E143))</f>
        <v>1</v>
      </c>
      <c r="F145" s="252">
        <f>+COUNTIF(E75:E143,0)</f>
        <v>0</v>
      </c>
      <c r="G145" s="252" t="e">
        <f>+IF(COUNT(E75:E143)=0,"n.b.",+MIN(E75:E143))</f>
        <v>#REF!</v>
      </c>
      <c r="H145" s="252"/>
      <c r="I145" s="253"/>
      <c r="Z145" s="23" t="s">
        <v>237</v>
      </c>
      <c r="AA145" s="23" t="s">
        <v>235</v>
      </c>
      <c r="AB145" s="159" t="e">
        <f>+G48</f>
        <v>#REF!</v>
      </c>
    </row>
    <row r="146" spans="2:31" ht="15" thickBot="1">
      <c r="D146" s="254" t="s">
        <v>213</v>
      </c>
      <c r="E146" s="250" t="str">
        <f>+IF(E145=0,"n.b.",(+IF(F145&gt;=1,"C",(+IF(F146&gt;=1,"B","A")))))</f>
        <v>A</v>
      </c>
      <c r="F146" s="249">
        <f>+COUNTIF(E75:E143,4)</f>
        <v>0</v>
      </c>
      <c r="G146" s="249" t="e">
        <f>+IF(G145="n.b.","n.b.",+IF(G145=0,"C",+IF(G145=4,"B","A")))</f>
        <v>#REF!</v>
      </c>
      <c r="H146" s="249"/>
      <c r="I146" s="255"/>
      <c r="Z146" s="23" t="s">
        <v>238</v>
      </c>
      <c r="AA146" s="23" t="s">
        <v>236</v>
      </c>
      <c r="AB146" s="159" t="e">
        <f>+M48</f>
        <v>#REF!</v>
      </c>
    </row>
    <row r="147" spans="2:31" ht="18">
      <c r="D147" s="192"/>
      <c r="G147" s="231"/>
      <c r="H147" s="211"/>
      <c r="I147" s="211"/>
      <c r="J147" s="232"/>
      <c r="K147" s="230"/>
      <c r="L147" s="219"/>
      <c r="M147" s="263" t="s">
        <v>255</v>
      </c>
      <c r="N147" s="219"/>
      <c r="O147" s="219"/>
      <c r="P147" s="219"/>
      <c r="Q147" s="219"/>
      <c r="R147" s="219"/>
      <c r="S147" s="219"/>
      <c r="T147" s="219"/>
      <c r="U147" s="219"/>
      <c r="V147" s="220"/>
      <c r="Z147" s="23" t="s">
        <v>239</v>
      </c>
      <c r="AA147" s="23" t="s">
        <v>266</v>
      </c>
      <c r="AB147" s="159" t="e">
        <f>+Q48</f>
        <v>#REF!</v>
      </c>
    </row>
    <row r="148" spans="2:31">
      <c r="D148" s="192"/>
      <c r="G148" s="233"/>
      <c r="H148" s="211"/>
      <c r="I148" s="211"/>
      <c r="J148" s="232"/>
      <c r="K148" s="33"/>
      <c r="V148" s="39"/>
      <c r="Z148" s="23" t="s">
        <v>240</v>
      </c>
      <c r="AA148" s="23" t="s">
        <v>268</v>
      </c>
      <c r="AB148" s="159" t="e">
        <f>+W48</f>
        <v>#REF!</v>
      </c>
    </row>
    <row r="149" spans="2:31">
      <c r="D149" s="192"/>
      <c r="G149" s="211"/>
      <c r="H149" s="211"/>
      <c r="I149" s="211"/>
      <c r="J149" s="232"/>
      <c r="K149" s="227" t="e">
        <f>BB62</f>
        <v>#REF!</v>
      </c>
      <c r="L149" s="226" t="e">
        <f>+IF(K149="n.b.","n.b.",+IF(K149&lt;80%,"C",+IF(K149&lt;90%,"B","A")))</f>
        <v>#REF!</v>
      </c>
      <c r="M149" s="264" t="s">
        <v>253</v>
      </c>
      <c r="N149" s="264"/>
      <c r="O149" s="264"/>
      <c r="P149" s="264"/>
      <c r="Q149" s="264"/>
      <c r="R149" s="264"/>
      <c r="S149" s="264"/>
      <c r="T149" s="264"/>
      <c r="U149" s="211"/>
      <c r="V149" s="232"/>
      <c r="Z149" s="23" t="s">
        <v>241</v>
      </c>
      <c r="AA149" s="23" t="s">
        <v>269</v>
      </c>
      <c r="AB149" s="159" t="e">
        <f>+AB48</f>
        <v>#REF!</v>
      </c>
    </row>
    <row r="150" spans="2:31">
      <c r="B150"/>
      <c r="C150"/>
      <c r="D150"/>
      <c r="E150"/>
      <c r="F150"/>
      <c r="G150"/>
      <c r="H150" s="211"/>
      <c r="I150" s="211"/>
      <c r="J150" s="232"/>
      <c r="K150" s="228"/>
      <c r="L150" s="221" t="str">
        <f>+E146</f>
        <v>A</v>
      </c>
      <c r="M150" s="264" t="s">
        <v>254</v>
      </c>
      <c r="N150" s="264"/>
      <c r="O150" s="264"/>
      <c r="P150" s="264"/>
      <c r="Q150" s="264"/>
      <c r="R150" s="264"/>
      <c r="S150" s="264"/>
      <c r="T150" s="264"/>
      <c r="U150" s="211"/>
      <c r="V150" s="232"/>
      <c r="Z150" s="23" t="s">
        <v>242</v>
      </c>
      <c r="AA150" s="23" t="s">
        <v>270</v>
      </c>
      <c r="AB150" s="159" t="e">
        <f>+AG48</f>
        <v>#REF!</v>
      </c>
    </row>
    <row r="151" spans="2:31">
      <c r="B151"/>
      <c r="C151"/>
      <c r="D151"/>
      <c r="E151"/>
      <c r="F151"/>
      <c r="G151"/>
      <c r="H151" s="234"/>
      <c r="I151" s="211"/>
      <c r="J151" s="232"/>
      <c r="K151" s="228"/>
      <c r="L151" s="221" t="str">
        <f>IF(COUNT((A8:A52)=0),"n.b.",+IF(COUNTIF((A8:A52),"C")&gt;=1,"C",+IF(+COUNTIF((A8:A52),"B")&gt;=1,"B","A")))</f>
        <v>A</v>
      </c>
      <c r="M151" s="264" t="s">
        <v>257</v>
      </c>
      <c r="N151" s="264"/>
      <c r="O151" s="264"/>
      <c r="P151" s="264"/>
      <c r="Q151" s="264"/>
      <c r="R151" s="264"/>
      <c r="S151" s="264"/>
      <c r="T151" s="264"/>
      <c r="U151" s="211"/>
      <c r="V151" s="232"/>
      <c r="Z151" s="23" t="s">
        <v>243</v>
      </c>
      <c r="AA151" s="23" t="s">
        <v>271</v>
      </c>
      <c r="AB151" s="159" t="e">
        <f>+BD48</f>
        <v>#REF!</v>
      </c>
    </row>
    <row r="152" spans="2:31">
      <c r="B152"/>
      <c r="C152"/>
      <c r="D152"/>
      <c r="E152"/>
      <c r="F152"/>
      <c r="G152"/>
      <c r="H152" s="211"/>
      <c r="I152" s="211"/>
      <c r="J152" s="232"/>
      <c r="K152" s="228"/>
      <c r="L152" s="221" t="e">
        <f>+AD152</f>
        <v>#REF!</v>
      </c>
      <c r="M152" s="264" t="s">
        <v>638</v>
      </c>
      <c r="N152" s="264"/>
      <c r="O152" s="264"/>
      <c r="P152" s="264"/>
      <c r="Q152" s="264"/>
      <c r="R152" s="264"/>
      <c r="S152" s="264"/>
      <c r="T152" s="264"/>
      <c r="U152" s="211"/>
      <c r="V152" s="232"/>
      <c r="AB152" s="23">
        <f>+COUNTIF(AB145:AB151,"n.b.")</f>
        <v>0</v>
      </c>
      <c r="AD152" s="272" t="e">
        <f>+IF(AB152=7,$BL$35,+IF(MIN(G48,M48,Q48,W48,AB48,AG48,BD48)&lt;80%,"B","A"))</f>
        <v>#REF!</v>
      </c>
      <c r="AE152" s="23">
        <f>+COUNTIF((AB145:AB151),"=&lt;80")</f>
        <v>0</v>
      </c>
    </row>
    <row r="153" spans="2:31">
      <c r="B153"/>
      <c r="C153"/>
      <c r="D153"/>
      <c r="E153"/>
      <c r="F153"/>
      <c r="G153"/>
      <c r="H153" s="211"/>
      <c r="I153" s="211"/>
      <c r="J153" s="232"/>
      <c r="K153" s="228"/>
      <c r="L153" s="221" t="e">
        <f>+AD167</f>
        <v>#REF!</v>
      </c>
      <c r="M153" s="264" t="s">
        <v>214</v>
      </c>
      <c r="N153" s="264"/>
      <c r="O153" s="264"/>
      <c r="P153" s="264"/>
      <c r="Q153" s="264"/>
      <c r="R153" s="264"/>
      <c r="S153" s="264"/>
      <c r="T153" s="264"/>
      <c r="U153" s="211"/>
      <c r="V153" s="232"/>
    </row>
    <row r="154" spans="2:31" ht="15" thickBot="1">
      <c r="B154"/>
      <c r="C154"/>
      <c r="D154"/>
      <c r="E154"/>
      <c r="F154"/>
      <c r="G154"/>
      <c r="H154" s="211"/>
      <c r="I154" s="211"/>
      <c r="J154" s="232"/>
      <c r="K154" s="33"/>
      <c r="L154" s="221" t="e">
        <f>++IF(K149="n.b.","n.b.",+IF(MIN(epm,ede,epe,elm,ek,epg)&lt;70%,"C",+IF(MIN(epm,ede,epe,elm,ek,epg)&lt;80%,"B","kA")))</f>
        <v>#REF!</v>
      </c>
      <c r="M154" s="265" t="s">
        <v>272</v>
      </c>
      <c r="N154" s="264"/>
      <c r="O154" s="264"/>
      <c r="P154" s="264"/>
      <c r="Q154" s="264"/>
      <c r="R154" s="264"/>
      <c r="S154" s="264"/>
      <c r="T154" s="264"/>
      <c r="U154" s="211"/>
      <c r="V154" s="232"/>
    </row>
    <row r="155" spans="2:31" ht="15" thickBot="1">
      <c r="B155"/>
      <c r="C155"/>
      <c r="D155"/>
      <c r="E155"/>
      <c r="F155"/>
      <c r="G155"/>
      <c r="H155" s="211"/>
      <c r="I155" s="211"/>
      <c r="J155" s="232"/>
      <c r="K155" s="228"/>
      <c r="L155" s="235" t="str">
        <f>IF(COUNTIF(L149:L154,"n.b.")=6,"n.b.",IF(COUNTIF(L149:L154,"C")&gt;=1,"C",IF(COUNTIF(L149:L154,"B")&gt;=1,"B","A")))</f>
        <v>A</v>
      </c>
      <c r="M155" s="266" t="s">
        <v>215</v>
      </c>
      <c r="N155" s="266"/>
      <c r="O155" s="267"/>
      <c r="P155" s="264"/>
      <c r="Q155" s="264"/>
      <c r="R155" s="264"/>
      <c r="S155" s="264"/>
      <c r="T155" s="264"/>
      <c r="U155" s="211"/>
      <c r="V155" s="232"/>
    </row>
    <row r="156" spans="2:31">
      <c r="B156"/>
      <c r="C156"/>
      <c r="D156"/>
      <c r="E156"/>
      <c r="F156"/>
      <c r="G156"/>
      <c r="H156" s="211"/>
      <c r="I156" s="211"/>
      <c r="J156" s="232"/>
      <c r="K156" s="228"/>
      <c r="L156" s="158"/>
      <c r="M156" s="264"/>
      <c r="N156" s="264"/>
      <c r="O156" s="264"/>
      <c r="P156" s="264"/>
      <c r="Q156" s="264"/>
      <c r="R156" s="264"/>
      <c r="S156" s="264"/>
      <c r="T156" s="264"/>
      <c r="U156" s="211"/>
      <c r="V156" s="232"/>
      <c r="Z156" s="23" t="s">
        <v>267</v>
      </c>
    </row>
    <row r="157" spans="2:31">
      <c r="B157"/>
      <c r="C157"/>
      <c r="D157"/>
      <c r="E157"/>
      <c r="F157"/>
      <c r="G157"/>
      <c r="H157" s="211"/>
      <c r="I157" s="211"/>
      <c r="J157" s="232"/>
      <c r="K157" s="228"/>
      <c r="L157" s="158"/>
      <c r="M157" s="264"/>
      <c r="N157" s="264"/>
      <c r="O157" s="264"/>
      <c r="P157" s="264"/>
      <c r="Q157" s="264"/>
      <c r="R157" s="264"/>
      <c r="S157" s="264"/>
      <c r="T157" s="264"/>
      <c r="U157" s="211"/>
      <c r="V157" s="232"/>
      <c r="Y157" s="193"/>
      <c r="Z157" s="23" t="s">
        <v>30</v>
      </c>
      <c r="AA157" s="23" t="s">
        <v>244</v>
      </c>
      <c r="AB157" s="159" t="e">
        <f>+AS36</f>
        <v>#REF!</v>
      </c>
    </row>
    <row r="158" spans="2:31">
      <c r="B158"/>
      <c r="C158"/>
      <c r="D158"/>
      <c r="E158"/>
      <c r="F158"/>
      <c r="G158"/>
      <c r="H158" s="211"/>
      <c r="I158" s="211"/>
      <c r="J158" s="232"/>
      <c r="K158" s="227" t="str">
        <f>+IF(ISERROR(+AVERAGE(epm,ede,epe)),"n.b.",+ROUND((+AVERAGE(epm,ede,epe)),2))</f>
        <v>n.b.</v>
      </c>
      <c r="L158" s="226" t="str">
        <f>+IF(K158="n.b.","n.b.",(+IF(K158&lt;80%,"C",+IF(K158&lt;90%,"B","A"))))</f>
        <v>n.b.</v>
      </c>
      <c r="M158" s="264" t="s">
        <v>219</v>
      </c>
      <c r="N158" s="264"/>
      <c r="O158" s="264"/>
      <c r="P158" s="264"/>
      <c r="Q158" s="264"/>
      <c r="R158" s="264"/>
      <c r="S158" s="264"/>
      <c r="T158" s="264"/>
      <c r="U158" s="211"/>
      <c r="V158" s="232"/>
      <c r="Y158" s="193"/>
      <c r="Z158" s="23" t="s">
        <v>31</v>
      </c>
      <c r="AA158" s="23" t="s">
        <v>245</v>
      </c>
      <c r="AB158" s="159" t="e">
        <f>+AS38</f>
        <v>#REF!</v>
      </c>
    </row>
    <row r="159" spans="2:31">
      <c r="B159"/>
      <c r="C159"/>
      <c r="D159"/>
      <c r="E159"/>
      <c r="F159"/>
      <c r="G159"/>
      <c r="H159" s="211"/>
      <c r="I159" s="211"/>
      <c r="J159" s="232"/>
      <c r="K159" s="228"/>
      <c r="L159" s="221" t="str">
        <f>+IF(COUNTIF(H82:H97,"n.b.")=3,"n.b.",+IF(COUNTIF((H82:H97),"C")&gt;=1,"C",+IF(+COUNTIF((H82:H97),"B")&gt;=1,"B","A")))</f>
        <v>n.b.</v>
      </c>
      <c r="M159" s="264" t="s">
        <v>256</v>
      </c>
      <c r="N159" s="264"/>
      <c r="O159" s="264"/>
      <c r="P159" s="264"/>
      <c r="Q159" s="264"/>
      <c r="R159" s="264"/>
      <c r="S159" s="264"/>
      <c r="T159" s="264"/>
      <c r="U159" s="211"/>
      <c r="V159" s="232"/>
      <c r="Y159" s="193"/>
      <c r="Z159" s="23" t="s">
        <v>32</v>
      </c>
      <c r="AA159" s="23" t="s">
        <v>246</v>
      </c>
      <c r="AB159" s="159" t="e">
        <f>+AS40</f>
        <v>#REF!</v>
      </c>
    </row>
    <row r="160" spans="2:31">
      <c r="B160"/>
      <c r="C160"/>
      <c r="D160"/>
      <c r="E160"/>
      <c r="F160"/>
      <c r="G160"/>
      <c r="H160" s="211"/>
      <c r="I160" s="211"/>
      <c r="J160" s="232"/>
      <c r="K160" s="33"/>
      <c r="L160" s="221" t="str">
        <f>++IF(K158="n.b.","n.b.",+IF(MIN(epm,ede,epe)&lt;70%,"C",+IF(MIN(epm,ede,epe)&lt;80%,"B","kA")))</f>
        <v>n.b.</v>
      </c>
      <c r="M160" s="265" t="s">
        <v>265</v>
      </c>
      <c r="N160" s="264"/>
      <c r="O160" s="264"/>
      <c r="P160" s="211"/>
      <c r="Q160" s="264"/>
      <c r="R160" s="264"/>
      <c r="S160" s="264"/>
      <c r="T160" s="264"/>
      <c r="U160" s="211"/>
      <c r="V160" s="232"/>
      <c r="Y160" s="193"/>
      <c r="AB160" s="159"/>
    </row>
    <row r="161" spans="2:30" ht="15" thickBot="1">
      <c r="B161"/>
      <c r="C161"/>
      <c r="D161"/>
      <c r="E161"/>
      <c r="F161"/>
      <c r="G161"/>
      <c r="H161" s="211"/>
      <c r="I161" s="211"/>
      <c r="J161" s="232"/>
      <c r="K161" s="33"/>
      <c r="L161" s="221" t="str">
        <f>IF(COUNT((A8:A22)=0),"n.b.",+IF(+COUNTIF((A8:A22),"C")&gt;=1,"C",+IF(+COUNTIF((A8:A22),"B")&gt;=1,"B","A")))</f>
        <v>A</v>
      </c>
      <c r="M161" s="265" t="s">
        <v>252</v>
      </c>
      <c r="N161" s="264"/>
      <c r="O161" s="264"/>
      <c r="P161" s="211"/>
      <c r="Q161" s="264"/>
      <c r="R161" s="264"/>
      <c r="S161" s="264"/>
      <c r="T161" s="264"/>
      <c r="U161" s="211"/>
      <c r="V161" s="232"/>
      <c r="Y161" s="193"/>
      <c r="AB161" s="159"/>
    </row>
    <row r="162" spans="2:30" ht="15" thickBot="1">
      <c r="B162"/>
      <c r="C162"/>
      <c r="D162"/>
      <c r="E162"/>
      <c r="F162"/>
      <c r="G162"/>
      <c r="H162" s="211"/>
      <c r="I162" s="211"/>
      <c r="J162" s="232"/>
      <c r="K162" s="228"/>
      <c r="L162" s="235" t="str">
        <f>+IF(L158="n.b.","n.b.",+IF(COUNTIF(L158:L161,"C")&gt;=1,"C",+IF(COUNTIF(L158:L161,"B")&gt;=1,"B","A")))</f>
        <v>n.b.</v>
      </c>
      <c r="M162" s="266" t="s">
        <v>220</v>
      </c>
      <c r="N162" s="267"/>
      <c r="O162" s="264"/>
      <c r="P162" s="264"/>
      <c r="Q162" s="264"/>
      <c r="R162" s="264"/>
      <c r="S162" s="264"/>
      <c r="T162" s="264"/>
      <c r="U162" s="211"/>
      <c r="V162" s="232"/>
      <c r="Y162" s="193"/>
      <c r="AB162" s="159"/>
    </row>
    <row r="163" spans="2:30">
      <c r="B163"/>
      <c r="C163"/>
      <c r="D163"/>
      <c r="E163"/>
      <c r="F163"/>
      <c r="G163"/>
      <c r="H163" s="211"/>
      <c r="I163" s="211"/>
      <c r="J163" s="232"/>
      <c r="K163" s="228"/>
      <c r="L163" s="158"/>
      <c r="M163" s="264"/>
      <c r="N163" s="264"/>
      <c r="O163" s="264"/>
      <c r="P163" s="264"/>
      <c r="Q163" s="264"/>
      <c r="R163" s="264"/>
      <c r="S163" s="264"/>
      <c r="T163" s="264"/>
      <c r="U163" s="211"/>
      <c r="V163" s="232"/>
      <c r="Y163" s="193"/>
      <c r="AB163" s="159"/>
    </row>
    <row r="164" spans="2:30">
      <c r="B164"/>
      <c r="C164"/>
      <c r="D164"/>
      <c r="E164"/>
      <c r="F164"/>
      <c r="G164"/>
      <c r="H164" s="211"/>
      <c r="I164" s="211"/>
      <c r="J164" s="232"/>
      <c r="K164" s="227" t="str">
        <f>++IF(ISERROR(AVERAGE(ez,epg,ek)),"n.b.",+ROUND((+AVERAGE(ez,epg,ek)),2))</f>
        <v>n.b.</v>
      </c>
      <c r="L164" s="226" t="str">
        <f>+IF(K164="n.b.","n.b.",+IF(K164&lt;80%,"C",+IF(K164&lt;90%,"B","A")))</f>
        <v>n.b.</v>
      </c>
      <c r="M164" s="264" t="s">
        <v>221</v>
      </c>
      <c r="N164" s="264"/>
      <c r="O164" s="264"/>
      <c r="P164" s="264"/>
      <c r="Q164" s="264"/>
      <c r="R164" s="264"/>
      <c r="S164" s="264"/>
      <c r="T164" s="264"/>
      <c r="U164" s="211"/>
      <c r="V164" s="232"/>
      <c r="Y164" s="193"/>
      <c r="AB164" s="159"/>
    </row>
    <row r="165" spans="2:30">
      <c r="B165"/>
      <c r="C165"/>
      <c r="D165"/>
      <c r="E165"/>
      <c r="F165"/>
      <c r="G165"/>
      <c r="H165" s="211"/>
      <c r="I165" s="211"/>
      <c r="J165" s="232"/>
      <c r="K165" s="228"/>
      <c r="L165" s="221" t="str">
        <f>+IF(K164="n.b.","n.b.",+IF(MIN(elm,epg,ek,AS36:AS40,G48,M48,Q48,W48,AB48,AG48,BD48)&lt;70%,"C",IF(MIN(elm,epg,ek,AS36:AS40,G48,M48,Q48,W48,AB48,AG48,BD48)&lt;80%,"B","A")))</f>
        <v>n.b.</v>
      </c>
      <c r="M165" s="264" t="s">
        <v>273</v>
      </c>
      <c r="N165" s="264"/>
      <c r="O165" s="264"/>
      <c r="P165" s="264"/>
      <c r="Q165" s="264"/>
      <c r="R165" s="264"/>
      <c r="S165" s="264"/>
      <c r="T165" s="264"/>
      <c r="U165" s="211"/>
      <c r="V165" s="232"/>
      <c r="Y165" s="159"/>
      <c r="AB165" s="159"/>
    </row>
    <row r="166" spans="2:30">
      <c r="B166"/>
      <c r="C166"/>
      <c r="D166"/>
      <c r="E166"/>
      <c r="F166"/>
      <c r="G166"/>
      <c r="H166" s="211"/>
      <c r="I166" s="211"/>
      <c r="J166" s="232"/>
      <c r="K166" s="33"/>
      <c r="L166" s="221" t="str">
        <f>IF(COUNT((A29:A52)=0),"n.b.",+IF(+COUNTIF((A29:A52),"C")&gt;=1,"C",+IF(+COUNTIF((A29:A52),"B")&gt;=1,"B","A")))</f>
        <v>A</v>
      </c>
      <c r="M166" s="265" t="s">
        <v>251</v>
      </c>
      <c r="N166" s="264"/>
      <c r="O166" s="264"/>
      <c r="P166" s="264"/>
      <c r="Q166" s="264"/>
      <c r="R166" s="264"/>
      <c r="S166" s="264"/>
      <c r="T166" s="264"/>
      <c r="U166" s="211"/>
      <c r="V166" s="232"/>
      <c r="Y166" s="159"/>
      <c r="AB166" s="159"/>
    </row>
    <row r="167" spans="2:30" ht="15" thickBot="1">
      <c r="B167"/>
      <c r="C167"/>
      <c r="D167"/>
      <c r="E167"/>
      <c r="F167"/>
      <c r="G167"/>
      <c r="H167" s="211"/>
      <c r="I167" s="211"/>
      <c r="J167" s="232"/>
      <c r="K167" s="228"/>
      <c r="L167" s="221" t="str">
        <f>+IF(K164="n.b.","n.b.",+IF(COUNTIF((H104:H144),"C")&gt;=1,"C",+IF(+COUNTIF((H104:H144),"B")&gt;=1,"B","A")))</f>
        <v>n.b.</v>
      </c>
      <c r="M167" s="264" t="s">
        <v>250</v>
      </c>
      <c r="N167" s="264"/>
      <c r="O167" s="264"/>
      <c r="P167" s="264"/>
      <c r="Q167" s="264"/>
      <c r="R167" s="264"/>
      <c r="S167" s="264"/>
      <c r="T167" s="264"/>
      <c r="U167" s="211"/>
      <c r="V167" s="232"/>
      <c r="AB167" s="23">
        <f>+COUNTIF(AB157:AB166,"n.b.")</f>
        <v>0</v>
      </c>
      <c r="AD167" s="272" t="e">
        <f>+IF(AB167=3,"n.b.",+IF(MIN(AB157:AB159)&lt;70%,"C",+IF(MIN(AB157:AB159)&lt;80%,"B","A")))</f>
        <v>#REF!</v>
      </c>
    </row>
    <row r="168" spans="2:30" ht="15" thickBot="1">
      <c r="B168"/>
      <c r="C168"/>
      <c r="D168"/>
      <c r="E168"/>
      <c r="F168"/>
      <c r="G168"/>
      <c r="H168" s="211"/>
      <c r="I168" s="211"/>
      <c r="J168" s="232"/>
      <c r="K168" s="229"/>
      <c r="L168" s="235" t="str">
        <f>++IF(K164="n.b.","n.b.",+IF(ISERROR(K164),"n.b.",+IF(COUNTIF(L164:L167,"C")&gt;=1,"C",+IF(COUNTIF(L164:L167,"B")&gt;=1,"B","A"))))</f>
        <v>n.b.</v>
      </c>
      <c r="M168" s="266" t="s">
        <v>258</v>
      </c>
      <c r="N168" s="267"/>
      <c r="O168" s="268"/>
      <c r="P168" s="268"/>
      <c r="Q168" s="268"/>
      <c r="R168" s="268"/>
      <c r="S168" s="268"/>
      <c r="T168" s="268"/>
      <c r="U168" s="273"/>
      <c r="V168" s="269"/>
    </row>
    <row r="169" spans="2:30">
      <c r="B169"/>
      <c r="C169"/>
      <c r="D169"/>
      <c r="E169"/>
      <c r="F169"/>
      <c r="G169"/>
      <c r="K169" s="158"/>
      <c r="L169" s="158"/>
      <c r="M169" s="158"/>
      <c r="N169" s="158"/>
      <c r="O169" s="158"/>
      <c r="P169" s="158"/>
      <c r="Q169" s="158"/>
      <c r="R169" s="158"/>
      <c r="S169" s="158"/>
      <c r="T169" s="158"/>
    </row>
    <row r="171" spans="2:30">
      <c r="K171" s="240" t="s">
        <v>248</v>
      </c>
      <c r="L171" s="241"/>
      <c r="M171" s="241"/>
      <c r="N171" s="241"/>
      <c r="O171" s="241"/>
      <c r="P171" s="242"/>
    </row>
    <row r="172" spans="2:30">
      <c r="K172" s="243" t="s">
        <v>247</v>
      </c>
      <c r="L172" s="244"/>
      <c r="M172" s="244"/>
      <c r="N172" s="244"/>
      <c r="O172" s="244"/>
      <c r="P172" s="245"/>
      <c r="R172" s="158"/>
      <c r="S172" s="23" t="s">
        <v>222</v>
      </c>
      <c r="T172" s="158"/>
    </row>
    <row r="173" spans="2:30">
      <c r="K173" s="246" t="s">
        <v>249</v>
      </c>
      <c r="L173" s="247"/>
      <c r="M173" s="247"/>
      <c r="N173" s="247"/>
      <c r="O173" s="247"/>
      <c r="P173" s="248"/>
      <c r="S173" s="23">
        <v>1</v>
      </c>
      <c r="T173" s="23">
        <v>2</v>
      </c>
      <c r="U173" s="23">
        <v>3</v>
      </c>
    </row>
    <row r="174" spans="2:30">
      <c r="P174" s="23" t="s">
        <v>223</v>
      </c>
      <c r="S174" s="23" t="str">
        <f>+J138</f>
        <v>A</v>
      </c>
      <c r="T174" s="23" t="str">
        <f>+K138</f>
        <v>A</v>
      </c>
      <c r="U174" s="23" t="str">
        <f>+L138</f>
        <v>A</v>
      </c>
    </row>
    <row r="175" spans="2:30">
      <c r="R175" s="23" t="s">
        <v>47</v>
      </c>
      <c r="S175" s="23" t="str">
        <f>+IF(ISERROR(AVERAGE(D36:H36)),"n.b.",(+IF(AVERAGE(D36:H36)&lt;70%,"C",+IF(AVERAGE(D36:H36)&lt;80%,"B","A"))))</f>
        <v>n.b.</v>
      </c>
      <c r="T175" s="23" t="str">
        <f>+IF(ISERROR(AVERAGE(D38:H38)),"n.b.",(+IF(AVERAGE(D38:H38)&lt;70%,"C",+IF(AVERAGE(D38:H38)&lt;80%,"B","A"))))</f>
        <v>n.b.</v>
      </c>
      <c r="U175" s="23" t="str">
        <f>+IF(ISERROR(AVERAGE(D40:H40)),"n.b.",(+IF(AVERAGE(D40:H40)&lt;70%,"C",+IF(AVERAGE(D40:H40)&lt;80%,"B","A"))))</f>
        <v>n.b.</v>
      </c>
    </row>
    <row r="176" spans="2:30">
      <c r="R176" s="23" t="s">
        <v>48</v>
      </c>
      <c r="S176" s="23" t="str">
        <f>+IF(ISERROR(AVERAGE(J36:O36)),"n.b.",(+IF(AVERAGE(J36:O36)&lt;70%,"C",+IF(AVERAGE(J36:O36)&lt;80%,"B","A"))))</f>
        <v>n.b.</v>
      </c>
      <c r="T176" s="23" t="str">
        <f>+IF(ISERROR(AVERAGE(J38:O38)),"n.b.",(+IF(AVERAGE(J38:O38)&lt;70%,"C",+IF(AVERAGE(J38:O38)&lt;80%,"B","A"))))</f>
        <v>n.b.</v>
      </c>
      <c r="U176" s="23" t="str">
        <f>+IF(ISERROR(AVERAGE(J40:O40)),"n.b.",(+IF(AVERAGE(J40:O40)&lt;70%,"C",+IF(AVERAGE(J40:O40)&lt;80%,"B","A"))))</f>
        <v>n.b.</v>
      </c>
    </row>
    <row r="177" spans="1:62">
      <c r="R177" s="23" t="s">
        <v>49</v>
      </c>
      <c r="S177" s="23" t="str">
        <f>+IF(ISERROR(AVERAGE(P36:R36)),"n.b.",(+IF(AVERAGE(P36:R36)&lt;70%,"C",+IF(AVERAGE(P36:R36)&lt;80%,"B","A"))))</f>
        <v>n.b.</v>
      </c>
      <c r="T177" s="23" t="str">
        <f>+IF(ISERROR(AVERAGE(P38:R38)),"n.b.",(+IF(AVERAGE(P38:R38)&lt;70%,"C",+IF(AVERAGE(P38:R38)&lt;80%,"B","A"))))</f>
        <v>n.b.</v>
      </c>
      <c r="U177" s="23" t="str">
        <f>+IF(ISERROR(AVERAGE(P40:R40)),"n.b.",(+IF(AVERAGE(P40:R40)&lt;70%,"C",+IF(AVERAGE(P40:R40)&lt;80%,"B","A"))))</f>
        <v>n.b.</v>
      </c>
    </row>
    <row r="178" spans="1:62">
      <c r="R178" s="23" t="s">
        <v>50</v>
      </c>
      <c r="S178" s="23" t="str">
        <f>+IF(ISERROR(AVERAGE($T36:$V36)),"n.b.",(+IF(AVERAGE($T36:$V36)&lt;70%,"C",+IF(AVERAGE($T36:$V36)&lt;80%,"B","A"))))</f>
        <v>n.b.</v>
      </c>
      <c r="T178" s="23" t="str">
        <f>+IF(ISERROR(AVERAGE($T38:$V38)),"n.b.",(+IF(AVERAGE($T38:$V38)&lt;70%,"C",+IF(AVERAGE($T38:$V38)&lt;80%,"B","A"))))</f>
        <v>n.b.</v>
      </c>
      <c r="U178" s="23" t="str">
        <f>+IF(ISERROR(AVERAGE($T40:$V40)),"n.b.",(+IF(AVERAGE($T40:$V40)&lt;70%,"C",+IF(AVERAGE($T40:$V40)&lt;80%,"B","A"))))</f>
        <v>n.b.</v>
      </c>
    </row>
    <row r="179" spans="1:62">
      <c r="R179" s="23" t="s">
        <v>144</v>
      </c>
      <c r="S179" s="23" t="str">
        <f>+IF(ISERROR(AVERAGE($Z36:$AC36)),"n.b.",(+IF(AVERAGE($Z36:$AC36)&lt;70%,"C",+IF(AVERAGE($Z36:$AC36)&lt;80%,"B","A"))))</f>
        <v>n.b.</v>
      </c>
      <c r="T179" s="23" t="str">
        <f>+IF(ISERROR(AVERAGE($Z38:$AC38)),"n.b.",(+IF(AVERAGE($Z38:$AC38)&lt;70%,"C",+IF(AVERAGE($Z38:$AC38)&lt;80%,"B","A"))))</f>
        <v>n.b.</v>
      </c>
      <c r="U179" s="23" t="str">
        <f>+IF(ISERROR(AVERAGE($Z40:$AC40)),"n.b.",(+IF(AVERAGE($Z40:$AC40)&lt;70%,"C",+IF(AVERAGE($Z40:$AC40)&lt;80%,"B","A"))))</f>
        <v>n.b.</v>
      </c>
    </row>
    <row r="180" spans="1:62">
      <c r="R180" s="23" t="s">
        <v>145</v>
      </c>
      <c r="S180" s="23" t="str">
        <f>+IF(ISERROR(AVERAGE($AE36:$AH36)),"n.b.",(+IF(AVERAGE($AE36:$AH36)&lt;70%,"C",+IF(AVERAGE($AE36:$AH36)&lt;80%,"B","A"))))</f>
        <v>n.b.</v>
      </c>
      <c r="T180" s="23" t="str">
        <f>+IF(ISERROR(AVERAGE($AE38:$AH38)),"n.b.",(+IF(AVERAGE($AE38:$AH38)&lt;70%,"C",+IF(AVERAGE($AE38:$AH38)&lt;80%,"B","A"))))</f>
        <v>n.b.</v>
      </c>
      <c r="U180" s="23" t="str">
        <f>+IF(ISERROR(AVERAGE($AE40:$AH40)),"n.b.",(+IF(AVERAGE($AE40:$AH40)&lt;70%,"C",+IF(AVERAGE($AE40:$AH40)&lt;80%,"B","A"))))</f>
        <v>n.b.</v>
      </c>
    </row>
    <row r="181" spans="1:62">
      <c r="R181" s="23" t="s">
        <v>200</v>
      </c>
      <c r="S181" s="23" t="str">
        <f>+IF(ISERROR(AVERAGE($AX36:$BE36)),"n.b.",(+IF(AVERAGE($AX36:$BE36)&lt;70%,"C",+IF(AVERAGE($AX36:$BE36)&lt;80%,"B","A"))))</f>
        <v>n.b.</v>
      </c>
      <c r="T181" s="23" t="str">
        <f>+IF(ISERROR(AVERAGE($AX38:$BE38)),"n.b.",(+IF(AVERAGE($AX38:$BE38)&lt;70%,"C",+IF(AVERAGE($AX38:$BE38)&lt;80%,"B","A"))))</f>
        <v>n.b.</v>
      </c>
      <c r="U181" s="23" t="str">
        <f>+IF(ISERROR(AVERAGE($AX40:$BE40)),"n.b.",(+IF(AVERAGE($AX40:$BE40)&lt;70%,"C",+IF(AVERAGE($AX40:$BE40)&lt;80%,"B","A"))))</f>
        <v>n.b.</v>
      </c>
    </row>
    <row r="183" spans="1:62">
      <c r="K183" s="193"/>
    </row>
    <row r="184" spans="1:62">
      <c r="K184" s="193"/>
      <c r="L184" s="158"/>
    </row>
    <row r="185" spans="1:62">
      <c r="B185" s="33"/>
      <c r="C185" s="22"/>
      <c r="D185" s="22"/>
      <c r="E185" s="22"/>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c r="AD185" s="22"/>
      <c r="AE185" s="22"/>
      <c r="AF185" s="22"/>
      <c r="AG185" s="22"/>
      <c r="AH185" s="22"/>
      <c r="AI185" s="22"/>
      <c r="AJ185" s="22"/>
      <c r="AK185" s="22"/>
      <c r="AL185" s="22"/>
      <c r="AM185" s="22"/>
      <c r="AN185" s="22"/>
      <c r="AO185" s="22"/>
      <c r="AP185" s="22"/>
      <c r="AQ185" s="22"/>
      <c r="AR185" s="22"/>
      <c r="AS185" s="22"/>
      <c r="AT185" s="22"/>
      <c r="AU185" s="22"/>
      <c r="AV185" s="22"/>
      <c r="AW185" s="22"/>
      <c r="AX185" s="22"/>
      <c r="AY185" s="22"/>
      <c r="AZ185" s="22"/>
      <c r="BA185" s="22"/>
      <c r="BB185" s="22"/>
      <c r="BC185" s="22"/>
      <c r="BD185" s="22"/>
      <c r="BE185"/>
      <c r="BF185"/>
      <c r="BG185"/>
      <c r="BH185"/>
      <c r="BI185" s="34"/>
      <c r="BJ185" s="22"/>
    </row>
    <row r="186" spans="1:62">
      <c r="A186" s="199"/>
      <c r="B186" s="33"/>
      <c r="C186" s="213"/>
      <c r="D186" s="210"/>
      <c r="E186" s="210"/>
      <c r="F186" s="210"/>
      <c r="G186" s="210"/>
      <c r="H186" s="210"/>
      <c r="I186" s="210"/>
      <c r="J186" s="210"/>
      <c r="K186" s="210"/>
      <c r="L186" s="210"/>
      <c r="M186" s="210"/>
      <c r="N186" s="210"/>
      <c r="O186" s="210"/>
      <c r="P186" s="210"/>
      <c r="Q186" s="210"/>
      <c r="R186" s="210"/>
      <c r="S186" s="210"/>
      <c r="T186" s="210"/>
      <c r="U186" s="210"/>
      <c r="V186" s="210"/>
      <c r="W186" s="210"/>
      <c r="X186" s="210"/>
      <c r="Y186" s="210"/>
      <c r="Z186" s="210"/>
      <c r="AA186" s="210"/>
      <c r="AB186" s="210"/>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s="36"/>
      <c r="BJ186"/>
    </row>
    <row r="187" spans="1:62">
      <c r="B187" s="33"/>
      <c r="C187" s="210"/>
      <c r="D187" s="210"/>
      <c r="E187" s="210"/>
      <c r="F187" s="210"/>
      <c r="G187" s="210"/>
      <c r="H187" s="210"/>
      <c r="I187" s="210"/>
      <c r="J187" s="210"/>
      <c r="K187" s="210"/>
      <c r="L187" s="210"/>
      <c r="M187" s="210"/>
      <c r="N187" s="210"/>
      <c r="O187" s="210"/>
      <c r="P187" s="210"/>
      <c r="Q187" s="210"/>
      <c r="R187" s="210"/>
      <c r="S187" s="210"/>
      <c r="T187" s="210"/>
      <c r="U187" s="210"/>
      <c r="V187" s="210"/>
      <c r="W187" s="210"/>
      <c r="X187" s="210"/>
      <c r="Y187" s="210"/>
      <c r="Z187" s="210"/>
      <c r="AA187" s="210"/>
      <c r="AB187" s="210"/>
      <c r="AC187"/>
      <c r="AD187"/>
      <c r="AE187"/>
      <c r="AF187"/>
      <c r="AG187"/>
      <c r="AH187"/>
      <c r="AI187"/>
      <c r="AJ187"/>
      <c r="AK187"/>
      <c r="AL187"/>
      <c r="AM187"/>
      <c r="AN187"/>
      <c r="AO187"/>
      <c r="AP187"/>
      <c r="AQ187"/>
      <c r="AR187"/>
      <c r="AS187"/>
      <c r="AT187"/>
      <c r="AU187"/>
      <c r="AV187"/>
      <c r="BE187"/>
      <c r="BF187"/>
      <c r="BG187"/>
      <c r="BH187"/>
      <c r="BI187" s="36"/>
      <c r="BJ187"/>
    </row>
    <row r="188" spans="1:62" s="183" customFormat="1" ht="28.5">
      <c r="A188" s="197" t="s">
        <v>216</v>
      </c>
      <c r="B188" s="33"/>
      <c r="C188" s="214"/>
      <c r="D188" s="1236"/>
      <c r="E188" s="1236"/>
      <c r="F188" s="1236"/>
      <c r="G188" s="1236"/>
      <c r="H188" s="1236"/>
      <c r="I188" s="1238"/>
      <c r="J188" s="1238"/>
      <c r="K188" s="1238"/>
      <c r="L188" s="1238"/>
      <c r="M188" s="1238"/>
      <c r="N188" s="1238"/>
      <c r="O188" s="1238"/>
      <c r="P188" s="1238"/>
      <c r="Q188" s="1238"/>
      <c r="R188" s="1238"/>
      <c r="S188" s="1238"/>
      <c r="T188" s="1238"/>
      <c r="U188" s="1238"/>
      <c r="V188" s="1238"/>
      <c r="W188" s="1238"/>
      <c r="X188" s="1238"/>
      <c r="Y188" s="215"/>
      <c r="Z188" s="215"/>
      <c r="AA188" s="215"/>
      <c r="AB188" s="566"/>
      <c r="AC188" s="167"/>
      <c r="AD188" s="167"/>
      <c r="AE188" s="1223"/>
      <c r="AF188" s="1223"/>
      <c r="AG188" s="1223"/>
      <c r="AH188" s="1223"/>
      <c r="AI188" s="1223"/>
      <c r="AJ188" s="1223"/>
      <c r="AK188" s="1223"/>
      <c r="AL188" s="1223"/>
      <c r="AM188" s="1223"/>
      <c r="AN188" s="1223"/>
      <c r="AO188" s="1223"/>
      <c r="AP188" s="1223"/>
      <c r="AQ188" s="1223"/>
      <c r="AR188" s="1223"/>
      <c r="AS188" s="1223"/>
      <c r="AT188" s="1223"/>
      <c r="AU188" s="168"/>
      <c r="AV188" s="168"/>
      <c r="AW188" s="1235"/>
      <c r="AX188" s="1235"/>
      <c r="AY188" s="1235"/>
      <c r="AZ188" s="1235"/>
      <c r="BA188" s="1235"/>
      <c r="BB188" s="1235"/>
      <c r="BC188" s="1235"/>
      <c r="BD188" s="186"/>
      <c r="BE188"/>
      <c r="BF188"/>
      <c r="BG188"/>
      <c r="BH188"/>
      <c r="BI188" s="32"/>
      <c r="BJ188" s="31"/>
    </row>
    <row r="189" spans="1:62" ht="21" customHeight="1">
      <c r="A189" s="198" t="e">
        <f>IF(COUNTIF(G48,"n.b.")+COUNTIF(M48,"n.b.")+COUNTIF(M48,"n.b.")+COUNTIF(Q48,"n.b.")+COUNTIF(W48,"n.b.")+COUNTIF(AB48,"n.b.")+COUNTIF(AG48,"n.b.")+COUNTIF(BD48,"n.b.")=7,"n.b.",IF(MIN(G48,M48,Q48,W48,AB48,AG48,BD48)&lt;70%,"C",IF(MIN(G48,M48,Q48,W48,AB48,AG48,BD48)&lt;80%,"B","A")))</f>
        <v>#REF!</v>
      </c>
      <c r="B189" s="33"/>
      <c r="C189" s="210"/>
      <c r="D189" s="1236"/>
      <c r="E189" s="1236"/>
      <c r="F189" s="1236"/>
      <c r="G189" s="1236"/>
      <c r="H189" s="1236"/>
      <c r="I189" s="1237"/>
      <c r="J189" s="1237"/>
      <c r="K189" s="1237"/>
      <c r="L189" s="1237"/>
      <c r="M189" s="1237"/>
      <c r="N189" s="1237"/>
      <c r="O189" s="1237"/>
      <c r="P189" s="1237"/>
      <c r="Q189" s="1237"/>
      <c r="R189" s="1237"/>
      <c r="S189" s="1237"/>
      <c r="T189" s="1237"/>
      <c r="U189" s="1237"/>
      <c r="V189" s="1237"/>
      <c r="W189" s="1237"/>
      <c r="X189" s="1237"/>
      <c r="Y189" s="216"/>
      <c r="Z189" s="216"/>
      <c r="AA189" s="216"/>
      <c r="AB189" s="567"/>
      <c r="AC189" s="169"/>
      <c r="AD189" s="169"/>
      <c r="AE189" s="1223"/>
      <c r="AF189" s="1223"/>
      <c r="AG189" s="1223"/>
      <c r="AH189" s="1223"/>
      <c r="AI189" s="1223"/>
      <c r="AJ189" s="1223"/>
      <c r="AK189" s="1223"/>
      <c r="AL189" s="1223"/>
      <c r="AM189" s="1223"/>
      <c r="AN189" s="1223"/>
      <c r="AO189" s="1223"/>
      <c r="AP189" s="1223"/>
      <c r="AQ189" s="1223"/>
      <c r="AR189" s="1223"/>
      <c r="AS189" s="1223"/>
      <c r="AT189" s="1223"/>
      <c r="AW189" s="1235"/>
      <c r="AX189" s="1235"/>
      <c r="AY189" s="1235"/>
      <c r="AZ189" s="1235"/>
      <c r="BA189" s="1235"/>
      <c r="BB189" s="1235"/>
      <c r="BC189" s="1235"/>
      <c r="BD189" s="186"/>
      <c r="BE189"/>
      <c r="BF189"/>
      <c r="BG189"/>
      <c r="BH189"/>
      <c r="BI189" s="36"/>
      <c r="BJ189"/>
    </row>
    <row r="190" spans="1:62" ht="5.0999999999999996" customHeight="1">
      <c r="B190" s="33"/>
      <c r="C190" s="210"/>
      <c r="D190" s="210"/>
      <c r="E190" s="210"/>
      <c r="F190" s="210"/>
      <c r="G190" s="210"/>
      <c r="H190" s="210"/>
      <c r="I190" s="210"/>
      <c r="J190" s="210"/>
      <c r="K190" s="210"/>
      <c r="L190" s="210"/>
      <c r="M190" s="210"/>
      <c r="N190" s="210"/>
      <c r="O190" s="210"/>
      <c r="P190" s="210"/>
      <c r="Q190" s="210"/>
      <c r="R190" s="210"/>
      <c r="S190" s="210"/>
      <c r="T190" s="210"/>
      <c r="U190" s="210"/>
      <c r="V190" s="210"/>
      <c r="W190" s="210"/>
      <c r="X190" s="210"/>
      <c r="Y190" s="210"/>
      <c r="Z190" s="210"/>
      <c r="AA190" s="210"/>
      <c r="AB190" s="210"/>
      <c r="AC190"/>
      <c r="AD190"/>
      <c r="AE190" s="1223"/>
      <c r="AF190" s="1223"/>
      <c r="AG190" s="1223"/>
      <c r="AH190" s="1223"/>
      <c r="AI190" s="1223"/>
      <c r="AJ190" s="1223"/>
      <c r="AK190" s="1223"/>
      <c r="AL190" s="1223"/>
      <c r="AM190" s="1223"/>
      <c r="AN190" s="1223"/>
      <c r="AO190" s="1223"/>
      <c r="AP190" s="1223"/>
      <c r="AQ190" s="1223"/>
      <c r="AR190" s="1223"/>
      <c r="AS190" s="1223"/>
      <c r="AT190" s="1223"/>
      <c r="AU190"/>
      <c r="AV190"/>
      <c r="AW190" s="1235"/>
      <c r="AX190" s="1235"/>
      <c r="AY190" s="1235"/>
      <c r="AZ190" s="1235"/>
      <c r="BA190" s="1235"/>
      <c r="BB190" s="1235"/>
      <c r="BC190" s="1235"/>
      <c r="BD190" s="186"/>
      <c r="BE190"/>
      <c r="BF190"/>
      <c r="BG190"/>
      <c r="BH190"/>
      <c r="BI190" s="36"/>
      <c r="BJ190"/>
    </row>
    <row r="191" spans="1:62" ht="13.5" customHeight="1">
      <c r="B191" s="33"/>
      <c r="C191" s="210"/>
      <c r="D191" s="217"/>
      <c r="E191" s="210"/>
      <c r="F191" s="210"/>
      <c r="G191" s="210"/>
      <c r="H191" s="210"/>
      <c r="I191" s="210"/>
      <c r="J191" s="1260"/>
      <c r="K191" s="1260"/>
      <c r="L191" s="210"/>
      <c r="M191" s="210"/>
      <c r="N191" s="1260"/>
      <c r="O191" s="1260"/>
      <c r="P191" s="210"/>
      <c r="Q191" s="210"/>
      <c r="R191" s="1260"/>
      <c r="S191" s="1260"/>
      <c r="T191" s="210"/>
      <c r="U191" s="210"/>
      <c r="V191" s="1260"/>
      <c r="W191" s="1260"/>
      <c r="X191" s="209"/>
      <c r="Y191" s="1260"/>
      <c r="Z191" s="1260"/>
      <c r="AA191" s="209"/>
      <c r="AB191" s="209"/>
      <c r="AC191" s="171"/>
      <c r="AD191" s="171"/>
      <c r="AE191" s="209"/>
      <c r="AF191" s="210"/>
      <c r="AG191" s="210"/>
      <c r="AH191" s="211"/>
      <c r="AI191" s="211"/>
      <c r="AJ191" s="211"/>
      <c r="AK191" s="211"/>
      <c r="AL191" s="211"/>
      <c r="AM191" s="210"/>
      <c r="AN191" s="210"/>
      <c r="AO191" s="210"/>
      <c r="AP191" s="210"/>
      <c r="AQ191" s="210"/>
      <c r="AR191" s="212"/>
      <c r="AS191" s="212"/>
      <c r="AT191" s="210"/>
      <c r="AU191"/>
      <c r="AV191"/>
      <c r="AW191"/>
      <c r="AX191"/>
      <c r="AY191"/>
      <c r="AZ191"/>
      <c r="BA191"/>
      <c r="BB191"/>
      <c r="BC191"/>
      <c r="BD191"/>
      <c r="BE191" s="208"/>
      <c r="BF191"/>
      <c r="BG191"/>
      <c r="BH191"/>
      <c r="BI191" s="36"/>
      <c r="BJ191"/>
    </row>
    <row r="192" spans="1:62" ht="21" customHeight="1">
      <c r="A192" s="197" t="s">
        <v>209</v>
      </c>
      <c r="B192" s="33"/>
      <c r="C192"/>
      <c r="D192"/>
      <c r="E192"/>
      <c r="F192"/>
      <c r="G192"/>
      <c r="H192"/>
      <c r="I192"/>
      <c r="J192"/>
      <c r="K192"/>
      <c r="L192"/>
      <c r="M192"/>
      <c r="N192"/>
      <c r="O192"/>
      <c r="P192"/>
      <c r="Q192"/>
      <c r="R192"/>
      <c r="S192"/>
      <c r="T192"/>
      <c r="U192"/>
      <c r="V192"/>
      <c r="W192"/>
      <c r="X192"/>
      <c r="Y192"/>
      <c r="Z192"/>
      <c r="AA192"/>
      <c r="AB192"/>
      <c r="AC192"/>
      <c r="AD192"/>
      <c r="AE192" s="1239"/>
      <c r="AF192" s="1240"/>
      <c r="AG192" s="1240"/>
      <c r="AH192" s="1240"/>
      <c r="AI192" s="1239"/>
      <c r="AJ192" s="1239"/>
      <c r="AK192" s="1239"/>
      <c r="AL192" s="1239"/>
      <c r="AM192" s="1239"/>
      <c r="AN192" s="1239"/>
      <c r="AO192" s="1239"/>
      <c r="AP192" s="1239"/>
      <c r="AQ192" s="1239"/>
      <c r="AR192"/>
      <c r="AS192"/>
      <c r="AT192"/>
      <c r="AU192"/>
      <c r="AV192"/>
      <c r="AW192"/>
      <c r="AX192"/>
      <c r="AY192"/>
      <c r="AZ192"/>
      <c r="BA192"/>
      <c r="BB192"/>
      <c r="BC192"/>
      <c r="BD192"/>
      <c r="BE192"/>
      <c r="BF192"/>
      <c r="BG192"/>
      <c r="BH192"/>
      <c r="BI192"/>
      <c r="BJ192"/>
    </row>
    <row r="193" spans="1:62" ht="15.2" customHeight="1" thickBot="1">
      <c r="A193" s="198" t="str">
        <f>IF(MIN(AT36:AT40)&lt;70%,"C",IF(MIN(AT36:AT40)&lt;80%,"B","A"))</f>
        <v>C</v>
      </c>
      <c r="B193" s="33"/>
      <c r="D193"/>
      <c r="E193"/>
      <c r="F193"/>
      <c r="G193"/>
      <c r="H193"/>
      <c r="I193"/>
      <c r="J193"/>
      <c r="K193"/>
      <c r="L193"/>
      <c r="M193"/>
      <c r="N193"/>
      <c r="O193"/>
      <c r="P193"/>
      <c r="Q193"/>
      <c r="R193"/>
      <c r="S193"/>
      <c r="T193"/>
      <c r="U193"/>
      <c r="V193" s="3"/>
      <c r="W193"/>
      <c r="X193"/>
      <c r="Y193" s="3" t="s">
        <v>77</v>
      </c>
      <c r="Z193"/>
      <c r="AB193" s="179" t="s">
        <v>97</v>
      </c>
      <c r="AC193"/>
      <c r="AD193"/>
      <c r="AE193" s="1240"/>
      <c r="AF193" s="1240"/>
      <c r="AG193" s="1240"/>
      <c r="AH193" s="1240"/>
      <c r="AI193" s="1240"/>
      <c r="AJ193" s="1240"/>
      <c r="AK193" s="1240"/>
      <c r="AL193" s="1240"/>
      <c r="AM193" s="1240"/>
      <c r="AN193" s="1240"/>
      <c r="AO193" s="1240"/>
      <c r="AP193" s="1240"/>
      <c r="AQ193" s="1240"/>
      <c r="AR193"/>
      <c r="AS193"/>
      <c r="AT193"/>
      <c r="AU193"/>
      <c r="AV193"/>
      <c r="AW193"/>
      <c r="AX193"/>
      <c r="AY193"/>
      <c r="AZ193"/>
      <c r="BA193"/>
      <c r="BB193"/>
      <c r="BC193"/>
      <c r="BD193"/>
      <c r="BE193"/>
      <c r="BF193"/>
      <c r="BG193"/>
      <c r="BH193"/>
      <c r="BI193"/>
      <c r="BJ193"/>
    </row>
    <row r="194" spans="1:62" ht="15" customHeight="1">
      <c r="B194" s="33"/>
      <c r="C194"/>
      <c r="D194"/>
      <c r="E194"/>
      <c r="F194"/>
      <c r="G194"/>
      <c r="H194"/>
      <c r="I194"/>
      <c r="J194"/>
      <c r="K194"/>
      <c r="L194"/>
      <c r="M194"/>
      <c r="N194"/>
      <c r="O194"/>
      <c r="P194"/>
      <c r="Q194"/>
      <c r="R194"/>
      <c r="S194"/>
      <c r="T194"/>
      <c r="U194"/>
      <c r="V194" s="1241" t="s">
        <v>104</v>
      </c>
      <c r="W194" s="1242"/>
      <c r="X194" s="1243"/>
      <c r="Y194" s="1247" t="str">
        <f>IF(ISERROR(AVERAGE(epm,epp,epr)),"n.b.",ROUND(AVERAGE(D8:J8,D14:H14,O14:S14,D22:K22,Q22:X22)/10,2))</f>
        <v>n.b.</v>
      </c>
      <c r="Z194" s="1248"/>
      <c r="AA194" s="1249"/>
      <c r="AB194" s="1253" t="str">
        <f>+L162</f>
        <v>n.b.</v>
      </c>
      <c r="AC194" s="1254"/>
      <c r="AD194"/>
      <c r="AE194" s="1257"/>
      <c r="AF194" s="1258"/>
      <c r="AG194" s="1258"/>
      <c r="AH194" s="1258"/>
      <c r="AI194" s="1228"/>
      <c r="AJ194" s="1228"/>
      <c r="AK194" s="1228"/>
      <c r="AL194" s="1228"/>
      <c r="AM194" s="1228"/>
      <c r="AN194" s="1228"/>
      <c r="AO194" s="1228"/>
      <c r="AP194" s="1228"/>
      <c r="AQ194" s="1259"/>
      <c r="AR194"/>
      <c r="AS194"/>
      <c r="AT194"/>
      <c r="AU194"/>
      <c r="AV194"/>
      <c r="AW194"/>
      <c r="AX194"/>
      <c r="AY194"/>
      <c r="AZ194"/>
      <c r="BA194"/>
      <c r="BB194"/>
      <c r="BC194"/>
      <c r="BD194"/>
      <c r="BE194"/>
      <c r="BF194"/>
      <c r="BG194"/>
      <c r="BH194"/>
      <c r="BI194"/>
      <c r="BJ194"/>
    </row>
    <row r="195" spans="1:62" ht="19.5" customHeight="1" thickBot="1">
      <c r="B195" s="33"/>
      <c r="C195"/>
      <c r="D195"/>
      <c r="E195"/>
      <c r="F195" s="55"/>
      <c r="G195"/>
      <c r="I195"/>
      <c r="J195" s="187"/>
      <c r="K195" s="166"/>
      <c r="L195"/>
      <c r="M195"/>
      <c r="N195"/>
      <c r="O195"/>
      <c r="P195"/>
      <c r="Q195"/>
      <c r="R195"/>
      <c r="S195"/>
      <c r="T195"/>
      <c r="U195"/>
      <c r="V195" s="1244"/>
      <c r="W195" s="1245"/>
      <c r="X195" s="1246"/>
      <c r="Y195" s="1250"/>
      <c r="Z195" s="1251"/>
      <c r="AA195" s="1252"/>
      <c r="AB195" s="1255"/>
      <c r="AC195" s="1256"/>
      <c r="AD195"/>
      <c r="AE195" s="1257"/>
      <c r="AF195" s="1258"/>
      <c r="AG195" s="1258"/>
      <c r="AH195" s="1258"/>
      <c r="AI195" s="1228"/>
      <c r="AJ195" s="1228"/>
      <c r="AK195" s="1228"/>
      <c r="AL195" s="1228"/>
      <c r="AM195" s="1228"/>
      <c r="AN195" s="1228"/>
      <c r="AO195" s="1228"/>
      <c r="AP195" s="1228"/>
      <c r="AQ195" s="1259"/>
      <c r="AR195"/>
      <c r="AS195"/>
      <c r="AT195"/>
      <c r="AU195"/>
      <c r="AV195"/>
      <c r="AW195"/>
      <c r="AX195"/>
      <c r="AY195"/>
      <c r="AZ195"/>
      <c r="BA195"/>
      <c r="BB195"/>
      <c r="BC195"/>
      <c r="BD195"/>
      <c r="BE195"/>
      <c r="BF195"/>
      <c r="BG195"/>
      <c r="BH195"/>
      <c r="BI195"/>
      <c r="BJ195"/>
    </row>
    <row r="196" spans="1:62" ht="15" customHeight="1" thickBot="1">
      <c r="B196" s="33"/>
      <c r="C196"/>
      <c r="D196"/>
      <c r="E196"/>
      <c r="F196"/>
      <c r="G196"/>
      <c r="H196"/>
      <c r="I196"/>
      <c r="J196"/>
      <c r="K196" s="166"/>
      <c r="L196"/>
      <c r="M196"/>
      <c r="N196"/>
      <c r="O196"/>
      <c r="P196"/>
      <c r="Q196"/>
      <c r="R196"/>
      <c r="S196"/>
      <c r="T196"/>
      <c r="U196"/>
      <c r="V196"/>
      <c r="W196"/>
      <c r="X196"/>
      <c r="Y196" s="208"/>
      <c r="Z196"/>
      <c r="AA196"/>
      <c r="AB196"/>
      <c r="AC196"/>
      <c r="AD196"/>
      <c r="AE196" s="1257"/>
      <c r="AF196" s="1258"/>
      <c r="AG196" s="1258"/>
      <c r="AH196" s="1258"/>
      <c r="AI196" s="1228"/>
      <c r="AJ196" s="1228"/>
      <c r="AK196" s="1228"/>
      <c r="AL196" s="1228"/>
      <c r="AM196" s="1228"/>
      <c r="AN196" s="1228"/>
      <c r="AO196" s="1228"/>
      <c r="AP196" s="1228"/>
      <c r="AQ196" s="1259"/>
      <c r="AR196"/>
      <c r="AS196"/>
      <c r="AT196"/>
      <c r="AU196"/>
      <c r="AV196"/>
      <c r="AW196"/>
      <c r="AX196"/>
      <c r="AY196"/>
      <c r="AZ196"/>
      <c r="BA196"/>
      <c r="BB196"/>
      <c r="BC196"/>
      <c r="BD196"/>
      <c r="BE196"/>
      <c r="BF196"/>
      <c r="BG196"/>
      <c r="BH196"/>
      <c r="BI196"/>
      <c r="BJ196"/>
    </row>
    <row r="197" spans="1:62" ht="19.5" customHeight="1">
      <c r="B197" s="33"/>
      <c r="C197"/>
      <c r="D197"/>
      <c r="E197"/>
      <c r="F197" s="55"/>
      <c r="G197"/>
      <c r="H197"/>
      <c r="I197"/>
      <c r="J197" s="187"/>
      <c r="K197" s="166"/>
      <c r="L197"/>
      <c r="M197"/>
      <c r="N197"/>
      <c r="O197"/>
      <c r="P197"/>
      <c r="Q197"/>
      <c r="R197"/>
      <c r="S197"/>
      <c r="T197"/>
      <c r="U197"/>
      <c r="V197" s="1241" t="s">
        <v>105</v>
      </c>
      <c r="W197" s="1242"/>
      <c r="X197" s="1243"/>
      <c r="Y197" s="1247" t="str">
        <f>IF(ISERROR(AVERAGE(ez,epg,ek)),"n.b.",ROUND(AVERAGE(L29:R29,D36:AH40,U52:Y52)/10,2))</f>
        <v>n.b.</v>
      </c>
      <c r="Z197" s="1248"/>
      <c r="AA197" s="1249"/>
      <c r="AB197" s="1253" t="str">
        <f>+L168</f>
        <v>n.b.</v>
      </c>
      <c r="AC197" s="1254"/>
      <c r="AD197"/>
      <c r="AE197" s="1257"/>
      <c r="AF197" s="1258"/>
      <c r="AG197" s="1258"/>
      <c r="AH197" s="1258"/>
      <c r="AI197" s="1228"/>
      <c r="AJ197" s="1228"/>
      <c r="AK197" s="1228"/>
      <c r="AL197" s="1228"/>
      <c r="AM197" s="1228"/>
      <c r="AN197" s="1228"/>
      <c r="AO197" s="1228"/>
      <c r="AP197" s="1228"/>
      <c r="AQ197" s="1259"/>
      <c r="AR197"/>
      <c r="AS197"/>
      <c r="AT197"/>
      <c r="AU197"/>
      <c r="AV197"/>
      <c r="AW197"/>
      <c r="AX197"/>
      <c r="AY197"/>
      <c r="AZ197"/>
      <c r="BA197"/>
      <c r="BB197"/>
      <c r="BC197"/>
      <c r="BD197"/>
      <c r="BE197"/>
      <c r="BF197"/>
      <c r="BG197"/>
      <c r="BH197"/>
      <c r="BI197"/>
      <c r="BJ197"/>
    </row>
    <row r="198" spans="1:62" ht="15" customHeight="1" thickBot="1">
      <c r="B198" s="33"/>
      <c r="C198" s="22"/>
      <c r="D198" s="22"/>
      <c r="E198" s="22"/>
      <c r="F198" s="22"/>
      <c r="G198" s="22"/>
      <c r="H198" s="22"/>
      <c r="I198" s="22"/>
      <c r="J198" s="22"/>
      <c r="K198" s="22"/>
      <c r="L198" s="22"/>
      <c r="M198" s="22"/>
      <c r="N198" s="22"/>
      <c r="O198" s="25"/>
      <c r="P198" s="22"/>
      <c r="Q198" s="22"/>
      <c r="R198" s="22"/>
      <c r="S198" s="22"/>
      <c r="T198" s="22"/>
      <c r="U198" s="22"/>
      <c r="V198" s="1244"/>
      <c r="W198" s="1245"/>
      <c r="X198" s="1246"/>
      <c r="Y198" s="1250"/>
      <c r="Z198" s="1251"/>
      <c r="AA198" s="1252"/>
      <c r="AB198" s="1255"/>
      <c r="AC198" s="1256"/>
      <c r="AD198" s="22"/>
      <c r="AE198" s="1261"/>
      <c r="AF198" s="1259"/>
      <c r="AG198" s="1259"/>
      <c r="AH198" s="1259"/>
      <c r="AI198" s="1228"/>
      <c r="AJ198" s="1228"/>
      <c r="AK198" s="1228"/>
      <c r="AL198" s="1228"/>
      <c r="AM198" s="1228"/>
      <c r="AN198" s="1228"/>
      <c r="AO198" s="1228"/>
      <c r="AP198" s="1228"/>
      <c r="AQ198" s="1259"/>
      <c r="AR198"/>
      <c r="AS198"/>
      <c r="AT198"/>
      <c r="AU198"/>
      <c r="AV198"/>
      <c r="AW198"/>
      <c r="AX198"/>
      <c r="AY198"/>
      <c r="AZ198"/>
      <c r="BA198"/>
      <c r="BB198"/>
      <c r="BC198"/>
      <c r="BD198"/>
      <c r="BE198"/>
      <c r="BF198"/>
      <c r="BG198"/>
      <c r="BH198"/>
      <c r="BI198"/>
      <c r="BJ198" s="22"/>
    </row>
    <row r="199" spans="1:62" ht="7.5" customHeight="1">
      <c r="B199" s="33"/>
      <c r="C199" s="22"/>
      <c r="D199" s="22"/>
      <c r="E199" s="22"/>
      <c r="F199" s="22"/>
      <c r="G199" s="22"/>
      <c r="H199" s="22"/>
      <c r="I199" s="22"/>
      <c r="J199" s="22"/>
      <c r="K199" s="22"/>
      <c r="L199" s="22"/>
      <c r="M199" s="22"/>
      <c r="N199" s="22"/>
      <c r="O199" s="25"/>
      <c r="P199" s="22"/>
      <c r="Q199" s="22"/>
      <c r="R199" s="22"/>
      <c r="S199" s="22"/>
      <c r="T199" s="22"/>
      <c r="U199" s="22"/>
      <c r="V199" s="756"/>
      <c r="W199" s="756"/>
      <c r="X199" s="756"/>
      <c r="Y199" s="208"/>
      <c r="Z199" s="174"/>
      <c r="AA199" s="174"/>
      <c r="AB199" s="22"/>
      <c r="AC199" s="22"/>
      <c r="AD199" s="22"/>
      <c r="AE199" s="170"/>
      <c r="AF199" s="31"/>
      <c r="AG199" s="31"/>
      <c r="AH199" s="31"/>
      <c r="AI199" s="175"/>
      <c r="AJ199" s="175"/>
      <c r="AK199" s="175"/>
      <c r="AL199" s="175"/>
      <c r="AM199" s="175"/>
      <c r="AN199" s="175"/>
      <c r="AO199" s="175"/>
      <c r="AP199" s="175"/>
      <c r="AQ199" s="31"/>
      <c r="AR199" s="174"/>
      <c r="AS199" s="174"/>
      <c r="AT199" s="756"/>
      <c r="AX199" s="172"/>
      <c r="AY199" s="172"/>
      <c r="BF199" s="172"/>
      <c r="BG199" s="172"/>
      <c r="BH199" s="172"/>
      <c r="BI199" s="173"/>
      <c r="BJ199" s="22"/>
    </row>
    <row r="200" spans="1:62" ht="15" customHeight="1">
      <c r="B200" s="33"/>
      <c r="C200" s="478" t="s">
        <v>449</v>
      </c>
      <c r="D200"/>
      <c r="E200"/>
      <c r="F200"/>
      <c r="G200"/>
      <c r="H200"/>
      <c r="I200" s="22"/>
      <c r="J200"/>
      <c r="K200"/>
      <c r="L200"/>
      <c r="M200"/>
      <c r="N200" s="210"/>
      <c r="O200" s="275"/>
      <c r="P200" s="274"/>
      <c r="Q200" s="210"/>
      <c r="R200" s="210"/>
      <c r="S200" s="218"/>
      <c r="T200" s="218"/>
      <c r="U200" s="210"/>
      <c r="V200" s="210"/>
      <c r="W200" s="210"/>
      <c r="X200" s="210"/>
      <c r="Y200" s="210"/>
      <c r="Z200" s="210"/>
      <c r="AA200"/>
      <c r="AB200"/>
      <c r="AC200"/>
      <c r="AD200"/>
      <c r="AH200" s="23" t="s">
        <v>274</v>
      </c>
      <c r="AX200" s="172"/>
      <c r="AY200" s="172"/>
      <c r="AZ200" s="172"/>
      <c r="BA200" s="172"/>
      <c r="BB200" s="172"/>
      <c r="BC200" s="172"/>
      <c r="BD200" s="172"/>
      <c r="BE200" s="172"/>
      <c r="BF200" s="172"/>
      <c r="BG200" s="172"/>
      <c r="BH200" s="172"/>
      <c r="BI200" s="36"/>
      <c r="BJ200"/>
    </row>
    <row r="201" spans="1:62" ht="7.15" customHeight="1" thickBot="1">
      <c r="B201" s="79"/>
      <c r="C201" s="80"/>
      <c r="D201" s="81"/>
      <c r="E201" s="81"/>
      <c r="F201" s="81"/>
      <c r="G201" s="81"/>
      <c r="H201" s="81"/>
      <c r="I201" s="81"/>
      <c r="J201" s="81"/>
      <c r="K201" s="81"/>
      <c r="L201" s="81"/>
      <c r="M201" s="81"/>
      <c r="N201" s="81"/>
      <c r="O201" s="81"/>
      <c r="P201" s="81"/>
      <c r="Q201" s="81"/>
      <c r="R201" s="81"/>
      <c r="S201" s="81"/>
      <c r="T201" s="81"/>
      <c r="U201" s="81"/>
      <c r="V201" s="81"/>
      <c r="W201" s="81"/>
      <c r="X201" s="81"/>
      <c r="Y201" s="81"/>
      <c r="Z201" s="81"/>
      <c r="AA201" s="81"/>
      <c r="AB201" s="81"/>
      <c r="AC201" s="81"/>
      <c r="AD201" s="81"/>
      <c r="AE201" s="81"/>
      <c r="AF201" s="81"/>
      <c r="AG201" s="81"/>
      <c r="AH201" s="81"/>
      <c r="AI201" s="81"/>
      <c r="AJ201" s="81"/>
      <c r="AK201" s="81"/>
      <c r="AL201" s="81"/>
      <c r="AM201" s="81"/>
      <c r="AN201" s="81"/>
      <c r="AO201" s="81"/>
      <c r="AP201" s="81"/>
      <c r="AQ201" s="81"/>
      <c r="AR201" s="81"/>
      <c r="AS201" s="81"/>
      <c r="AT201" s="81"/>
      <c r="AU201" s="81"/>
      <c r="AV201" s="81"/>
      <c r="AW201" s="81"/>
      <c r="AX201" s="81"/>
      <c r="AY201" s="81"/>
      <c r="AZ201" s="81"/>
      <c r="BA201" s="81"/>
      <c r="BB201" s="81"/>
      <c r="BC201" s="81"/>
      <c r="BD201" s="81"/>
      <c r="BE201" s="81"/>
      <c r="BF201" s="81"/>
      <c r="BG201" s="81"/>
      <c r="BH201" s="81"/>
      <c r="BI201" s="82"/>
      <c r="BJ201"/>
    </row>
    <row r="202" spans="1:62">
      <c r="K202" s="193"/>
      <c r="L202" s="158"/>
    </row>
    <row r="212" spans="11:12">
      <c r="K212" s="193"/>
      <c r="L212" s="158"/>
    </row>
    <row r="213" spans="11:12">
      <c r="L213" s="158"/>
    </row>
    <row r="224" spans="11:12">
      <c r="K224" s="193"/>
      <c r="L224" s="158"/>
    </row>
    <row r="225" spans="11:12">
      <c r="L225" s="158"/>
    </row>
    <row r="236" spans="11:12">
      <c r="K236" s="193"/>
      <c r="L236" s="158"/>
    </row>
    <row r="237" spans="11:12">
      <c r="L237" s="158"/>
    </row>
  </sheetData>
  <sheetProtection formatColumns="0" formatRows="0" selectLockedCells="1" selectUnlockedCells="1"/>
  <mergeCells count="105">
    <mergeCell ref="AE196:AH196"/>
    <mergeCell ref="AI196:AQ196"/>
    <mergeCell ref="V197:X198"/>
    <mergeCell ref="Y197:AA198"/>
    <mergeCell ref="AB197:AC198"/>
    <mergeCell ref="AE197:AH197"/>
    <mergeCell ref="AI197:AQ197"/>
    <mergeCell ref="AE198:AH198"/>
    <mergeCell ref="AI198:AQ198"/>
    <mergeCell ref="AI192:AQ193"/>
    <mergeCell ref="V194:X195"/>
    <mergeCell ref="Y194:AA195"/>
    <mergeCell ref="AB194:AC195"/>
    <mergeCell ref="AE194:AH194"/>
    <mergeCell ref="AI194:AQ194"/>
    <mergeCell ref="AE195:AH195"/>
    <mergeCell ref="AI195:AQ195"/>
    <mergeCell ref="J191:K191"/>
    <mergeCell ref="N191:O191"/>
    <mergeCell ref="R191:S191"/>
    <mergeCell ref="V191:W191"/>
    <mergeCell ref="Y191:Z191"/>
    <mergeCell ref="AE192:AH193"/>
    <mergeCell ref="AW188:BC190"/>
    <mergeCell ref="D189:H189"/>
    <mergeCell ref="I189:L189"/>
    <mergeCell ref="M189:P189"/>
    <mergeCell ref="Q189:T189"/>
    <mergeCell ref="U189:X189"/>
    <mergeCell ref="D188:H188"/>
    <mergeCell ref="I188:L188"/>
    <mergeCell ref="M188:P188"/>
    <mergeCell ref="Q188:T188"/>
    <mergeCell ref="U188:X188"/>
    <mergeCell ref="AE188:AT190"/>
    <mergeCell ref="U91:AV92"/>
    <mergeCell ref="AW91:BI92"/>
    <mergeCell ref="U93:AV94"/>
    <mergeCell ref="AW93:BI94"/>
    <mergeCell ref="U96:AV96"/>
    <mergeCell ref="AW96:BI96"/>
    <mergeCell ref="W85:AV86"/>
    <mergeCell ref="AW85:BI86"/>
    <mergeCell ref="U87:AV88"/>
    <mergeCell ref="AW87:BI88"/>
    <mergeCell ref="U89:AV90"/>
    <mergeCell ref="AW89:BI90"/>
    <mergeCell ref="W80:AV81"/>
    <mergeCell ref="AW80:BI81"/>
    <mergeCell ref="W82:AV82"/>
    <mergeCell ref="AW82:BI82"/>
    <mergeCell ref="W83:AV84"/>
    <mergeCell ref="AW83:BI84"/>
    <mergeCell ref="AI67:AQ67"/>
    <mergeCell ref="AW72:BI73"/>
    <mergeCell ref="AW74:BI75"/>
    <mergeCell ref="AW76:BI77"/>
    <mergeCell ref="W78:AV79"/>
    <mergeCell ref="AW78:BI79"/>
    <mergeCell ref="M57:P57"/>
    <mergeCell ref="D58:H58"/>
    <mergeCell ref="I58:L58"/>
    <mergeCell ref="M58:P58"/>
    <mergeCell ref="BB61:BD61"/>
    <mergeCell ref="BE61:BF61"/>
    <mergeCell ref="BB62:BD64"/>
    <mergeCell ref="BE62:BF64"/>
    <mergeCell ref="AL61:AX62"/>
    <mergeCell ref="AY61:AZ62"/>
    <mergeCell ref="AL64:AX65"/>
    <mergeCell ref="AY64:AZ65"/>
    <mergeCell ref="AN57:AT57"/>
    <mergeCell ref="AS45:AT45"/>
    <mergeCell ref="G48:H48"/>
    <mergeCell ref="M48:N48"/>
    <mergeCell ref="Q48:R48"/>
    <mergeCell ref="W48:X48"/>
    <mergeCell ref="AB48:AC48"/>
    <mergeCell ref="AG48:AH48"/>
    <mergeCell ref="BD48:BE48"/>
    <mergeCell ref="AS52:AT52"/>
    <mergeCell ref="AS36:AT36"/>
    <mergeCell ref="AS38:AT38"/>
    <mergeCell ref="AS40:AT40"/>
    <mergeCell ref="AQ29:AR29"/>
    <mergeCell ref="AS29:AT29"/>
    <mergeCell ref="J33:O33"/>
    <mergeCell ref="P33:R33"/>
    <mergeCell ref="T33:X33"/>
    <mergeCell ref="Z33:AC33"/>
    <mergeCell ref="AE33:AH33"/>
    <mergeCell ref="AQ33:AT33"/>
    <mergeCell ref="L16:M16"/>
    <mergeCell ref="W16:X16"/>
    <mergeCell ref="AQ22:AR22"/>
    <mergeCell ref="AS22:AT22"/>
    <mergeCell ref="O24:P24"/>
    <mergeCell ref="AB24:AC24"/>
    <mergeCell ref="B1:H2"/>
    <mergeCell ref="I1:BC2"/>
    <mergeCell ref="BF1:BI1"/>
    <mergeCell ref="AQ8:AR8"/>
    <mergeCell ref="AS8:AT8"/>
    <mergeCell ref="AQ14:AR14"/>
    <mergeCell ref="AS14:AT14"/>
  </mergeCells>
  <conditionalFormatting sqref="L164:L168 L158:L162 L149:L155">
    <cfRule type="cellIs" dxfId="32" priority="4" stopIfTrue="1" operator="equal">
      <formula>"A"</formula>
    </cfRule>
    <cfRule type="cellIs" dxfId="31" priority="5" stopIfTrue="1" operator="equal">
      <formula>"B"</formula>
    </cfRule>
    <cfRule type="cellIs" dxfId="30" priority="6" stopIfTrue="1" operator="equal">
      <formula>"C"</formula>
    </cfRule>
  </conditionalFormatting>
  <conditionalFormatting sqref="D59:D65">
    <cfRule type="cellIs" dxfId="29" priority="1" stopIfTrue="1" operator="equal">
      <formula>"A"</formula>
    </cfRule>
    <cfRule type="cellIs" dxfId="28" priority="2" stopIfTrue="1" operator="equal">
      <formula>"B"</formula>
    </cfRule>
    <cfRule type="cellIs" dxfId="27" priority="3" stopIfTrue="1" operator="equal">
      <formula>"C"</formula>
    </cfRule>
  </conditionalFormatting>
  <pageMargins left="0.59055118110236227" right="0.39370078740157483" top="0.59055118110236227" bottom="0.39370078740157483" header="0.19685039370078741" footer="0.19685039370078741"/>
  <pageSetup paperSize="9" scale="40" orientation="landscape" r:id="rId1"/>
  <headerFooter scaleWithDoc="0">
    <oddFooter>Page &amp;P of &amp;N</oddFooter>
  </headerFooter>
  <drawing r:id="rId2"/>
  <legacyDrawingHF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roGru4">
    <tabColor indexed="17"/>
    <pageSetUpPr fitToPage="1"/>
  </sheetPr>
  <dimension ref="A1:CB237"/>
  <sheetViews>
    <sheetView showGridLines="0" topLeftCell="B1" zoomScale="80" zoomScaleNormal="80" zoomScaleSheetLayoutView="100" workbookViewId="0">
      <selection activeCell="B1" sqref="B1:H2"/>
    </sheetView>
  </sheetViews>
  <sheetFormatPr baseColWidth="10" defaultColWidth="0" defaultRowHeight="14.25"/>
  <cols>
    <col min="1" max="1" width="10.140625" style="197" hidden="1" customWidth="1"/>
    <col min="2" max="2" width="10" style="23" customWidth="1"/>
    <col min="3" max="3" width="3.42578125" style="23" customWidth="1"/>
    <col min="4" max="41" width="5.7109375" style="23" customWidth="1"/>
    <col min="42" max="42" width="7.140625" style="23" customWidth="1"/>
    <col min="43" max="43" width="3" style="23" customWidth="1"/>
    <col min="44" max="44" width="4.5703125" style="23" customWidth="1"/>
    <col min="45" max="45" width="3.140625" style="23" customWidth="1"/>
    <col min="46" max="46" width="10.42578125" style="23" customWidth="1"/>
    <col min="47" max="47" width="5.5703125" style="23" customWidth="1"/>
    <col min="48" max="49" width="4.7109375" style="23" customWidth="1"/>
    <col min="50" max="57" width="5.42578125" style="23" customWidth="1"/>
    <col min="58" max="60" width="7.140625" style="23" customWidth="1"/>
    <col min="61" max="61" width="4.140625" style="23" customWidth="1"/>
    <col min="62" max="62" width="3" style="23" customWidth="1"/>
    <col min="63" max="63" width="11.42578125" style="23" hidden="1" customWidth="1"/>
    <col min="64" max="80" width="9.7109375" style="23" hidden="1" customWidth="1"/>
    <col min="81" max="16384" width="11.42578125" style="23" hidden="1"/>
  </cols>
  <sheetData>
    <row r="1" spans="1:80" ht="19.5" customHeight="1">
      <c r="B1" s="1181"/>
      <c r="C1" s="1182"/>
      <c r="D1" s="1182"/>
      <c r="E1" s="1182"/>
      <c r="F1" s="1182"/>
      <c r="G1" s="1182"/>
      <c r="H1" s="1183"/>
      <c r="I1" s="1187" t="e">
        <f>#REF!</f>
        <v>#REF!</v>
      </c>
      <c r="J1" s="1188"/>
      <c r="K1" s="1188"/>
      <c r="L1" s="1188"/>
      <c r="M1" s="1188"/>
      <c r="N1" s="1188"/>
      <c r="O1" s="1188"/>
      <c r="P1" s="1188"/>
      <c r="Q1" s="1188"/>
      <c r="R1" s="1188"/>
      <c r="S1" s="1188"/>
      <c r="T1" s="1188"/>
      <c r="U1" s="1188"/>
      <c r="V1" s="1188"/>
      <c r="W1" s="1188"/>
      <c r="X1" s="1188"/>
      <c r="Y1" s="1188"/>
      <c r="Z1" s="1188"/>
      <c r="AA1" s="1188"/>
      <c r="AB1" s="1188"/>
      <c r="AC1" s="1188"/>
      <c r="AD1" s="1188"/>
      <c r="AE1" s="1188"/>
      <c r="AF1" s="1188"/>
      <c r="AG1" s="1188"/>
      <c r="AH1" s="1188"/>
      <c r="AI1" s="1188"/>
      <c r="AJ1" s="1188"/>
      <c r="AK1" s="1188"/>
      <c r="AL1" s="1188"/>
      <c r="AM1" s="1188"/>
      <c r="AN1" s="1188"/>
      <c r="AO1" s="1188"/>
      <c r="AP1" s="1188"/>
      <c r="AQ1" s="1188"/>
      <c r="AR1" s="1188"/>
      <c r="AS1" s="1188"/>
      <c r="AT1" s="1188"/>
      <c r="AU1" s="1188"/>
      <c r="AV1" s="1188"/>
      <c r="AW1" s="1188"/>
      <c r="AX1" s="1188"/>
      <c r="AY1" s="1188"/>
      <c r="AZ1" s="1188"/>
      <c r="BA1" s="1188"/>
      <c r="BB1" s="1188"/>
      <c r="BC1" s="1189"/>
      <c r="BD1" s="320" t="e">
        <f>#REF!</f>
        <v>#REF!</v>
      </c>
      <c r="BE1" s="139"/>
      <c r="BF1" s="1193">
        <f>IF('Input Form'!C9="","",'Input Form'!C9)</f>
        <v>29885</v>
      </c>
      <c r="BG1" s="1193"/>
      <c r="BH1" s="1193"/>
      <c r="BI1" s="1194"/>
      <c r="BJ1" s="19"/>
    </row>
    <row r="2" spans="1:80" ht="11.25" customHeight="1" thickBot="1">
      <c r="B2" s="1184"/>
      <c r="C2" s="1185"/>
      <c r="D2" s="1185"/>
      <c r="E2" s="1185"/>
      <c r="F2" s="1185"/>
      <c r="G2" s="1185"/>
      <c r="H2" s="1186"/>
      <c r="I2" s="1190"/>
      <c r="J2" s="1191"/>
      <c r="K2" s="1191"/>
      <c r="L2" s="1191"/>
      <c r="M2" s="1191"/>
      <c r="N2" s="1191"/>
      <c r="O2" s="1191"/>
      <c r="P2" s="1191"/>
      <c r="Q2" s="1191"/>
      <c r="R2" s="1191"/>
      <c r="S2" s="1191"/>
      <c r="T2" s="1191"/>
      <c r="U2" s="1191"/>
      <c r="V2" s="1191"/>
      <c r="W2" s="1191"/>
      <c r="X2" s="1191"/>
      <c r="Y2" s="1191"/>
      <c r="Z2" s="1191"/>
      <c r="AA2" s="1191"/>
      <c r="AB2" s="1191"/>
      <c r="AC2" s="1191"/>
      <c r="AD2" s="1191"/>
      <c r="AE2" s="1191"/>
      <c r="AF2" s="1191"/>
      <c r="AG2" s="1191"/>
      <c r="AH2" s="1191"/>
      <c r="AI2" s="1191"/>
      <c r="AJ2" s="1191"/>
      <c r="AK2" s="1191"/>
      <c r="AL2" s="1191"/>
      <c r="AM2" s="1191"/>
      <c r="AN2" s="1191"/>
      <c r="AO2" s="1191"/>
      <c r="AP2" s="1191"/>
      <c r="AQ2" s="1191"/>
      <c r="AR2" s="1191"/>
      <c r="AS2" s="1191"/>
      <c r="AT2" s="1191"/>
      <c r="AU2" s="1191"/>
      <c r="AV2" s="1191"/>
      <c r="AW2" s="1191"/>
      <c r="AX2" s="1191"/>
      <c r="AY2" s="1191"/>
      <c r="AZ2" s="1191"/>
      <c r="BA2" s="1191"/>
      <c r="BB2" s="1191"/>
      <c r="BC2" s="1192"/>
      <c r="BD2" s="143"/>
      <c r="BE2" s="144"/>
      <c r="BF2" s="144"/>
      <c r="BG2" s="144"/>
      <c r="BH2" s="144"/>
      <c r="BI2" s="145"/>
      <c r="BJ2" s="19"/>
    </row>
    <row r="3" spans="1:80" ht="21.75" customHeight="1">
      <c r="A3" s="200" t="s">
        <v>208</v>
      </c>
      <c r="B3" s="33"/>
      <c r="C3" s="147" t="s">
        <v>24</v>
      </c>
      <c r="D3" s="22"/>
      <c r="E3" s="182" t="e">
        <f>#REF!</f>
        <v>#REF!</v>
      </c>
      <c r="F3" s="22"/>
      <c r="G3" s="22"/>
      <c r="H3" s="22"/>
      <c r="I3" s="22"/>
      <c r="J3" s="22"/>
      <c r="K3" s="22"/>
      <c r="L3" s="22"/>
      <c r="M3" s="22"/>
      <c r="N3" s="22"/>
      <c r="O3" s="25"/>
      <c r="P3" s="22"/>
      <c r="Q3" s="22"/>
      <c r="R3" s="22"/>
      <c r="S3" s="22"/>
      <c r="T3" s="22"/>
      <c r="U3" s="22"/>
      <c r="V3" s="22"/>
      <c r="W3" s="22"/>
      <c r="X3" s="22"/>
      <c r="Y3" s="22"/>
      <c r="Z3" s="22"/>
      <c r="AA3" s="22"/>
      <c r="AB3" s="22"/>
      <c r="AC3" s="22"/>
      <c r="AD3" s="22"/>
      <c r="AE3" s="22"/>
      <c r="AF3" s="22"/>
      <c r="AG3" s="22"/>
      <c r="AH3" s="22"/>
      <c r="AI3" s="22"/>
      <c r="AJ3" s="22"/>
      <c r="AK3" s="22"/>
      <c r="AL3" s="22"/>
      <c r="AM3" s="22"/>
      <c r="AN3" s="22"/>
      <c r="AO3" s="22"/>
      <c r="AP3" s="22"/>
      <c r="AQ3" s="22"/>
      <c r="AR3" s="22"/>
      <c r="AS3" s="22"/>
      <c r="AT3" s="22"/>
      <c r="AU3" s="22"/>
      <c r="AV3" s="22"/>
      <c r="AW3" s="22"/>
      <c r="AX3" s="22"/>
      <c r="AY3" s="22"/>
      <c r="AZ3" s="22"/>
      <c r="BA3" s="22"/>
      <c r="BB3" s="22"/>
      <c r="BC3" s="22"/>
      <c r="BD3" s="22"/>
      <c r="BE3" s="22"/>
      <c r="BF3" s="22"/>
      <c r="BG3" s="22"/>
      <c r="BH3" s="22"/>
      <c r="BI3" s="34"/>
      <c r="BJ3" s="22"/>
    </row>
    <row r="4" spans="1:80" ht="8.25" customHeight="1">
      <c r="B4" s="33"/>
      <c r="C4" s="22"/>
      <c r="D4" s="22"/>
      <c r="E4" s="22"/>
      <c r="F4" s="148"/>
      <c r="G4" s="22"/>
      <c r="H4" s="22"/>
      <c r="I4" s="22"/>
      <c r="J4" s="22"/>
      <c r="K4" s="22"/>
      <c r="L4" s="22"/>
      <c r="M4" s="22"/>
      <c r="N4" s="22"/>
      <c r="O4" s="25"/>
      <c r="P4" s="22"/>
      <c r="Q4" s="22"/>
      <c r="R4" s="22"/>
      <c r="S4" s="22"/>
      <c r="T4" s="22"/>
      <c r="U4" s="22"/>
      <c r="V4" s="22"/>
      <c r="W4" s="22"/>
      <c r="X4" s="22"/>
      <c r="Y4" s="22"/>
      <c r="Z4" s="22"/>
      <c r="AA4" s="22"/>
      <c r="AB4" s="22"/>
      <c r="AC4" s="22"/>
      <c r="AD4" s="22"/>
      <c r="AE4" s="22"/>
      <c r="AF4" s="22"/>
      <c r="AG4" s="22"/>
      <c r="AI4" s="22"/>
      <c r="AJ4" s="22"/>
      <c r="AK4" s="22"/>
      <c r="AL4" s="22"/>
      <c r="AM4" s="22"/>
      <c r="AN4" s="22"/>
      <c r="AO4" s="22"/>
      <c r="AP4" s="22"/>
      <c r="AQ4" s="22"/>
      <c r="AR4" s="22"/>
      <c r="AS4" s="22"/>
      <c r="AT4" s="22"/>
      <c r="AU4" s="22"/>
      <c r="AV4" s="22"/>
      <c r="AW4" s="22"/>
      <c r="AX4" s="22"/>
      <c r="AY4" s="22"/>
      <c r="AZ4" s="22"/>
      <c r="BA4" s="22"/>
      <c r="BB4" s="22"/>
      <c r="BC4" s="22"/>
      <c r="BD4" s="22"/>
      <c r="BE4"/>
      <c r="BF4"/>
      <c r="BG4"/>
      <c r="BH4"/>
      <c r="BI4" s="34"/>
      <c r="BJ4" s="22"/>
    </row>
    <row r="5" spans="1:80" ht="16.149999999999999" customHeight="1">
      <c r="A5" s="757" t="e">
        <f>#REF!</f>
        <v>#REF!</v>
      </c>
      <c r="B5" s="33"/>
      <c r="C5" s="181" t="s">
        <v>138</v>
      </c>
      <c r="D5" s="52" t="str">
        <f>Questions!C12</f>
        <v>Project management</v>
      </c>
      <c r="F5" s="22"/>
      <c r="G5" s="22"/>
      <c r="H5" s="22"/>
      <c r="I5" s="22"/>
      <c r="J5" s="22"/>
      <c r="K5" s="22"/>
      <c r="L5" s="22"/>
      <c r="M5" s="22"/>
      <c r="N5" s="22"/>
      <c r="O5" s="25"/>
      <c r="P5" s="22"/>
      <c r="Q5" s="22"/>
      <c r="R5" s="22"/>
      <c r="S5" s="22"/>
      <c r="T5" s="22"/>
      <c r="U5" s="22"/>
      <c r="V5" s="22"/>
      <c r="W5" s="22"/>
      <c r="X5" s="22"/>
      <c r="Y5" s="22"/>
      <c r="Z5" s="22"/>
      <c r="AA5" s="22"/>
      <c r="AB5" s="22"/>
      <c r="AC5" s="22"/>
      <c r="AD5" s="22"/>
      <c r="AE5" s="22"/>
      <c r="AF5" s="22"/>
      <c r="AG5" s="22"/>
      <c r="AM5" s="22"/>
      <c r="AN5" s="22"/>
      <c r="AO5" s="22"/>
      <c r="AP5" s="22"/>
      <c r="AQ5" s="141" t="e">
        <f>#REF!</f>
        <v>#REF!</v>
      </c>
      <c r="AR5" s="22"/>
      <c r="AS5" s="22"/>
      <c r="AT5" s="22"/>
      <c r="AU5" s="22"/>
      <c r="AV5" s="22"/>
      <c r="AW5" s="22"/>
      <c r="AX5" s="22"/>
      <c r="AY5" s="22"/>
      <c r="AZ5" s="22"/>
      <c r="BA5" s="22"/>
      <c r="BB5" s="22"/>
      <c r="BC5" s="22"/>
      <c r="BD5" s="22"/>
      <c r="BE5"/>
      <c r="BF5"/>
      <c r="BG5"/>
      <c r="BH5"/>
      <c r="BI5" s="34"/>
      <c r="BJ5" s="22"/>
    </row>
    <row r="6" spans="1:80" ht="6.75" customHeight="1">
      <c r="B6" s="33"/>
      <c r="C6" s="24"/>
      <c r="D6" s="22"/>
      <c r="E6" s="149"/>
      <c r="F6" s="22"/>
      <c r="G6" s="22"/>
      <c r="H6" s="22"/>
      <c r="I6" s="22"/>
      <c r="J6" s="22"/>
      <c r="K6" s="22"/>
      <c r="L6" s="22"/>
      <c r="M6" s="22"/>
      <c r="N6" s="22"/>
      <c r="O6" s="25"/>
      <c r="P6" s="22"/>
      <c r="Q6" s="22"/>
      <c r="R6" s="22"/>
      <c r="S6" s="22"/>
      <c r="T6" s="22"/>
      <c r="U6" s="22"/>
      <c r="V6" s="22"/>
      <c r="W6" s="22"/>
      <c r="X6" s="22"/>
      <c r="Y6" s="22"/>
      <c r="Z6" s="22"/>
      <c r="AA6" s="22"/>
      <c r="AB6" s="22"/>
      <c r="AC6" s="22"/>
      <c r="AD6" s="22"/>
      <c r="AE6" s="22"/>
      <c r="AF6" s="22"/>
      <c r="AG6" s="22"/>
      <c r="AH6"/>
      <c r="AI6" s="22"/>
      <c r="AJ6" s="22"/>
      <c r="AK6" s="22"/>
      <c r="AL6" s="22"/>
      <c r="AM6" s="22"/>
      <c r="AN6" s="22"/>
      <c r="AO6" s="22"/>
      <c r="AP6" s="22"/>
      <c r="AQ6" s="22"/>
      <c r="AR6" s="22"/>
      <c r="AS6" s="22"/>
      <c r="AT6" s="22"/>
      <c r="AU6" s="22"/>
      <c r="AV6" s="22"/>
      <c r="AW6" s="22"/>
      <c r="AX6" s="22"/>
      <c r="AY6" s="22"/>
      <c r="AZ6" s="22"/>
      <c r="BA6" s="22"/>
      <c r="BB6" s="22"/>
      <c r="BC6" s="22"/>
      <c r="BD6" s="22"/>
      <c r="BE6"/>
      <c r="BF6"/>
      <c r="BG6"/>
      <c r="BH6"/>
      <c r="BI6" s="34"/>
      <c r="BJ6" s="22"/>
    </row>
    <row r="7" spans="1:80" ht="15" customHeight="1" thickBot="1">
      <c r="A7" s="197" t="s">
        <v>385</v>
      </c>
      <c r="B7" s="33"/>
      <c r="C7" s="24"/>
      <c r="D7" s="321" t="s">
        <v>56</v>
      </c>
      <c r="E7" s="321" t="s">
        <v>186</v>
      </c>
      <c r="F7" s="321" t="s">
        <v>188</v>
      </c>
      <c r="G7" s="321" t="s">
        <v>106</v>
      </c>
      <c r="H7" s="465" t="s">
        <v>304</v>
      </c>
      <c r="I7" s="465" t="s">
        <v>315</v>
      </c>
      <c r="J7" s="321" t="s">
        <v>192</v>
      </c>
      <c r="Q7" s="21"/>
      <c r="R7" s="21"/>
      <c r="S7" s="22"/>
      <c r="T7" s="22"/>
      <c r="U7" s="22"/>
      <c r="V7" s="22"/>
      <c r="W7" s="22"/>
      <c r="X7" s="22"/>
      <c r="Y7" s="22"/>
      <c r="Z7" s="22"/>
      <c r="AA7" s="22"/>
      <c r="AB7" s="22"/>
      <c r="AC7" s="22"/>
      <c r="AD7" s="22"/>
      <c r="AE7" s="22"/>
      <c r="AF7" s="22"/>
      <c r="AG7" s="22"/>
      <c r="AH7"/>
      <c r="AI7" s="22"/>
      <c r="AJ7" s="22"/>
      <c r="AK7" s="22"/>
      <c r="AL7" s="22"/>
      <c r="AM7" s="22"/>
      <c r="AN7" s="22"/>
      <c r="AO7" s="22"/>
      <c r="AP7" s="22"/>
      <c r="AQ7" s="22"/>
      <c r="AR7" s="22"/>
      <c r="AS7" s="22"/>
      <c r="AT7" s="22"/>
      <c r="AU7" s="22"/>
      <c r="AV7" s="22"/>
      <c r="AW7" s="22"/>
      <c r="AX7" s="22"/>
      <c r="AY7" s="22"/>
      <c r="AZ7" s="22"/>
      <c r="BA7" s="22"/>
      <c r="BB7" s="22"/>
      <c r="BC7" s="22"/>
      <c r="BD7" s="22"/>
      <c r="BE7"/>
      <c r="BF7"/>
      <c r="BG7"/>
      <c r="BH7"/>
      <c r="BI7" s="34"/>
      <c r="BJ7" s="22"/>
      <c r="BL7" s="554" t="e">
        <f>#REF!</f>
        <v>#REF!</v>
      </c>
      <c r="BM7" s="477" t="e">
        <f>#REF!</f>
        <v>#REF!</v>
      </c>
      <c r="BN7" s="477" t="e">
        <f>#REF!</f>
        <v>#REF!</v>
      </c>
      <c r="BO7" s="477" t="e">
        <f>#REF!</f>
        <v>#REF!</v>
      </c>
      <c r="BP7" s="477" t="e">
        <f>#REF!</f>
        <v>#REF!</v>
      </c>
    </row>
    <row r="8" spans="1:80" ht="15" customHeight="1" thickBot="1">
      <c r="A8" s="198" t="e">
        <f>IF(COUNT(D8:J8)=0,BL7,IF(MIN(D8:J8)=0,"B","A"))</f>
        <v>#REF!</v>
      </c>
      <c r="B8" s="33"/>
      <c r="C8" s="24"/>
      <c r="D8" s="189" t="e">
        <f>IF(A5=FALSE,$BL$7,IF(ISBLANK(Questions!D13),"--",Questions!D13))</f>
        <v>#REF!</v>
      </c>
      <c r="E8" s="189" t="e">
        <f>IF(A5=FALSE,$BL$7,IF(ISBLANK(Questions!D14),"--",Questions!D14))</f>
        <v>#REF!</v>
      </c>
      <c r="F8" s="189" t="e">
        <f>IF(A5=FALSE,$BL$7,IF(ISBLANK(Questions!D15),"--",Questions!D15))</f>
        <v>#REF!</v>
      </c>
      <c r="G8" s="189" t="e">
        <f>IF(A5=FALSE,$BL$7,IF(ISBLANK(Questions!D16),"--",Questions!D16))</f>
        <v>#REF!</v>
      </c>
      <c r="H8" s="470" t="e">
        <f>IF(A5=FALSE,$BL$7,IF(ISBLANK(Questions!D17),"--",Questions!D17))</f>
        <v>#REF!</v>
      </c>
      <c r="I8" s="470" t="e">
        <f>IF(A5=FALSE,$BL$7,IF(ISBLANK(Questions!D18),"--",Questions!D18))</f>
        <v>#REF!</v>
      </c>
      <c r="J8" s="189" t="e">
        <f>IF(A5=FALSE,$BL$7,IF(ISBLANK(Questions!D19),"--",Questions!D19))</f>
        <v>#REF!</v>
      </c>
      <c r="Q8" s="22"/>
      <c r="R8" s="22"/>
      <c r="S8" s="22"/>
      <c r="T8" s="22"/>
      <c r="U8" s="22"/>
      <c r="V8" s="22"/>
      <c r="W8" s="22"/>
      <c r="X8" s="22"/>
      <c r="Y8" s="22"/>
      <c r="Z8" s="22"/>
      <c r="AA8" s="22"/>
      <c r="AB8" s="22"/>
      <c r="AC8" s="22"/>
      <c r="AD8" s="22"/>
      <c r="AE8" s="22"/>
      <c r="AF8" s="22"/>
      <c r="AG8" s="22"/>
      <c r="AH8"/>
      <c r="AI8" s="22"/>
      <c r="AJ8" s="22"/>
      <c r="AK8" s="22"/>
      <c r="AL8" s="22"/>
      <c r="AM8" s="22"/>
      <c r="AN8" s="22"/>
      <c r="AO8" s="22"/>
      <c r="AP8" s="22"/>
      <c r="AQ8" s="1179" t="s">
        <v>494</v>
      </c>
      <c r="AR8" s="1180"/>
      <c r="AS8" s="1195" t="e">
        <f>IF(AND(A5,BM8&gt;=BN8),ROUND(BP8/BO8,2),BL7)</f>
        <v>#REF!</v>
      </c>
      <c r="AT8" s="1196"/>
      <c r="AU8"/>
      <c r="AV8" s="22"/>
      <c r="AW8" s="22"/>
      <c r="AX8" s="22"/>
      <c r="AY8" s="22"/>
      <c r="AZ8" s="22"/>
      <c r="BA8" s="22"/>
      <c r="BB8" s="22"/>
      <c r="BC8" s="22"/>
      <c r="BD8" s="22"/>
      <c r="BE8"/>
      <c r="BF8"/>
      <c r="BG8"/>
      <c r="BH8"/>
      <c r="BI8" s="34"/>
      <c r="BJ8" s="22"/>
      <c r="BL8" s="575">
        <f>COUNTIF(D8:J8,"&gt;-")</f>
        <v>0</v>
      </c>
      <c r="BM8" s="575">
        <f>COUNT(D8:J8)</f>
        <v>0</v>
      </c>
      <c r="BN8" s="575">
        <v>5</v>
      </c>
      <c r="BO8" s="575" t="e">
        <f>IF(AND($A5,BM8&gt;=BN8),BM8*10,"--")</f>
        <v>#REF!</v>
      </c>
      <c r="BP8" s="575" t="e">
        <f>IF(AND($A5,BM8&gt;=BN8),SUM(D8:J8),"--")</f>
        <v>#REF!</v>
      </c>
    </row>
    <row r="9" spans="1:80" ht="6.75" customHeight="1">
      <c r="B9" s="33"/>
      <c r="C9" s="22"/>
      <c r="D9" s="22"/>
      <c r="E9" s="22"/>
      <c r="F9" s="22"/>
      <c r="G9" s="22"/>
      <c r="H9" s="22"/>
      <c r="I9" s="22"/>
      <c r="J9" s="22"/>
      <c r="K9" s="22"/>
      <c r="L9" s="22"/>
      <c r="M9" s="22"/>
      <c r="N9" s="22"/>
      <c r="O9" s="25"/>
      <c r="P9" s="22"/>
      <c r="Q9" s="22"/>
      <c r="R9" s="22"/>
      <c r="S9" s="22"/>
      <c r="T9" s="22"/>
      <c r="U9" s="22"/>
      <c r="V9" s="22"/>
      <c r="W9" s="22"/>
      <c r="X9" s="22"/>
      <c r="Y9" s="22"/>
      <c r="Z9" s="22"/>
      <c r="AA9" s="22"/>
      <c r="AB9" s="22"/>
      <c r="AC9" s="22"/>
      <c r="AD9" s="22"/>
      <c r="AE9" s="22"/>
      <c r="AF9" s="22"/>
      <c r="AG9" s="22"/>
      <c r="AI9" s="22"/>
      <c r="AJ9" s="22"/>
      <c r="AK9" s="22"/>
      <c r="AL9" s="22"/>
      <c r="AM9" s="22"/>
      <c r="AN9" s="22"/>
      <c r="AO9" s="22"/>
      <c r="AP9" s="22"/>
      <c r="AQ9" s="22"/>
      <c r="AR9" s="22"/>
      <c r="AS9" s="22"/>
      <c r="AT9" s="22"/>
      <c r="AU9" s="22"/>
      <c r="AV9" s="22"/>
      <c r="AW9" s="22"/>
      <c r="AX9" s="22"/>
      <c r="AY9" s="22"/>
      <c r="AZ9" s="22"/>
      <c r="BA9" s="22"/>
      <c r="BB9" s="22"/>
      <c r="BC9" s="22"/>
      <c r="BD9" s="22"/>
      <c r="BE9"/>
      <c r="BF9"/>
      <c r="BG9"/>
      <c r="BH9"/>
      <c r="BI9" s="34"/>
      <c r="BJ9" s="22"/>
    </row>
    <row r="10" spans="1:80" ht="18" customHeight="1">
      <c r="A10" s="758" t="e">
        <f>#REF!</f>
        <v>#REF!</v>
      </c>
      <c r="B10" s="33"/>
      <c r="C10" s="488" t="s">
        <v>139</v>
      </c>
      <c r="D10" s="488" t="str">
        <f>Questions!C20</f>
        <v>Planning the product and process development</v>
      </c>
      <c r="E10" s="489"/>
      <c r="F10" s="489"/>
      <c r="G10" s="489"/>
      <c r="H10" s="489"/>
      <c r="I10" s="489"/>
      <c r="J10" s="489"/>
      <c r="K10" s="489"/>
      <c r="L10" s="489"/>
      <c r="M10" s="489"/>
      <c r="N10" s="489"/>
      <c r="O10" s="490"/>
      <c r="P10" s="489"/>
      <c r="Q10" s="489"/>
      <c r="R10" s="489"/>
      <c r="S10" s="489"/>
      <c r="T10" s="489"/>
      <c r="U10" s="489"/>
      <c r="V10" s="489"/>
      <c r="W10" s="489"/>
      <c r="X10" s="489"/>
      <c r="Y10" s="489"/>
      <c r="Z10" s="489"/>
      <c r="AA10" s="489"/>
      <c r="AB10" s="489"/>
      <c r="AC10" s="489"/>
      <c r="AD10" s="489"/>
      <c r="AE10" s="489"/>
      <c r="AF10" s="489"/>
      <c r="AG10" s="489"/>
      <c r="AH10" s="489"/>
      <c r="AI10" s="489"/>
      <c r="AJ10" s="489"/>
      <c r="AK10" s="489"/>
      <c r="AL10" s="489"/>
      <c r="AM10" s="489"/>
      <c r="AN10" s="489"/>
      <c r="AO10" s="489"/>
      <c r="AP10" s="489"/>
      <c r="AQ10" s="489"/>
      <c r="AR10" s="489"/>
      <c r="AS10" s="489"/>
      <c r="AT10" s="489"/>
      <c r="AU10" s="489"/>
      <c r="AV10" s="489"/>
      <c r="AW10" s="489"/>
      <c r="AX10" s="489"/>
      <c r="AY10" s="489"/>
      <c r="AZ10" s="489"/>
      <c r="BA10" s="489"/>
      <c r="BB10" s="489"/>
      <c r="BC10" s="489"/>
      <c r="BD10" s="489"/>
      <c r="BE10" s="493"/>
      <c r="BF10" s="493"/>
      <c r="BG10" s="493"/>
      <c r="BH10" s="493"/>
      <c r="BI10" s="491"/>
      <c r="BJ10" s="22"/>
    </row>
    <row r="11" spans="1:80" ht="6" customHeight="1">
      <c r="B11" s="33"/>
      <c r="C11" s="25"/>
      <c r="D11" s="25"/>
      <c r="E11" s="22"/>
      <c r="F11" s="22"/>
      <c r="G11" s="22"/>
      <c r="H11" s="22"/>
      <c r="I11" s="22"/>
      <c r="J11" s="22"/>
      <c r="K11" s="22"/>
      <c r="L11" s="22"/>
      <c r="M11" s="22"/>
      <c r="N11" s="22"/>
      <c r="O11" s="25"/>
      <c r="P11" s="22"/>
      <c r="Q11" s="22"/>
      <c r="R11" s="22"/>
      <c r="S11" s="22"/>
      <c r="T11" s="22"/>
      <c r="U11" s="22"/>
      <c r="V11" s="22"/>
      <c r="W11" s="22"/>
      <c r="X11" s="22"/>
      <c r="Y11" s="22"/>
      <c r="Z11" s="22"/>
      <c r="AA11" s="22"/>
      <c r="AB11" s="22"/>
      <c r="AF11" s="22"/>
      <c r="AG11" s="22"/>
      <c r="AH11" s="22"/>
      <c r="AI11" s="22"/>
      <c r="AJ11" s="22"/>
      <c r="AK11" s="22"/>
      <c r="AL11" s="22"/>
      <c r="AM11" s="22"/>
      <c r="AN11" s="22"/>
      <c r="AO11" s="22"/>
      <c r="AP11" s="22"/>
      <c r="AQ11" s="22"/>
      <c r="AR11" s="22"/>
      <c r="AS11" s="22"/>
      <c r="AT11" s="22"/>
      <c r="AU11" s="22"/>
      <c r="AV11" s="22"/>
      <c r="AW11" s="22"/>
      <c r="AX11" s="22"/>
      <c r="AY11" s="22"/>
      <c r="AZ11" s="22"/>
      <c r="BA11" s="22"/>
      <c r="BB11" s="22"/>
      <c r="BC11" s="22"/>
      <c r="BD11" s="22"/>
      <c r="BE11"/>
      <c r="BF11"/>
      <c r="BG11"/>
      <c r="BH11"/>
      <c r="BI11" s="34"/>
      <c r="BJ11" s="22"/>
    </row>
    <row r="12" spans="1:80" ht="14.1" customHeight="1">
      <c r="B12" s="33"/>
      <c r="C12" s="25"/>
      <c r="D12" s="150" t="str">
        <f>Questions!C23</f>
        <v>Product</v>
      </c>
      <c r="F12" s="22"/>
      <c r="G12" s="22"/>
      <c r="H12" s="22"/>
      <c r="I12" s="22"/>
      <c r="K12" s="22"/>
      <c r="L12" s="22"/>
      <c r="M12" s="22"/>
      <c r="N12" s="22"/>
      <c r="O12" s="150" t="str">
        <f>Questions!C24</f>
        <v>Process</v>
      </c>
      <c r="P12" s="22"/>
      <c r="R12" s="150"/>
      <c r="S12" s="150"/>
      <c r="T12" s="150"/>
      <c r="U12" s="150"/>
      <c r="V12" s="150"/>
      <c r="W12" s="150"/>
      <c r="X12" s="150"/>
      <c r="AM12" s="22"/>
      <c r="AN12" s="22"/>
      <c r="AO12" s="22"/>
      <c r="AP12" s="22"/>
      <c r="AQ12" s="22"/>
      <c r="AR12" s="22"/>
      <c r="AS12" s="22"/>
      <c r="AT12" s="22"/>
      <c r="AU12" s="22"/>
      <c r="AV12" s="22"/>
      <c r="AW12" s="22"/>
      <c r="AX12" s="22"/>
      <c r="AY12" s="22"/>
      <c r="AZ12" s="22"/>
      <c r="BA12" s="22"/>
      <c r="BB12" s="22"/>
      <c r="BC12" s="22"/>
      <c r="BD12" s="22"/>
      <c r="BE12"/>
      <c r="BF12"/>
      <c r="BG12"/>
      <c r="BH12"/>
      <c r="BI12" s="34"/>
      <c r="BJ12" s="22"/>
    </row>
    <row r="13" spans="1:80" ht="15" thickBot="1">
      <c r="A13" s="197" t="s">
        <v>386</v>
      </c>
      <c r="B13" s="33"/>
      <c r="C13" s="22"/>
      <c r="D13" s="321" t="s">
        <v>112</v>
      </c>
      <c r="E13" s="465" t="s">
        <v>307</v>
      </c>
      <c r="F13" s="321" t="s">
        <v>114</v>
      </c>
      <c r="G13" s="321" t="s">
        <v>115</v>
      </c>
      <c r="H13" s="321" t="s">
        <v>116</v>
      </c>
      <c r="N13" s="20"/>
      <c r="O13" s="321" t="s">
        <v>112</v>
      </c>
      <c r="P13" s="465" t="s">
        <v>307</v>
      </c>
      <c r="Q13" s="321" t="s">
        <v>114</v>
      </c>
      <c r="R13" s="321" t="s">
        <v>115</v>
      </c>
      <c r="S13" s="321" t="s">
        <v>116</v>
      </c>
      <c r="Z13" s="321" t="s">
        <v>112</v>
      </c>
      <c r="AA13" s="465" t="s">
        <v>307</v>
      </c>
      <c r="AB13" s="321" t="s">
        <v>114</v>
      </c>
      <c r="AC13" s="321" t="s">
        <v>115</v>
      </c>
      <c r="AD13" s="321" t="s">
        <v>116</v>
      </c>
      <c r="AJ13" s="22"/>
      <c r="AM13" s="22"/>
      <c r="AN13" s="22"/>
      <c r="AO13" s="22"/>
      <c r="AP13" s="22"/>
      <c r="AQ13" s="22"/>
      <c r="AR13" s="22"/>
      <c r="AS13" s="22"/>
      <c r="AT13" s="22"/>
      <c r="AU13" s="22"/>
      <c r="AV13" s="22"/>
      <c r="AW13" s="22"/>
      <c r="AX13" s="22"/>
      <c r="AY13" s="22"/>
      <c r="AZ13" s="22"/>
      <c r="BA13" s="22"/>
      <c r="BB13" s="22"/>
      <c r="BC13" s="22"/>
      <c r="BD13" s="22"/>
      <c r="BE13"/>
      <c r="BF13"/>
      <c r="BG13"/>
      <c r="BH13"/>
      <c r="BI13" s="34"/>
      <c r="BJ13" s="22"/>
      <c r="BL13" s="477" t="e">
        <f>#REF!</f>
        <v>#REF!</v>
      </c>
      <c r="BM13" s="477" t="e">
        <f>#REF!</f>
        <v>#REF!</v>
      </c>
      <c r="BN13" s="477" t="e">
        <f>#REF!</f>
        <v>#REF!</v>
      </c>
      <c r="BO13" s="477" t="e">
        <f>#REF!</f>
        <v>#REF!</v>
      </c>
      <c r="BP13" s="477" t="e">
        <f>#REF!</f>
        <v>#REF!</v>
      </c>
      <c r="BR13" s="477" t="e">
        <f>#REF!</f>
        <v>#REF!</v>
      </c>
      <c r="BS13" s="477" t="e">
        <f>#REF!</f>
        <v>#REF!</v>
      </c>
      <c r="BT13" s="477" t="e">
        <f>#REF!</f>
        <v>#REF!</v>
      </c>
      <c r="BU13" s="477" t="e">
        <f>#REF!</f>
        <v>#REF!</v>
      </c>
      <c r="BV13" s="477" t="e">
        <f>#REF!</f>
        <v>#REF!</v>
      </c>
      <c r="BX13" s="477" t="e">
        <f>#REF!</f>
        <v>#REF!</v>
      </c>
      <c r="BY13" s="477" t="e">
        <f>#REF!</f>
        <v>#REF!</v>
      </c>
      <c r="BZ13" s="477" t="e">
        <f>#REF!</f>
        <v>#REF!</v>
      </c>
      <c r="CA13" s="477" t="e">
        <f>#REF!</f>
        <v>#REF!</v>
      </c>
      <c r="CB13" s="477" t="e">
        <f>#REF!</f>
        <v>#REF!</v>
      </c>
    </row>
    <row r="14" spans="1:80" s="26" customFormat="1" ht="15.75" thickBot="1">
      <c r="A14" s="198" t="e">
        <f>IF(COUNT(D14:H14)+COUNT(O14:S14)=0,BL13,IF(MIN(D14:H14,O14:S14)=0,"B","A"))</f>
        <v>#REF!</v>
      </c>
      <c r="B14" s="35"/>
      <c r="C14" s="150"/>
      <c r="D14" s="189" t="e">
        <f>IF($A$10=FALSE,$BL$13,IF(ISBLANK(Questions!$D23),"--",Questions!$D23))</f>
        <v>#REF!</v>
      </c>
      <c r="E14" s="470" t="e">
        <f>IF($A$10=FALSE,$BL$13,IF(ISBLANK(Questions!$D26),"--",Questions!$D26))</f>
        <v>#REF!</v>
      </c>
      <c r="F14" s="189" t="e">
        <f>IF($A$10=FALSE,$BL$13,IF(ISBLANK(Questions!$D29),"--",Questions!$D29))</f>
        <v>#REF!</v>
      </c>
      <c r="G14" s="189" t="e">
        <f>IF($A$10=FALSE,$BL$13,IF(ISBLANK(Questions!$D32),"--",Questions!$D32))</f>
        <v>#REF!</v>
      </c>
      <c r="H14" s="189" t="e">
        <f>IF($A$10=FALSE,$BL$13,IF(ISBLANK(Questions!$D35),"--",Questions!$D35))</f>
        <v>#REF!</v>
      </c>
      <c r="O14" s="189" t="e">
        <f>IF($A$10=FALSE,$BR$13,IF(ISBLANK(Questions!$D24),"--",Questions!$D24))</f>
        <v>#REF!</v>
      </c>
      <c r="P14" s="470" t="e">
        <f>IF($A$10=FALSE,$BR$13,IF(ISBLANK(Questions!$D27),"--",Questions!$D27))</f>
        <v>#REF!</v>
      </c>
      <c r="Q14" s="189" t="e">
        <f>IF($A$10=FALSE,$BR$13,IF(ISBLANK(Questions!$D30),"--",Questions!$D30))</f>
        <v>#REF!</v>
      </c>
      <c r="R14" s="189" t="e">
        <f>IF($A$10=FALSE,$BR$13,IF(ISBLANK(Questions!$D33),"--",Questions!$D33))</f>
        <v>#REF!</v>
      </c>
      <c r="S14" s="189" t="e">
        <f>IF($A$10=FALSE,$BR$13,IF(ISBLANK(Questions!$D36),"--",Questions!$D36))</f>
        <v>#REF!</v>
      </c>
      <c r="Z14" s="748" t="e">
        <f>IF(AND(D14=$BL$13,O14=$BR$13),$BX$13,IF(AND(D14="--",O14="--"),"--",IF(COUNT(D14,O14)&gt;0,ROUND(AVERAGE(D14,O14),2),"/")))</f>
        <v>#REF!</v>
      </c>
      <c r="AA14" s="749" t="e">
        <f>IF(AND(E14=$BL$13,P14=$BR$13),$BX$13,IF(AND(E14="--",P14="--"),"--",IF(COUNT(E14,P14)&gt;0,ROUND(AVERAGE(E14,P14),2),"/")))</f>
        <v>#REF!</v>
      </c>
      <c r="AB14" s="748" t="e">
        <f>IF(AND(F14=$BL$13,Q14=$BR$13),$BX$13,IF(AND(F14="--",Q14="--"),"--",IF(COUNT(F14,Q14)&gt;0,ROUND(AVERAGE(F14,Q14),2),"/")))</f>
        <v>#REF!</v>
      </c>
      <c r="AC14" s="748" t="e">
        <f>IF(AND(G14=$BL$13,R14=$BR$13),$BX$13,IF(AND(G14="--",R14="--"),"--",IF(COUNT(G14,R14)&gt;0,ROUND(AVERAGE(G14,R14),2),"/")))</f>
        <v>#REF!</v>
      </c>
      <c r="AD14" s="748" t="e">
        <f>IF(AND(H14=$BL$13,S14=$BR$13),$BX$13,IF(AND(H14="--",S14="--"),"--",IF(COUNT(H14,S14)&gt;0,ROUND(AVERAGE(H14,S14),2),"/")))</f>
        <v>#REF!</v>
      </c>
      <c r="AJ14" s="22"/>
      <c r="AM14"/>
      <c r="AN14"/>
      <c r="AO14"/>
      <c r="AP14"/>
      <c r="AQ14" s="1179" t="s">
        <v>495</v>
      </c>
      <c r="AR14" s="1180"/>
      <c r="AS14" s="1177" t="e">
        <f>IF(AND(L16=BL13,W16=BR13),BL13,ROUND(CB14/CA14,2))</f>
        <v>#REF!</v>
      </c>
      <c r="AT14" s="1178"/>
      <c r="AU14"/>
      <c r="AV14" s="153"/>
      <c r="AW14" s="153"/>
      <c r="AX14" s="153"/>
      <c r="AY14" s="153"/>
      <c r="AZ14" s="153"/>
      <c r="BA14" s="153"/>
      <c r="BB14" s="153"/>
      <c r="BC14" s="153"/>
      <c r="BD14" s="153"/>
      <c r="BE14"/>
      <c r="BF14"/>
      <c r="BG14"/>
      <c r="BH14"/>
      <c r="BI14" s="36"/>
      <c r="BJ14"/>
      <c r="BL14" s="575">
        <f>COUNTIF(D14:H14,"&gt;-")</f>
        <v>0</v>
      </c>
      <c r="BM14" s="575">
        <f>COUNT(D14:H14)</f>
        <v>0</v>
      </c>
      <c r="BN14" s="575">
        <v>4</v>
      </c>
      <c r="BO14" s="575" t="e">
        <f>IF(AND($A10,BM14&gt;=BN14),BM14*10,"--")</f>
        <v>#REF!</v>
      </c>
      <c r="BP14" s="575" t="e">
        <f>IF(AND($A10,BM14&gt;=BN14),SUM(D14:H14),"--")</f>
        <v>#REF!</v>
      </c>
      <c r="BR14" s="575">
        <f>COUNTIF(O14:S14,"&gt;-")</f>
        <v>0</v>
      </c>
      <c r="BS14" s="575">
        <f>COUNT(O14:S14)</f>
        <v>0</v>
      </c>
      <c r="BT14" s="575">
        <v>4</v>
      </c>
      <c r="BU14" s="575" t="e">
        <f>IF(AND($A10,BS14&gt;=BT14),BS14*10,"--")</f>
        <v>#REF!</v>
      </c>
      <c r="BV14" s="575" t="e">
        <f>IF(AND($A10,BS14&gt;=BT14),SUM(O14:S14),"--")</f>
        <v>#REF!</v>
      </c>
      <c r="BX14" s="575">
        <f>COUNTIF(Z14:AD14,"&gt;-")</f>
        <v>0</v>
      </c>
      <c r="BY14" s="575">
        <f>COUNT(Z14:AD14)</f>
        <v>0</v>
      </c>
      <c r="BZ14" s="575">
        <v>4</v>
      </c>
      <c r="CA14" s="575" t="e">
        <f>IF(AND($A10,BY14&gt;=BZ14),BY14*10,"--")</f>
        <v>#REF!</v>
      </c>
      <c r="CB14" s="575" t="e">
        <f>IF(AND($A10,BY14&gt;=BZ14),SUM(Z14:AD14),"--")</f>
        <v>#REF!</v>
      </c>
    </row>
    <row r="15" spans="1:80" ht="15" thickBot="1">
      <c r="B15" s="33"/>
      <c r="C15" s="22"/>
      <c r="N15" s="150"/>
      <c r="O15" s="22"/>
      <c r="P15" s="22"/>
      <c r="T15" s="22"/>
      <c r="V15" s="22"/>
      <c r="W15" s="22"/>
      <c r="X15"/>
      <c r="Y15"/>
      <c r="Z15"/>
      <c r="AA15"/>
      <c r="AB15"/>
      <c r="AC15"/>
      <c r="AD15"/>
      <c r="AE15"/>
      <c r="AF15"/>
      <c r="AJ15"/>
      <c r="AK15"/>
      <c r="AL15"/>
      <c r="AM15"/>
      <c r="AN15"/>
      <c r="AO15"/>
      <c r="AP15"/>
      <c r="AQ15"/>
      <c r="AR15" s="22"/>
      <c r="AS15" s="22"/>
      <c r="AT15" s="22"/>
      <c r="AU15"/>
      <c r="AV15"/>
      <c r="AW15"/>
      <c r="AX15"/>
      <c r="AY15"/>
      <c r="AZ15"/>
      <c r="BA15"/>
      <c r="BB15"/>
      <c r="BC15"/>
      <c r="BD15"/>
      <c r="BE15"/>
      <c r="BF15"/>
      <c r="BG15"/>
      <c r="BH15"/>
      <c r="BI15" s="36"/>
      <c r="BJ15"/>
    </row>
    <row r="16" spans="1:80" ht="15.75" thickBot="1">
      <c r="B16" s="33"/>
      <c r="C16" s="22"/>
      <c r="K16" s="152" t="s">
        <v>98</v>
      </c>
      <c r="L16" s="1177" t="e">
        <f>IF(AND(A10,BM14&gt;=BN14),ROUND(BP14/BO14,2),BL13)</f>
        <v>#REF!</v>
      </c>
      <c r="M16" s="1178"/>
      <c r="N16" s="20"/>
      <c r="T16" s="151"/>
      <c r="V16" s="152" t="s">
        <v>91</v>
      </c>
      <c r="W16" s="1177" t="e">
        <f>IF(AND(A10,BS14&gt;=BT14),ROUND(BV14/BU14,2),BR13)</f>
        <v>#REF!</v>
      </c>
      <c r="X16" s="1178"/>
      <c r="Y16"/>
      <c r="Z16"/>
      <c r="AA16"/>
      <c r="AB16"/>
      <c r="AC16"/>
      <c r="AD16"/>
      <c r="AE16"/>
      <c r="AF16"/>
      <c r="AJ16"/>
      <c r="AK16"/>
      <c r="AL16"/>
      <c r="AM16"/>
      <c r="AN16"/>
      <c r="AO16"/>
      <c r="AP16"/>
      <c r="AQ16"/>
      <c r="AS16" s="151"/>
      <c r="AT16" s="151"/>
      <c r="AU16"/>
      <c r="AV16"/>
      <c r="AW16"/>
      <c r="AX16"/>
      <c r="AY16"/>
      <c r="AZ16"/>
      <c r="BA16"/>
      <c r="BB16"/>
      <c r="BC16"/>
      <c r="BD16"/>
      <c r="BE16"/>
      <c r="BF16"/>
      <c r="BG16"/>
      <c r="BH16"/>
      <c r="BI16" s="36"/>
      <c r="BJ16"/>
    </row>
    <row r="17" spans="1:80" ht="15">
      <c r="B17" s="33"/>
      <c r="C17" s="22"/>
      <c r="D17" s="22"/>
      <c r="E17" s="22"/>
      <c r="F17" s="22"/>
      <c r="G17" s="22"/>
      <c r="H17" s="22"/>
      <c r="I17" s="22"/>
      <c r="J17" s="22"/>
      <c r="K17" s="22"/>
      <c r="L17" s="22"/>
      <c r="M17" s="22"/>
      <c r="N17" s="22"/>
      <c r="O17" s="25"/>
      <c r="P17" s="22"/>
      <c r="Q17" s="22"/>
      <c r="V17" s="22"/>
      <c r="W17" s="22"/>
      <c r="X17"/>
      <c r="Y17"/>
      <c r="Z17"/>
      <c r="AA17"/>
      <c r="AB17"/>
      <c r="AC17"/>
      <c r="AD17"/>
      <c r="AE17"/>
      <c r="AF17"/>
      <c r="AJ17"/>
      <c r="AK17"/>
      <c r="AL17"/>
      <c r="AM17"/>
      <c r="AN17"/>
      <c r="AO17"/>
      <c r="AP17"/>
      <c r="AQ17"/>
      <c r="AR17"/>
      <c r="AS17"/>
      <c r="AT17"/>
      <c r="AU17"/>
      <c r="AV17"/>
      <c r="AW17"/>
      <c r="AX17"/>
      <c r="AY17"/>
      <c r="AZ17"/>
      <c r="BA17"/>
      <c r="BB17"/>
      <c r="BC17"/>
      <c r="BD17"/>
      <c r="BE17"/>
      <c r="BF17"/>
      <c r="BG17"/>
      <c r="BH17"/>
      <c r="BI17" s="36"/>
      <c r="BJ17"/>
    </row>
    <row r="18" spans="1:80" ht="15.75">
      <c r="A18" s="758" t="e">
        <f>#REF!</f>
        <v>#REF!</v>
      </c>
      <c r="B18" s="33"/>
      <c r="C18" s="488" t="s">
        <v>140</v>
      </c>
      <c r="D18" s="488" t="str">
        <f>Questions!C37</f>
        <v>Implementation of the product and process development</v>
      </c>
      <c r="E18" s="489"/>
      <c r="F18" s="489"/>
      <c r="G18" s="489"/>
      <c r="H18" s="489"/>
      <c r="I18" s="489"/>
      <c r="J18" s="489"/>
      <c r="K18" s="489"/>
      <c r="L18" s="489"/>
      <c r="M18" s="489"/>
      <c r="N18" s="489"/>
      <c r="O18" s="490"/>
      <c r="P18" s="489"/>
      <c r="Q18" s="489"/>
      <c r="R18" s="492"/>
      <c r="S18" s="492"/>
      <c r="T18" s="492"/>
      <c r="U18" s="492"/>
      <c r="V18" s="489"/>
      <c r="W18" s="489"/>
      <c r="X18" s="493"/>
      <c r="Y18" s="493"/>
      <c r="Z18" s="493"/>
      <c r="AA18" s="493"/>
      <c r="AB18" s="493"/>
      <c r="AC18" s="493"/>
      <c r="AD18" s="493"/>
      <c r="AE18" s="493"/>
      <c r="AF18" s="493"/>
      <c r="AG18" s="492"/>
      <c r="AH18" s="492"/>
      <c r="AI18" s="492"/>
      <c r="AJ18" s="493"/>
      <c r="AK18" s="493"/>
      <c r="AL18" s="493"/>
      <c r="AM18" s="493"/>
      <c r="AN18" s="493"/>
      <c r="AO18" s="493"/>
      <c r="AP18" s="493"/>
      <c r="AQ18" s="493"/>
      <c r="AR18" s="493"/>
      <c r="AS18" s="493"/>
      <c r="AT18" s="493"/>
      <c r="AU18" s="493"/>
      <c r="AV18" s="493"/>
      <c r="AW18" s="493"/>
      <c r="AX18" s="493"/>
      <c r="AY18" s="493"/>
      <c r="AZ18" s="493"/>
      <c r="BA18" s="493"/>
      <c r="BB18" s="493"/>
      <c r="BC18" s="493"/>
      <c r="BD18" s="493"/>
      <c r="BE18" s="493"/>
      <c r="BF18" s="493"/>
      <c r="BG18" s="493"/>
      <c r="BH18" s="493"/>
      <c r="BI18" s="494"/>
      <c r="BJ18"/>
    </row>
    <row r="19" spans="1:80" ht="6.75" customHeight="1">
      <c r="B19" s="33"/>
      <c r="C19" s="25"/>
      <c r="D19" s="25"/>
      <c r="E19" s="22"/>
      <c r="F19" s="22"/>
      <c r="G19" s="22"/>
      <c r="H19" s="22"/>
      <c r="I19" s="22"/>
      <c r="J19" s="22"/>
      <c r="K19" s="22"/>
      <c r="L19" s="22"/>
      <c r="M19" s="22"/>
      <c r="N19" s="22"/>
      <c r="O19" s="25"/>
      <c r="P19" s="22"/>
      <c r="Q19" s="22"/>
      <c r="V19" s="22"/>
      <c r="W19" s="22"/>
      <c r="X19"/>
      <c r="Y19"/>
      <c r="Z19"/>
      <c r="AA19"/>
      <c r="AB19"/>
      <c r="AC19"/>
      <c r="AD19"/>
      <c r="AE19"/>
      <c r="AF19"/>
      <c r="AJ19"/>
      <c r="AK19"/>
      <c r="AL19"/>
      <c r="AM19"/>
      <c r="AN19"/>
      <c r="AO19"/>
      <c r="AP19"/>
      <c r="AQ19"/>
      <c r="AR19"/>
      <c r="AS19"/>
      <c r="AT19"/>
      <c r="AU19"/>
      <c r="AV19"/>
      <c r="AW19"/>
      <c r="AX19"/>
      <c r="AY19"/>
      <c r="AZ19"/>
      <c r="BA19"/>
      <c r="BB19"/>
      <c r="BC19"/>
      <c r="BD19"/>
      <c r="BE19"/>
      <c r="BF19"/>
      <c r="BG19"/>
      <c r="BH19"/>
      <c r="BI19" s="36"/>
      <c r="BJ19"/>
    </row>
    <row r="20" spans="1:80" ht="14.1" customHeight="1">
      <c r="B20" s="33"/>
      <c r="C20" s="25"/>
      <c r="D20" s="150" t="e">
        <f>#REF!</f>
        <v>#REF!</v>
      </c>
      <c r="E20" s="22"/>
      <c r="F20" s="22"/>
      <c r="G20" s="22"/>
      <c r="H20" s="22"/>
      <c r="I20" s="22"/>
      <c r="J20" s="22"/>
      <c r="L20" s="22"/>
      <c r="M20" s="22"/>
      <c r="N20" s="22"/>
      <c r="P20" s="155"/>
      <c r="Q20" s="150" t="e">
        <f>#REF!</f>
        <v>#REF!</v>
      </c>
      <c r="R20" s="22"/>
      <c r="T20"/>
      <c r="U20"/>
      <c r="V20"/>
      <c r="W20"/>
      <c r="X20"/>
      <c r="Y20"/>
      <c r="Z20"/>
      <c r="AA20"/>
      <c r="AB20"/>
      <c r="AC20" s="39"/>
      <c r="AL20"/>
      <c r="AM20"/>
      <c r="AN20"/>
      <c r="AO20"/>
      <c r="AP20"/>
      <c r="AQ20"/>
      <c r="AR20"/>
      <c r="AS20"/>
      <c r="AT20"/>
      <c r="AU20"/>
      <c r="AV20"/>
      <c r="AW20"/>
      <c r="AX20"/>
      <c r="AY20"/>
      <c r="AZ20"/>
      <c r="BA20"/>
      <c r="BB20"/>
      <c r="BC20"/>
      <c r="BD20"/>
      <c r="BE20"/>
      <c r="BF20"/>
      <c r="BG20"/>
      <c r="BH20"/>
      <c r="BI20" s="36"/>
      <c r="BJ20"/>
    </row>
    <row r="21" spans="1:80" ht="15" thickBot="1">
      <c r="A21" s="197" t="s">
        <v>387</v>
      </c>
      <c r="B21" s="33"/>
      <c r="C21" s="22"/>
      <c r="D21" s="465" t="s">
        <v>318</v>
      </c>
      <c r="E21" s="321" t="s">
        <v>194</v>
      </c>
      <c r="F21" s="321" t="s">
        <v>195</v>
      </c>
      <c r="G21" s="465" t="s">
        <v>319</v>
      </c>
      <c r="H21" s="321" t="s">
        <v>197</v>
      </c>
      <c r="I21" s="321" t="s">
        <v>198</v>
      </c>
      <c r="J21" s="321" t="s">
        <v>199</v>
      </c>
      <c r="K21" s="465" t="s">
        <v>644</v>
      </c>
      <c r="P21" s="39"/>
      <c r="Q21" s="465" t="s">
        <v>318</v>
      </c>
      <c r="R21" s="321" t="s">
        <v>194</v>
      </c>
      <c r="S21" s="321" t="s">
        <v>195</v>
      </c>
      <c r="T21" s="465" t="s">
        <v>319</v>
      </c>
      <c r="U21" s="321" t="s">
        <v>197</v>
      </c>
      <c r="V21" s="321" t="s">
        <v>198</v>
      </c>
      <c r="W21" s="321" t="s">
        <v>199</v>
      </c>
      <c r="X21" s="465" t="s">
        <v>644</v>
      </c>
      <c r="AC21" s="39"/>
      <c r="AD21" s="465" t="s">
        <v>318</v>
      </c>
      <c r="AE21" s="321" t="s">
        <v>194</v>
      </c>
      <c r="AF21" s="321" t="s">
        <v>195</v>
      </c>
      <c r="AG21" s="465" t="s">
        <v>319</v>
      </c>
      <c r="AH21" s="321" t="s">
        <v>197</v>
      </c>
      <c r="AI21" s="321" t="s">
        <v>198</v>
      </c>
      <c r="AJ21" s="321" t="s">
        <v>199</v>
      </c>
      <c r="AK21" s="465" t="s">
        <v>644</v>
      </c>
      <c r="AQ21"/>
      <c r="AR21"/>
      <c r="AS21"/>
      <c r="AT21"/>
      <c r="AU21"/>
      <c r="AV21"/>
      <c r="AW21"/>
      <c r="AX21"/>
      <c r="AY21"/>
      <c r="AZ21"/>
      <c r="BA21"/>
      <c r="BB21"/>
      <c r="BC21"/>
      <c r="BD21"/>
      <c r="BE21"/>
      <c r="BF21"/>
      <c r="BG21"/>
      <c r="BH21"/>
      <c r="BI21" s="36"/>
      <c r="BJ21"/>
      <c r="BL21" s="477" t="e">
        <f>#REF!</f>
        <v>#REF!</v>
      </c>
      <c r="BM21" s="477" t="e">
        <f>#REF!</f>
        <v>#REF!</v>
      </c>
      <c r="BN21" s="477" t="e">
        <f>#REF!</f>
        <v>#REF!</v>
      </c>
      <c r="BO21" s="477" t="e">
        <f>#REF!</f>
        <v>#REF!</v>
      </c>
      <c r="BP21" s="580" t="e">
        <f>#REF!</f>
        <v>#REF!</v>
      </c>
      <c r="BR21" s="477" t="e">
        <f>#REF!</f>
        <v>#REF!</v>
      </c>
      <c r="BS21" s="477" t="e">
        <f>#REF!</f>
        <v>#REF!</v>
      </c>
      <c r="BT21" s="477" t="e">
        <f>#REF!</f>
        <v>#REF!</v>
      </c>
      <c r="BU21" s="477" t="e">
        <f>#REF!</f>
        <v>#REF!</v>
      </c>
      <c r="BV21" s="580" t="e">
        <f>#REF!</f>
        <v>#REF!</v>
      </c>
      <c r="BX21" s="477" t="e">
        <f>#REF!</f>
        <v>#REF!</v>
      </c>
      <c r="BY21" s="477" t="e">
        <f>#REF!</f>
        <v>#REF!</v>
      </c>
      <c r="BZ21" s="477" t="e">
        <f>#REF!</f>
        <v>#REF!</v>
      </c>
      <c r="CA21" s="477" t="e">
        <f>#REF!</f>
        <v>#REF!</v>
      </c>
      <c r="CB21" s="477" t="e">
        <f>#REF!</f>
        <v>#REF!</v>
      </c>
    </row>
    <row r="22" spans="1:80" s="26" customFormat="1" ht="15" customHeight="1" thickBot="1">
      <c r="A22" s="198" t="e">
        <f>IF(COUNT(D22:K22)+COUNT(Q22:X22)=0,BL21,IF(MIN(D22:K22,Q22:X22)=0,"B","A"))</f>
        <v>#REF!</v>
      </c>
      <c r="B22" s="35"/>
      <c r="C22" s="150"/>
      <c r="D22" s="470" t="e">
        <f>IF($A$18=FALSE,$BL$21,IF(ISBLANK(Questions!$D40),"--",Questions!$D40))</f>
        <v>#REF!</v>
      </c>
      <c r="E22" s="189" t="e">
        <f>IF($A$18=FALSE,$BL$21,IF(ISBLANK(Questions!$D43),"--",Questions!$D43))</f>
        <v>#REF!</v>
      </c>
      <c r="F22" s="189" t="e">
        <f>IF($A$18=FALSE,$BL$21,IF(ISBLANK(Questions!$D46),"--",Questions!$D46))</f>
        <v>#REF!</v>
      </c>
      <c r="G22" s="470" t="e">
        <f>IF($A$18=FALSE,$BL$21,IF(ISBLANK(Questions!$D49),"--",Questions!$D49))</f>
        <v>#REF!</v>
      </c>
      <c r="H22" s="189" t="e">
        <f>IF($A$18=FALSE,$BL$21,IF(ISBLANK(Questions!$D52),"--",Questions!$D52))</f>
        <v>#REF!</v>
      </c>
      <c r="I22" s="908" t="e">
        <f>BL21</f>
        <v>#REF!</v>
      </c>
      <c r="J22" s="908" t="e">
        <f>BL21</f>
        <v>#REF!</v>
      </c>
      <c r="K22" s="189" t="e">
        <f>IF($A$18=FALSE,$BL$21,IF(ISBLANK(Questions!$D59),"--",Questions!$D59))</f>
        <v>#REF!</v>
      </c>
      <c r="P22" s="897"/>
      <c r="Q22" s="806" t="e">
        <f>IF($A$18=FALSE,$BR$21,IF(ISBLANK(Questions!$D41),"--",Questions!$D41))</f>
        <v>#REF!</v>
      </c>
      <c r="R22" s="189" t="e">
        <f>IF($A$18=FALSE,$BR$21,IF(ISBLANK(Questions!$D44),"--",Questions!$D44))</f>
        <v>#REF!</v>
      </c>
      <c r="S22" s="189" t="e">
        <f>IF($A$18=FALSE,$BR$21,IF(ISBLANK(Questions!$D47),"--",Questions!$D47))</f>
        <v>#REF!</v>
      </c>
      <c r="T22" s="470" t="e">
        <f>IF($A$18=FALSE,$BR$21,IF(ISBLANK(Questions!$D50),"--",Questions!$D50))</f>
        <v>#REF!</v>
      </c>
      <c r="U22" s="189" t="e">
        <f>IF($A$18=FALSE,$BR$21,IF(ISBLANK(Questions!$D53),"--",Questions!$D53))</f>
        <v>#REF!</v>
      </c>
      <c r="V22" s="189" t="e">
        <f>IF($A$18=FALSE,$BR$21,IF(ISBLANK(Questions!$D55),"--",Questions!$D55))</f>
        <v>#REF!</v>
      </c>
      <c r="W22" s="189" t="e">
        <f>IF($A$18=FALSE,$BR$21,IF(ISBLANK(Questions!$D57),"--",Questions!$D57))</f>
        <v>#REF!</v>
      </c>
      <c r="X22" s="470" t="e">
        <f>IF($A$18=FALSE,$BR$21,IF(ISBLANK(Questions!$D60),"--",Questions!$D60))</f>
        <v>#REF!</v>
      </c>
      <c r="AC22" s="897"/>
      <c r="AD22" s="807" t="e">
        <f t="shared" ref="AD22:AK22" si="0">IF(AND(D22=$BL$21,Q22=$BR$21),$BX$21,IF(AND(D22="--",Q22="--"),"--",IF(COUNT(D22,Q22)&gt;0,ROUND(AVERAGE(D22,Q22),2),"/")))</f>
        <v>#REF!</v>
      </c>
      <c r="AE22" s="748" t="e">
        <f t="shared" si="0"/>
        <v>#REF!</v>
      </c>
      <c r="AF22" s="748" t="e">
        <f t="shared" si="0"/>
        <v>#REF!</v>
      </c>
      <c r="AG22" s="749" t="e">
        <f t="shared" si="0"/>
        <v>#REF!</v>
      </c>
      <c r="AH22" s="748" t="e">
        <f t="shared" si="0"/>
        <v>#REF!</v>
      </c>
      <c r="AI22" s="748" t="e">
        <f t="shared" si="0"/>
        <v>#REF!</v>
      </c>
      <c r="AJ22" s="748" t="e">
        <f t="shared" si="0"/>
        <v>#REF!</v>
      </c>
      <c r="AK22" s="749" t="e">
        <f t="shared" si="0"/>
        <v>#REF!</v>
      </c>
      <c r="AQ22" s="1179" t="s">
        <v>496</v>
      </c>
      <c r="AR22" s="1180"/>
      <c r="AS22" s="1177" t="e">
        <f>IF(AND(O24=BL21,AB24=BR21),BL21,ROUND(CB22/CA22,2))</f>
        <v>#REF!</v>
      </c>
      <c r="AT22" s="1178"/>
      <c r="AU22"/>
      <c r="AV22" s="153"/>
      <c r="AW22" s="153"/>
      <c r="AX22" s="153"/>
      <c r="AY22" s="153"/>
      <c r="AZ22" s="153"/>
      <c r="BA22" s="153"/>
      <c r="BB22" s="153"/>
      <c r="BC22" s="153"/>
      <c r="BD22" s="153"/>
      <c r="BE22"/>
      <c r="BF22"/>
      <c r="BG22"/>
      <c r="BH22"/>
      <c r="BI22" s="36"/>
      <c r="BJ22"/>
      <c r="BL22" s="575">
        <f>COUNTIF(D22:K22,"&gt;-")</f>
        <v>0</v>
      </c>
      <c r="BM22" s="575">
        <f>COUNT(D22:K22)</f>
        <v>0</v>
      </c>
      <c r="BN22" s="575">
        <v>4</v>
      </c>
      <c r="BO22" s="575" t="e">
        <f>IF(AND($A18,BM22&gt;=BN22),BM22*10,"--")</f>
        <v>#REF!</v>
      </c>
      <c r="BP22" s="581" t="e">
        <f>IF(AND($A18,BM22&gt;=BN22),SUM(D22:K22),"--")</f>
        <v>#REF!</v>
      </c>
      <c r="BR22" s="575">
        <f>COUNTIF(Q22:X22,"&gt;-")</f>
        <v>0</v>
      </c>
      <c r="BS22" s="575">
        <f>COUNT(Q22:X22)</f>
        <v>0</v>
      </c>
      <c r="BT22" s="575">
        <v>6</v>
      </c>
      <c r="BU22" s="575" t="e">
        <f>IF(AND($A18,BS22&gt;=BT22),BS22*10,"--")</f>
        <v>#REF!</v>
      </c>
      <c r="BV22" s="581" t="e">
        <f>IF(AND($A18,BS22&gt;=BT22),SUM(Q22:X22),"--")</f>
        <v>#REF!</v>
      </c>
      <c r="BX22" s="575">
        <f>COUNTIF(AD22:AK22,"&gt;-")</f>
        <v>0</v>
      </c>
      <c r="BY22" s="575">
        <f>COUNT(AD22:AK22)</f>
        <v>0</v>
      </c>
      <c r="BZ22" s="575">
        <v>6</v>
      </c>
      <c r="CA22" s="575" t="e">
        <f>IF(AND($A18,BY22&gt;=BZ22),BY22*10,"--")</f>
        <v>#REF!</v>
      </c>
      <c r="CB22" s="575" t="e">
        <f>IF(AND($A18,BY22&gt;=BZ22),SUM(AD22:AK22),"--")</f>
        <v>#REF!</v>
      </c>
    </row>
    <row r="23" spans="1:80" s="499" customFormat="1" ht="15" customHeight="1" thickBot="1">
      <c r="A23" s="495"/>
      <c r="B23" s="496"/>
      <c r="C23" s="497"/>
      <c r="D23" s="750"/>
      <c r="E23" s="750"/>
      <c r="F23" s="750"/>
      <c r="G23" s="750"/>
      <c r="H23" s="750"/>
      <c r="I23" s="750"/>
      <c r="J23" s="750"/>
      <c r="K23" s="750"/>
      <c r="L23" s="498"/>
      <c r="M23" s="498"/>
      <c r="N23" s="498"/>
      <c r="O23" s="498"/>
      <c r="P23" s="898"/>
      <c r="Q23" s="500"/>
      <c r="R23" s="501"/>
      <c r="S23" s="501"/>
      <c r="V23" s="750"/>
      <c r="W23" s="750"/>
      <c r="X23" s="750"/>
      <c r="Y23" s="750"/>
      <c r="Z23" s="750"/>
      <c r="AA23" s="750"/>
      <c r="AB23" s="750"/>
      <c r="AC23" s="899"/>
      <c r="AD23" s="498"/>
      <c r="AE23" s="498"/>
      <c r="AF23" s="498"/>
      <c r="AG23" s="498"/>
      <c r="AK23" s="500"/>
      <c r="AL23" s="501"/>
      <c r="AM23" s="501"/>
      <c r="AQ23" s="502"/>
      <c r="AR23" s="502"/>
      <c r="AS23" s="501"/>
      <c r="AT23" s="501"/>
      <c r="AU23" s="503"/>
      <c r="AV23" s="504"/>
      <c r="AW23" s="504"/>
      <c r="AX23" s="504"/>
      <c r="AY23" s="504"/>
      <c r="AZ23" s="504"/>
      <c r="BA23" s="504"/>
      <c r="BB23" s="504"/>
      <c r="BC23" s="504"/>
      <c r="BD23" s="504"/>
      <c r="BE23" s="506"/>
      <c r="BF23" s="506"/>
      <c r="BG23" s="506"/>
      <c r="BH23" s="506"/>
      <c r="BI23" s="505"/>
      <c r="BJ23" s="506"/>
    </row>
    <row r="24" spans="1:80" s="499" customFormat="1" ht="15" customHeight="1" thickBot="1">
      <c r="A24" s="495"/>
      <c r="B24" s="496"/>
      <c r="C24" s="497"/>
      <c r="D24" s="750"/>
      <c r="E24" s="750"/>
      <c r="F24" s="750"/>
      <c r="G24" s="750"/>
      <c r="H24" s="750"/>
      <c r="I24" s="750"/>
      <c r="J24" s="750"/>
      <c r="K24" s="750"/>
      <c r="L24" s="498"/>
      <c r="M24" s="498"/>
      <c r="N24" s="152" t="s">
        <v>99</v>
      </c>
      <c r="O24" s="1177" t="e">
        <f>IF(AND(A18,BM22&gt;=BN22),ROUND(BP22/BO22,2),BL21)</f>
        <v>#REF!</v>
      </c>
      <c r="P24" s="1178"/>
      <c r="Q24" s="500"/>
      <c r="R24" s="501"/>
      <c r="S24" s="501"/>
      <c r="V24" s="750"/>
      <c r="W24" s="750"/>
      <c r="X24" s="750"/>
      <c r="Y24" s="750"/>
      <c r="Z24" s="750"/>
      <c r="AA24" s="152" t="s">
        <v>100</v>
      </c>
      <c r="AB24" s="1177" t="e">
        <f>IF(AND(A18,BS22&gt;=BT22),ROUND(BV22/BU22,2),BR21)</f>
        <v>#REF!</v>
      </c>
      <c r="AC24" s="1178"/>
      <c r="AD24" s="498"/>
      <c r="AE24" s="498"/>
      <c r="AF24" s="498"/>
      <c r="AG24" s="498"/>
      <c r="AK24" s="500"/>
      <c r="AL24" s="501"/>
      <c r="AM24" s="501"/>
      <c r="AQ24" s="502"/>
      <c r="AR24" s="502"/>
      <c r="AS24" s="501"/>
      <c r="AT24" s="501"/>
      <c r="AU24" s="503"/>
      <c r="AV24" s="504"/>
      <c r="AW24" s="504"/>
      <c r="AX24" s="504"/>
      <c r="AY24" s="504"/>
      <c r="AZ24" s="504"/>
      <c r="BA24" s="504"/>
      <c r="BB24" s="504"/>
      <c r="BC24" s="504"/>
      <c r="BD24" s="504"/>
      <c r="BE24" s="506"/>
      <c r="BF24" s="506"/>
      <c r="BG24" s="506"/>
      <c r="BH24" s="506"/>
      <c r="BI24" s="505"/>
      <c r="BJ24" s="506"/>
    </row>
    <row r="25" spans="1:80" s="499" customFormat="1" ht="15" customHeight="1">
      <c r="A25" s="495"/>
      <c r="B25" s="496"/>
      <c r="C25" s="497"/>
      <c r="D25" s="750"/>
      <c r="E25" s="750"/>
      <c r="F25" s="750"/>
      <c r="G25" s="750"/>
      <c r="H25" s="750"/>
      <c r="I25" s="750"/>
      <c r="J25" s="750"/>
      <c r="K25" s="498"/>
      <c r="L25" s="498"/>
      <c r="M25" s="498"/>
      <c r="N25" s="498"/>
      <c r="O25" s="498"/>
      <c r="Q25" s="500"/>
      <c r="R25" s="501"/>
      <c r="S25" s="501"/>
      <c r="V25" s="750"/>
      <c r="W25" s="750"/>
      <c r="X25" s="750"/>
      <c r="Y25" s="750"/>
      <c r="Z25" s="750"/>
      <c r="AA25" s="750"/>
      <c r="AB25" s="750"/>
      <c r="AC25" s="498"/>
      <c r="AD25" s="498"/>
      <c r="AE25" s="498"/>
      <c r="AF25" s="498"/>
      <c r="AG25" s="498"/>
      <c r="AJ25" s="500"/>
      <c r="AK25" s="501"/>
      <c r="AL25" s="501"/>
      <c r="AQ25" s="502"/>
      <c r="AR25" s="502"/>
      <c r="AS25" s="501"/>
      <c r="AT25" s="501"/>
      <c r="AU25" s="503"/>
      <c r="AV25" s="504"/>
      <c r="AW25" s="504"/>
      <c r="AX25" s="504"/>
      <c r="AY25" s="504"/>
      <c r="AZ25" s="504"/>
      <c r="BA25" s="504"/>
      <c r="BB25" s="504"/>
      <c r="BC25" s="504"/>
      <c r="BD25" s="504"/>
      <c r="BE25" s="506"/>
      <c r="BF25" s="506"/>
      <c r="BG25" s="506"/>
      <c r="BH25" s="506"/>
      <c r="BI25" s="505"/>
      <c r="BJ25" s="506"/>
    </row>
    <row r="26" spans="1:80" ht="9.9499999999999993" customHeight="1">
      <c r="A26" s="471"/>
      <c r="B26" s="472"/>
      <c r="C26" s="225"/>
      <c r="D26" s="473"/>
      <c r="E26" s="474"/>
      <c r="F26" s="474"/>
      <c r="G26" s="474"/>
      <c r="H26" s="474"/>
      <c r="I26" s="474"/>
      <c r="J26" s="474"/>
      <c r="K26" s="359"/>
      <c r="L26" s="473"/>
      <c r="M26" s="474"/>
      <c r="N26" s="474"/>
      <c r="O26" s="474"/>
      <c r="P26" s="474"/>
      <c r="Q26" s="474"/>
      <c r="R26" s="474"/>
      <c r="S26" s="359"/>
      <c r="T26" s="359"/>
      <c r="U26" s="473"/>
      <c r="V26" s="359"/>
      <c r="W26" s="359"/>
      <c r="X26" s="359"/>
      <c r="Y26" s="359"/>
      <c r="Z26" s="359"/>
      <c r="AA26" s="359"/>
      <c r="AB26" s="359"/>
      <c r="AC26" s="359"/>
      <c r="AD26" s="359"/>
      <c r="AE26" s="359"/>
      <c r="AF26" s="359"/>
      <c r="AG26" s="359"/>
      <c r="AH26" s="359"/>
      <c r="AI26" s="359"/>
      <c r="AJ26" s="359"/>
      <c r="AK26" s="359"/>
      <c r="AL26" s="359"/>
      <c r="AM26" s="359"/>
      <c r="AN26" s="359"/>
      <c r="AO26" s="359"/>
      <c r="AP26" s="359"/>
      <c r="AQ26" s="359"/>
      <c r="AR26" s="359"/>
      <c r="AS26" s="475"/>
      <c r="AT26" s="359"/>
      <c r="AU26" s="359"/>
      <c r="AV26" s="359"/>
      <c r="AW26" s="359"/>
      <c r="AX26" s="359"/>
      <c r="AY26" s="359"/>
      <c r="AZ26" s="359"/>
      <c r="BA26" s="359"/>
      <c r="BB26" s="359"/>
      <c r="BC26" s="359"/>
      <c r="BD26" s="359"/>
      <c r="BE26" s="359"/>
      <c r="BF26" s="359"/>
      <c r="BG26" s="359"/>
      <c r="BH26" s="359"/>
      <c r="BI26" s="476"/>
      <c r="BJ26"/>
    </row>
    <row r="27" spans="1:80" ht="18">
      <c r="A27" s="757" t="e">
        <f>#REF!</f>
        <v>#REF!</v>
      </c>
      <c r="B27" s="33"/>
      <c r="C27" s="180" t="s">
        <v>39</v>
      </c>
      <c r="D27" s="22"/>
      <c r="E27" s="147" t="e">
        <f>#REF!</f>
        <v>#REF!</v>
      </c>
      <c r="F27" s="22"/>
      <c r="G27" s="22"/>
      <c r="H27" s="22"/>
      <c r="I27" s="22"/>
      <c r="J27" s="22"/>
      <c r="K27" s="22"/>
      <c r="L27" s="22"/>
      <c r="M27" s="22"/>
      <c r="N27" s="22"/>
      <c r="O27" s="25"/>
      <c r="P27" s="22"/>
      <c r="Q27" s="22"/>
      <c r="R27" s="22"/>
      <c r="S27" s="22"/>
      <c r="T27" s="22"/>
      <c r="U27" s="22"/>
      <c r="V27"/>
      <c r="W27"/>
      <c r="X27"/>
      <c r="Y27"/>
      <c r="Z27"/>
      <c r="AA27"/>
      <c r="AB27"/>
      <c r="AF27"/>
      <c r="AG27"/>
      <c r="AH27"/>
      <c r="AI27"/>
      <c r="AJ27"/>
      <c r="AK27"/>
      <c r="AL27"/>
      <c r="AM27"/>
      <c r="AN27"/>
      <c r="AO27"/>
      <c r="AP27"/>
      <c r="AQ27"/>
      <c r="AR27"/>
      <c r="AS27"/>
      <c r="AT27"/>
      <c r="AU27"/>
      <c r="AV27"/>
      <c r="AW27"/>
      <c r="AX27"/>
      <c r="AY27"/>
      <c r="AZ27"/>
      <c r="BA27"/>
      <c r="BB27"/>
      <c r="BC27"/>
      <c r="BD27"/>
      <c r="BE27"/>
      <c r="BF27"/>
      <c r="BG27"/>
      <c r="BH27"/>
      <c r="BI27" s="36"/>
      <c r="BJ27"/>
    </row>
    <row r="28" spans="1:80" ht="15" thickBot="1">
      <c r="A28" s="197" t="s">
        <v>388</v>
      </c>
      <c r="B28" s="33"/>
      <c r="C28" s="22"/>
      <c r="D28" s="22"/>
      <c r="E28" s="22"/>
      <c r="F28" s="22"/>
      <c r="G28" s="22"/>
      <c r="H28" s="22"/>
      <c r="I28" s="22"/>
      <c r="J28" s="22"/>
      <c r="K28" s="22"/>
      <c r="L28" s="321" t="s">
        <v>95</v>
      </c>
      <c r="M28" s="321" t="s">
        <v>159</v>
      </c>
      <c r="N28" s="321" t="s">
        <v>160</v>
      </c>
      <c r="O28" s="465" t="s">
        <v>310</v>
      </c>
      <c r="P28" s="465" t="s">
        <v>358</v>
      </c>
      <c r="Q28" s="321" t="s">
        <v>165</v>
      </c>
      <c r="R28" s="321" t="s">
        <v>166</v>
      </c>
      <c r="X28" s="22"/>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2"/>
      <c r="BA28" s="22"/>
      <c r="BB28" s="22"/>
      <c r="BC28" s="22"/>
      <c r="BD28" s="22"/>
      <c r="BE28"/>
      <c r="BF28"/>
      <c r="BG28"/>
      <c r="BH28"/>
      <c r="BI28" s="34"/>
      <c r="BJ28" s="22"/>
      <c r="BL28" s="477" t="e">
        <f>$BL$7</f>
        <v>#REF!</v>
      </c>
      <c r="BM28" s="477" t="e">
        <f>$BM$7</f>
        <v>#REF!</v>
      </c>
      <c r="BN28" s="477" t="e">
        <f>$BN$7</f>
        <v>#REF!</v>
      </c>
      <c r="BO28" s="477" t="s">
        <v>444</v>
      </c>
      <c r="BP28" s="477" t="s">
        <v>305</v>
      </c>
    </row>
    <row r="29" spans="1:80" ht="16.5" thickBot="1">
      <c r="A29" s="198" t="e">
        <f>IF(COUNT(L29:R29)=0,BL28,IF(MIN(L29:R29)=0,"B","A"))</f>
        <v>#REF!</v>
      </c>
      <c r="B29" s="33"/>
      <c r="C29" s="53" t="s">
        <v>141</v>
      </c>
      <c r="D29" s="54" t="str">
        <f>Questions!C61</f>
        <v xml:space="preserve">Supplier Management </v>
      </c>
      <c r="E29" s="22"/>
      <c r="F29" s="22"/>
      <c r="G29" s="22"/>
      <c r="H29" s="22"/>
      <c r="I29" s="22"/>
      <c r="J29" s="22"/>
      <c r="K29" s="22"/>
      <c r="L29" s="189" t="e">
        <f>IF($A$27=FALSE,$BL$28,IF(ISBLANK(Questions!$D62),"--",Questions!$D62))</f>
        <v>#REF!</v>
      </c>
      <c r="M29" s="189" t="e">
        <f>IF($A$27=FALSE,$BL$28,IF(ISBLANK(Questions!$D63),"--",Questions!$D63))</f>
        <v>#REF!</v>
      </c>
      <c r="N29" s="189" t="e">
        <f>IF($A$27=FALSE,$BL$28,IF(ISBLANK(Questions!$D64),"--",Questions!$D64))</f>
        <v>#REF!</v>
      </c>
      <c r="O29" s="470" t="e">
        <f>IF($A$27=FALSE,$BL$28,IF(ISBLANK(Questions!$D65),"--",Questions!$D65))</f>
        <v>#REF!</v>
      </c>
      <c r="P29" s="470" t="e">
        <f>IF($A$27=FALSE,$BL$28,IF(ISBLANK(Questions!$D66),"--",Questions!$D66))</f>
        <v>#REF!</v>
      </c>
      <c r="Q29" s="189" t="e">
        <f>IF($A$27=FALSE,$BL$28,IF(ISBLANK(Questions!$D67),"--",Questions!$D67))</f>
        <v>#REF!</v>
      </c>
      <c r="R29" s="189" t="e">
        <f>IF($A$27=FALSE,$BL$28,IF(ISBLANK(Questions!$D68),"--",Questions!$D68))</f>
        <v>#REF!</v>
      </c>
      <c r="X29" s="22"/>
      <c r="Y29" s="22"/>
      <c r="Z29" s="22"/>
      <c r="AA29" s="22"/>
      <c r="AB29" s="22"/>
      <c r="AC29" s="22"/>
      <c r="AD29" s="22"/>
      <c r="AE29" s="22"/>
      <c r="AF29" s="22"/>
      <c r="AG29" s="22"/>
      <c r="AH29" s="22"/>
      <c r="AI29" s="22"/>
      <c r="AJ29" s="22"/>
      <c r="AK29" s="22"/>
      <c r="AL29" s="22"/>
      <c r="AM29" s="22"/>
      <c r="AN29" s="22"/>
      <c r="AO29" s="22"/>
      <c r="AP29" s="22"/>
      <c r="AQ29" s="1179" t="s">
        <v>497</v>
      </c>
      <c r="AR29" s="1180"/>
      <c r="AS29" s="1195" t="e">
        <f>IF(AND(A27,BM29&gt;=BN29),ROUND(BP29/BO29,2),BL28)</f>
        <v>#REF!</v>
      </c>
      <c r="AT29" s="1196"/>
      <c r="AU29"/>
      <c r="AV29" s="153"/>
      <c r="AW29" s="153"/>
      <c r="AX29" s="153"/>
      <c r="AY29" s="153"/>
      <c r="AZ29" s="153"/>
      <c r="BA29" s="153"/>
      <c r="BB29" s="153"/>
      <c r="BC29" s="153"/>
      <c r="BD29" s="153"/>
      <c r="BE29"/>
      <c r="BF29"/>
      <c r="BG29"/>
      <c r="BH29"/>
      <c r="BI29" s="34"/>
      <c r="BJ29" s="22"/>
      <c r="BL29" s="575">
        <f>COUNTIF(L29:R29,"&gt;-")</f>
        <v>0</v>
      </c>
      <c r="BM29" s="575">
        <f>COUNT(L29:R29)</f>
        <v>0</v>
      </c>
      <c r="BN29" s="575">
        <v>5</v>
      </c>
      <c r="BO29" s="575" t="e">
        <f>IF(AND($A27,BM29&gt;=BN29),BM29*10,"--")</f>
        <v>#REF!</v>
      </c>
      <c r="BP29" s="575" t="e">
        <f>IF(AND($A27,BM29&gt;=BN29),SUM(L29:R29),"--")</f>
        <v>#REF!</v>
      </c>
    </row>
    <row r="30" spans="1:80" ht="15">
      <c r="B30" s="33"/>
      <c r="C30" s="22"/>
      <c r="D30" s="22"/>
      <c r="E30" s="22"/>
      <c r="F30" s="22"/>
      <c r="G30" s="22"/>
      <c r="H30" s="22"/>
      <c r="I30" s="22"/>
      <c r="J30" s="22"/>
      <c r="K30" s="22"/>
      <c r="L30" s="22"/>
      <c r="M30" s="22"/>
      <c r="N30" s="22"/>
      <c r="O30" s="22"/>
      <c r="P30" s="22"/>
      <c r="Q30" s="22"/>
      <c r="R30" s="22"/>
      <c r="S30" s="22"/>
      <c r="T30" s="22"/>
      <c r="U30" s="22"/>
      <c r="V30" s="22"/>
      <c r="W30" s="22"/>
      <c r="X30" s="22"/>
      <c r="Y30" s="22"/>
      <c r="Z30" s="22"/>
      <c r="AA30" s="22"/>
      <c r="AB30" s="22"/>
      <c r="AC30" s="22"/>
      <c r="AD30" s="22"/>
      <c r="AE30" s="22"/>
      <c r="AF30" s="22"/>
      <c r="AG30" s="22"/>
      <c r="AH30" s="22"/>
      <c r="AI30" s="25"/>
      <c r="AJ30" s="25"/>
      <c r="AK30" s="25"/>
      <c r="AL30" s="25"/>
      <c r="AM30" s="22"/>
      <c r="AN30" s="22"/>
      <c r="AO30" s="22"/>
      <c r="AP30" s="22"/>
      <c r="AQ30" s="183"/>
      <c r="AR30" s="183"/>
      <c r="AS30" s="208"/>
      <c r="AT30" s="183"/>
      <c r="AU30" s="183"/>
      <c r="AV30" s="183"/>
      <c r="AW30" s="183"/>
      <c r="AX30" s="183"/>
      <c r="AY30" s="183"/>
      <c r="AZ30" s="183"/>
      <c r="BA30" s="183"/>
      <c r="BB30" s="183"/>
      <c r="BC30" s="183"/>
      <c r="BD30" s="183"/>
      <c r="BE30"/>
      <c r="BF30"/>
      <c r="BG30"/>
      <c r="BH30"/>
      <c r="BI30" s="37"/>
      <c r="BJ30" s="183"/>
    </row>
    <row r="31" spans="1:80" ht="15.75">
      <c r="A31" s="757" t="e">
        <f>#REF!</f>
        <v>#REF!</v>
      </c>
      <c r="B31" s="33"/>
      <c r="C31" s="53" t="s">
        <v>142</v>
      </c>
      <c r="D31" s="54" t="str">
        <f>Questions!C69</f>
        <v xml:space="preserve">Process analysis /
production </v>
      </c>
      <c r="E31" s="25"/>
      <c r="F31" s="25"/>
      <c r="G31" s="25"/>
      <c r="H31" s="25"/>
      <c r="I31" s="25"/>
      <c r="J31" s="25"/>
      <c r="K31" s="25"/>
      <c r="L31" s="25"/>
      <c r="M31" s="25"/>
      <c r="N31" s="25"/>
      <c r="O31" s="25"/>
      <c r="P31" s="25"/>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141"/>
      <c r="AR31"/>
      <c r="AS31" s="25"/>
      <c r="AT31" s="25"/>
      <c r="AU31" s="25"/>
      <c r="AV31" s="25"/>
      <c r="AW31" s="25"/>
      <c r="AX31" s="25"/>
      <c r="AY31" s="25"/>
      <c r="AZ31" s="25"/>
      <c r="BA31" s="25"/>
      <c r="BB31" s="25"/>
      <c r="BC31" s="25"/>
      <c r="BD31" s="25"/>
      <c r="BE31"/>
      <c r="BF31"/>
      <c r="BG31"/>
      <c r="BH31"/>
      <c r="BI31" s="155"/>
      <c r="BJ31" s="25"/>
    </row>
    <row r="32" spans="1:80" ht="15">
      <c r="B32" s="33"/>
      <c r="C32" s="22"/>
      <c r="D32" s="22"/>
      <c r="E32" s="22"/>
      <c r="F32" s="22"/>
      <c r="G32" s="22"/>
      <c r="H32" s="22"/>
      <c r="I32" s="22"/>
      <c r="J32" s="22"/>
      <c r="K32" s="22"/>
      <c r="L32" s="22"/>
      <c r="M32" s="22"/>
      <c r="N32" s="22"/>
      <c r="O32" s="25"/>
      <c r="P32" s="22"/>
      <c r="Q32" s="22"/>
      <c r="R32" s="22"/>
      <c r="S32" s="22"/>
      <c r="T32" s="22"/>
      <c r="U32" s="22"/>
      <c r="V32" s="22"/>
      <c r="W32" s="22"/>
      <c r="X32" s="22"/>
      <c r="Y32" s="22"/>
      <c r="Z32" s="22"/>
      <c r="AA32" s="22"/>
      <c r="AB32" s="22"/>
      <c r="AC32" s="22"/>
      <c r="AD32" s="22"/>
      <c r="AE32" s="22"/>
      <c r="AF32" s="22"/>
      <c r="AG32" s="22"/>
      <c r="AH32" s="22"/>
      <c r="AI32" s="22"/>
      <c r="AJ32" s="22"/>
      <c r="AK32" s="22"/>
      <c r="AL32" s="22"/>
      <c r="AM32" s="22"/>
      <c r="AN32" s="22"/>
      <c r="AO32" s="22"/>
      <c r="AP32" s="22"/>
      <c r="AQ32" s="22"/>
      <c r="AR32" s="22"/>
      <c r="AS32" s="22"/>
      <c r="AT32" s="22"/>
      <c r="AU32" s="22"/>
      <c r="AV32" s="22"/>
      <c r="AW32" s="22"/>
      <c r="AX32" s="22"/>
      <c r="AY32" s="22"/>
      <c r="AZ32" s="22"/>
      <c r="BA32" s="22"/>
      <c r="BB32" s="22"/>
      <c r="BC32" s="22"/>
      <c r="BD32" s="22"/>
      <c r="BE32"/>
      <c r="BF32"/>
      <c r="BG32"/>
      <c r="BH32"/>
      <c r="BI32" s="34"/>
      <c r="BJ32" s="22"/>
    </row>
    <row r="33" spans="1:68" ht="30" customHeight="1">
      <c r="B33" s="33"/>
      <c r="C33"/>
      <c r="D33" s="28" t="e">
        <f>#REF!</f>
        <v>#REF!</v>
      </c>
      <c r="E33" s="29"/>
      <c r="F33" s="29"/>
      <c r="G33" s="29"/>
      <c r="H33" s="29"/>
      <c r="I33"/>
      <c r="J33" s="1199" t="e">
        <f>#REF!</f>
        <v>#REF!</v>
      </c>
      <c r="K33" s="1199" t="e">
        <f>#REF!</f>
        <v>#REF!</v>
      </c>
      <c r="L33" s="1199" t="e">
        <f>#REF!</f>
        <v>#REF!</v>
      </c>
      <c r="M33" s="1199" t="e">
        <f>#REF!</f>
        <v>#REF!</v>
      </c>
      <c r="N33" s="1199" t="e">
        <f>#REF!</f>
        <v>#REF!</v>
      </c>
      <c r="O33" s="1199" t="e">
        <f>#REF!</f>
        <v>#REF!</v>
      </c>
      <c r="P33" s="1199" t="e">
        <f>#REF!</f>
        <v>#REF!</v>
      </c>
      <c r="Q33" s="1199" t="e">
        <f>#REF!</f>
        <v>#REF!</v>
      </c>
      <c r="R33" s="1199" t="e">
        <f>#REF!</f>
        <v>#REF!</v>
      </c>
      <c r="S33" s="29"/>
      <c r="T33" s="1200" t="e">
        <f>#REF!</f>
        <v>#REF!</v>
      </c>
      <c r="U33" s="1200" t="e">
        <f>#REF!</f>
        <v>#REF!</v>
      </c>
      <c r="V33" s="1200" t="e">
        <f>#REF!</f>
        <v>#REF!</v>
      </c>
      <c r="W33" s="1200" t="e">
        <f>#REF!</f>
        <v>#REF!</v>
      </c>
      <c r="X33" s="1200" t="e">
        <f>#REF!</f>
        <v>#REF!</v>
      </c>
      <c r="Z33" s="1200" t="e">
        <f>#REF!</f>
        <v>#REF!</v>
      </c>
      <c r="AA33" s="1200" t="e">
        <f>#REF!</f>
        <v>#REF!</v>
      </c>
      <c r="AB33" s="1200" t="e">
        <f>#REF!</f>
        <v>#REF!</v>
      </c>
      <c r="AC33" s="1200" t="e">
        <f>#REF!</f>
        <v>#REF!</v>
      </c>
      <c r="AD33" s="29"/>
      <c r="AE33" s="1200" t="e">
        <f>#REF!</f>
        <v>#REF!</v>
      </c>
      <c r="AF33" s="1200" t="e">
        <f>#REF!</f>
        <v>#REF!</v>
      </c>
      <c r="AG33" s="1200" t="e">
        <f>#REF!</f>
        <v>#REF!</v>
      </c>
      <c r="AH33" s="1200" t="e">
        <f>#REF!</f>
        <v>#REF!</v>
      </c>
      <c r="AI33" s="29"/>
      <c r="AJ33" s="29"/>
      <c r="AK33" s="29"/>
      <c r="AL33" s="29"/>
      <c r="AM33"/>
      <c r="AN33"/>
      <c r="AO33"/>
      <c r="AP33"/>
      <c r="AQ33" s="1201" t="e">
        <f>#REF!</f>
        <v>#REF!</v>
      </c>
      <c r="AR33" s="1201" t="e">
        <f>#REF!</f>
        <v>#REF!</v>
      </c>
      <c r="AS33" s="1201" t="e">
        <f>#REF!</f>
        <v>#REF!</v>
      </c>
      <c r="AT33" s="1201" t="e">
        <f>#REF!</f>
        <v>#REF!</v>
      </c>
      <c r="AU33" s="29"/>
      <c r="AX33" s="156" t="e">
        <f>#REF!</f>
        <v>#REF!</v>
      </c>
      <c r="AY33" s="29"/>
      <c r="AZ33" s="29"/>
      <c r="BA33" s="29"/>
      <c r="BB33" s="29"/>
      <c r="BC33" s="29"/>
      <c r="BD33" s="29"/>
      <c r="BE33" s="29"/>
      <c r="BF33"/>
      <c r="BG33"/>
      <c r="BH33"/>
      <c r="BI33" s="157"/>
      <c r="BJ33" s="29"/>
    </row>
    <row r="34" spans="1:68">
      <c r="B34" s="33"/>
      <c r="C34" s="20"/>
      <c r="D34" s="281" t="s">
        <v>167</v>
      </c>
      <c r="E34" s="282" t="s">
        <v>76</v>
      </c>
      <c r="F34" s="281" t="s">
        <v>62</v>
      </c>
      <c r="G34" s="281" t="s">
        <v>63</v>
      </c>
      <c r="H34" s="466" t="s">
        <v>331</v>
      </c>
      <c r="I34" s="283"/>
      <c r="J34" s="281" t="s">
        <v>169</v>
      </c>
      <c r="K34" s="282" t="s">
        <v>0</v>
      </c>
      <c r="L34" s="466" t="s">
        <v>89</v>
      </c>
      <c r="M34" s="466" t="s">
        <v>90</v>
      </c>
      <c r="N34" s="281" t="s">
        <v>65</v>
      </c>
      <c r="O34"/>
      <c r="P34" s="466" t="s">
        <v>501</v>
      </c>
      <c r="Q34" s="281" t="s">
        <v>4</v>
      </c>
      <c r="R34" s="281" t="s">
        <v>67</v>
      </c>
      <c r="S34" s="282"/>
      <c r="T34" s="466" t="s">
        <v>342</v>
      </c>
      <c r="U34" s="281" t="s">
        <v>171</v>
      </c>
      <c r="V34" s="466" t="s">
        <v>344</v>
      </c>
      <c r="W34" s="281" t="s">
        <v>70</v>
      </c>
      <c r="X34" s="281" t="s">
        <v>345</v>
      </c>
      <c r="Z34" s="281" t="s">
        <v>71</v>
      </c>
      <c r="AA34" s="281" t="s">
        <v>72</v>
      </c>
      <c r="AB34" s="466" t="s">
        <v>646</v>
      </c>
      <c r="AC34" s="281" t="s">
        <v>176</v>
      </c>
      <c r="AD34" s="283"/>
      <c r="AE34" s="281" t="s">
        <v>179</v>
      </c>
      <c r="AF34" s="281" t="s">
        <v>73</v>
      </c>
      <c r="AG34" s="281" t="s">
        <v>74</v>
      </c>
      <c r="AH34" s="466" t="s">
        <v>348</v>
      </c>
      <c r="AI34" s="284"/>
      <c r="AJ34" s="284"/>
      <c r="AK34" s="284"/>
      <c r="AL34" s="284"/>
      <c r="AM34" s="284"/>
      <c r="AN34" s="284"/>
      <c r="AO34" s="284"/>
      <c r="AP34" s="284"/>
      <c r="AQ34" s="284"/>
      <c r="AR34" s="283"/>
      <c r="AS34" s="285"/>
      <c r="AT34" s="282"/>
      <c r="AU34" s="282"/>
      <c r="AX34" s="281" t="s">
        <v>76</v>
      </c>
      <c r="AY34" s="282" t="s">
        <v>62</v>
      </c>
      <c r="AZ34" s="282" t="s">
        <v>63</v>
      </c>
      <c r="BA34" s="282" t="s">
        <v>2</v>
      </c>
      <c r="BB34" s="282" t="s">
        <v>65</v>
      </c>
      <c r="BC34" s="282" t="s">
        <v>179</v>
      </c>
      <c r="BD34" s="282" t="s">
        <v>73</v>
      </c>
      <c r="BE34" s="282" t="s">
        <v>74</v>
      </c>
      <c r="BF34"/>
      <c r="BG34"/>
      <c r="BH34"/>
      <c r="BI34" s="38"/>
      <c r="BJ34" s="21"/>
    </row>
    <row r="35" spans="1:68" ht="15.75" hidden="1" thickBot="1">
      <c r="B35" s="33"/>
      <c r="C35" s="28"/>
      <c r="D35" s="154" t="s">
        <v>92</v>
      </c>
      <c r="E35" s="154"/>
      <c r="F35" s="21"/>
      <c r="G35" s="21"/>
      <c r="H35" s="467"/>
      <c r="I35" s="154" t="str">
        <f>PrSchr1</f>
        <v>Incoming</v>
      </c>
      <c r="K35" s="21"/>
      <c r="L35" s="468"/>
      <c r="M35" s="468"/>
      <c r="N35" s="21"/>
      <c r="O35"/>
      <c r="P35" s="468"/>
      <c r="Q35" s="21"/>
      <c r="R35" s="21"/>
      <c r="S35" s="21"/>
      <c r="T35" s="468"/>
      <c r="U35" s="21"/>
      <c r="V35" s="468"/>
      <c r="W35" s="21"/>
      <c r="X35" s="21"/>
      <c r="Z35" s="21"/>
      <c r="AA35" s="21"/>
      <c r="AB35" s="468"/>
      <c r="AC35" s="21"/>
      <c r="AD35" s="21"/>
      <c r="AE35" s="21"/>
      <c r="AF35" s="21"/>
      <c r="AG35" s="21"/>
      <c r="AH35" s="468"/>
      <c r="AN35" s="477"/>
      <c r="AO35" s="477"/>
      <c r="AP35" s="477"/>
      <c r="AQ35" s="21"/>
      <c r="AR35" s="28" t="s">
        <v>101</v>
      </c>
      <c r="AS35" s="146"/>
      <c r="AT35" s="140"/>
      <c r="AU35" s="140"/>
      <c r="AX35" s="140"/>
      <c r="AY35" s="140"/>
      <c r="AZ35" s="160"/>
      <c r="BA35" s="160"/>
      <c r="BB35" s="160"/>
      <c r="BC35" s="160"/>
      <c r="BD35" s="160"/>
      <c r="BE35" s="160"/>
      <c r="BF35"/>
      <c r="BG35"/>
      <c r="BH35"/>
      <c r="BI35" s="36"/>
      <c r="BJ35"/>
      <c r="BL35" s="477" t="e">
        <f>$BL$7</f>
        <v>#REF!</v>
      </c>
      <c r="BM35" s="477" t="e">
        <f>$BM$7</f>
        <v>#REF!</v>
      </c>
      <c r="BN35" s="477" t="e">
        <f>$BN$7</f>
        <v>#REF!</v>
      </c>
      <c r="BO35" s="477" t="e">
        <f>BO7</f>
        <v>#REF!</v>
      </c>
      <c r="BP35" s="477" t="e">
        <f>BP7</f>
        <v>#REF!</v>
      </c>
    </row>
    <row r="36" spans="1:68" ht="15.75" hidden="1" thickBot="1">
      <c r="A36" s="198" t="str">
        <f>IF(COUNT(D36:AH36)=0,"n.b.",IF(MIN(D36:H36,J36:O36,P36:R36,T36:X36,Z36:AC36,AE36:AH36)=0,"B","A"))</f>
        <v>n.b.</v>
      </c>
      <c r="B36" s="33"/>
      <c r="C36" s="30" t="e">
        <f>IF(AND(#REF!="X",'Input Form'!F53="x"),"X","&lt;&gt;")</f>
        <v>#REF!</v>
      </c>
      <c r="D36" s="189" t="e">
        <f>IF($A$31=FALSE,$BL$35,IF($C36="X",IF(ISBLANK(Questions!$D72),"--",Questions!$D72),"xx"))</f>
        <v>#REF!</v>
      </c>
      <c r="E36" s="189" t="e">
        <f>IF($A$31=FALSE,$BL$35,IF($C36="X",IF(ISBLANK(Questions!$D83),"--",Questions!$D83),"xx"))</f>
        <v>#REF!</v>
      </c>
      <c r="F36" s="189" t="e">
        <f>IF($A$31=FALSE,$BL$35,IF($C36="X",IF(ISBLANK(Questions!$D94),"--",Questions!$D94),"xx"))</f>
        <v>#REF!</v>
      </c>
      <c r="G36" s="189" t="e">
        <f>IF($A$31=FALSE,$BL$35,IF($C36="X",IF(ISBLANK(Questions!$D105),"--",Questions!$D105),"xx"))</f>
        <v>#REF!</v>
      </c>
      <c r="H36" s="470" t="e">
        <f>IF($A$31=FALSE,$BL$35,IF($C36="X",IF(ISBLANK(Questions!$D116),"--",Questions!$D116),"xx"))</f>
        <v>#REF!</v>
      </c>
      <c r="I36" s="183"/>
      <c r="J36" s="189" t="e">
        <f>IF($A$31=FALSE,$BL$35,IF($C36="X",IF(ISBLANK(Questions!$D128),"--",Questions!$D128),"xx"))</f>
        <v>#REF!</v>
      </c>
      <c r="K36" s="189" t="e">
        <f>IF($A$31=FALSE,$BL$35,IF($C36="X",IF(ISBLANK(Questions!$D139),"--",Questions!$D139),"xx"))</f>
        <v>#REF!</v>
      </c>
      <c r="L36" s="470" t="e">
        <f>IF($A$31=FALSE,$BL$35,IF($C36="X",IF(ISBLANK(Questions!$D150),"--",Questions!$D150),"xx"))</f>
        <v>#REF!</v>
      </c>
      <c r="M36" s="470" t="e">
        <f>IF($A$31=FALSE,$BL$35,IF($C36="X",IF(ISBLANK(Questions!$D161),"--",Questions!$D161),"xx"))</f>
        <v>#REF!</v>
      </c>
      <c r="N36" s="189" t="e">
        <f>IF($A$31=FALSE,$BL$35,IF($C36="X",IF(ISBLANK(Questions!$D172),"--",Questions!$D172),"xx"))</f>
        <v>#REF!</v>
      </c>
      <c r="O36"/>
      <c r="P36" s="470" t="e">
        <f>IF($A$31=FALSE,$BL$35,IF($C36="X",IF(ISBLANK(Questions!$D182),"--",Questions!$D182),"xx"))</f>
        <v>#REF!</v>
      </c>
      <c r="Q36" s="189" t="e">
        <f>IF($A$31=FALSE,$BL$35,IF($C36="X",IF(ISBLANK(Questions!$D193),"--",Questions!$D193),"xx"))</f>
        <v>#REF!</v>
      </c>
      <c r="R36" s="189" t="e">
        <f>IF($A$31=FALSE,$BL$35,IF($C36="X",IF(ISBLANK(Questions!$D204),"--",Questions!$D204),"xx"))</f>
        <v>#REF!</v>
      </c>
      <c r="S36" s="183"/>
      <c r="T36" s="470" t="e">
        <f>IF($A$31=FALSE,$BL$35,IF($C36="X",IF(ISBLANK(Questions!$D216),"--",Questions!$D216),"xx"))</f>
        <v>#REF!</v>
      </c>
      <c r="U36" s="189" t="e">
        <f>IF($A$31=FALSE,$BL$35,IF($C36="X",IF(ISBLANK(Questions!$D227),"--",Questions!$D227),"xx"))</f>
        <v>#REF!</v>
      </c>
      <c r="V36" s="470" t="e">
        <f>IF($A$31=FALSE,$BL$35,IF($C36="X",IF(ISBLANK(Questions!$D238),"--",Questions!$D238),"xx"))</f>
        <v>#REF!</v>
      </c>
      <c r="W36" s="189" t="e">
        <f>IF($A$31=FALSE,$BL$35,IF($C36="X",IF(ISBLANK(Questions!$D249),"--",Questions!$D249),"xx"))</f>
        <v>#REF!</v>
      </c>
      <c r="X36" s="189" t="e">
        <f>IF($A$31=FALSE,$BL$35,IF($C36="X",IF(ISBLANK(Questions!$D260),"--",Questions!$D260),"xx"))</f>
        <v>#REF!</v>
      </c>
      <c r="Z36" s="189" t="e">
        <f>IF($A$31=FALSE,$BL$35,IF($C36="X",IF(ISBLANK(Questions!$D272),"--",Questions!$D272),"xx"))</f>
        <v>#REF!</v>
      </c>
      <c r="AA36" s="189" t="e">
        <f>IF($A$31=FALSE,$BL$35,IF($C36="X",IF(ISBLANK(Questions!$D283),"--",Questions!$D283),"xx"))</f>
        <v>#REF!</v>
      </c>
      <c r="AB36" s="470" t="e">
        <f>IF($A$31=FALSE,$BL$35,IF($C36="X",IF(ISBLANK(Questions!$D294),"--",Questions!$D294),"xx"))</f>
        <v>#REF!</v>
      </c>
      <c r="AC36" s="189" t="e">
        <f>IF($A$31=FALSE,$BL$35,IF($C36="X",IF(ISBLANK(Questions!$D305),"--",Questions!$D305),"xx"))</f>
        <v>#REF!</v>
      </c>
      <c r="AD36" s="183"/>
      <c r="AE36" s="189" t="e">
        <f>IF($A$31=FALSE,$BL$35,IF($C36="X",IF(ISBLANK(Questions!$D317),"--",Questions!$D317),"xx"))</f>
        <v>#REF!</v>
      </c>
      <c r="AF36" s="189" t="e">
        <f>IF($A$31=FALSE,$BL$35,IF($C36="X",IF(ISBLANK(Questions!$D328),"--",Questions!$D328),"xx"))</f>
        <v>#REF!</v>
      </c>
      <c r="AG36" s="189" t="e">
        <f>IF($A$31=FALSE,$BL$35,IF($C36="X",IF(ISBLANK(Questions!$D339),"--",Questions!$D339),"xx"))</f>
        <v>#REF!</v>
      </c>
      <c r="AH36" s="470" t="e">
        <f>IF($A$31=FALSE,$BL$35,IF($C36="X",IF(ISBLANK(Questions!$D350),"--",Questions!$D350),"xx"))</f>
        <v>#REF!</v>
      </c>
      <c r="AN36" s="477"/>
      <c r="AO36" s="477"/>
      <c r="AP36" s="477"/>
      <c r="AQ36" s="27"/>
      <c r="AR36" s="30"/>
      <c r="AS36" s="1197" t="e">
        <f>IF($A$31=FALSE,$BL$35,IF(C36="&lt;&gt;","xx",IF(BM36&lt;BN36,$BL$35,ROUND(BP36/BO36,2))))</f>
        <v>#REF!</v>
      </c>
      <c r="AT36" s="1198"/>
      <c r="AU36"/>
      <c r="AX36" s="602" t="e">
        <f>E36</f>
        <v>#REF!</v>
      </c>
      <c r="AY36" s="602" t="e">
        <f>F36</f>
        <v>#REF!</v>
      </c>
      <c r="AZ36" s="602" t="e">
        <f>G36</f>
        <v>#REF!</v>
      </c>
      <c r="BA36" s="602" t="e">
        <f>M36</f>
        <v>#REF!</v>
      </c>
      <c r="BB36" s="602" t="e">
        <f>N36</f>
        <v>#REF!</v>
      </c>
      <c r="BC36" s="602" t="e">
        <f>AE36</f>
        <v>#REF!</v>
      </c>
      <c r="BD36" s="602" t="e">
        <f>AF36</f>
        <v>#REF!</v>
      </c>
      <c r="BE36" s="602" t="e">
        <f>AG36</f>
        <v>#REF!</v>
      </c>
      <c r="BF36"/>
      <c r="BG36"/>
      <c r="BH36"/>
      <c r="BI36" s="36"/>
      <c r="BJ36"/>
      <c r="BL36" s="575">
        <f>COUNTIF(D36:AH36,"&gt;-")</f>
        <v>0</v>
      </c>
      <c r="BM36" s="575">
        <f>COUNT(D36:AH36)</f>
        <v>0</v>
      </c>
      <c r="BN36" s="575">
        <v>17</v>
      </c>
      <c r="BO36" s="575" t="e">
        <f>IF(AND($A$31,BM36&gt;=BN36),BM36*10,"--")</f>
        <v>#REF!</v>
      </c>
      <c r="BP36" s="575" t="e">
        <f>IF(AND($A$31,BM36&gt;=BN36),SUM(D36:AH36),"--")</f>
        <v>#REF!</v>
      </c>
    </row>
    <row r="37" spans="1:68" ht="15.75" hidden="1" thickBot="1">
      <c r="B37" s="33"/>
      <c r="C37" s="28"/>
      <c r="D37" s="154" t="s">
        <v>93</v>
      </c>
      <c r="E37" s="154"/>
      <c r="F37" s="22"/>
      <c r="G37" s="22"/>
      <c r="H37" s="467"/>
      <c r="I37" s="154" t="str">
        <f>PrSchr2</f>
        <v>Manufacturing</v>
      </c>
      <c r="K37" s="22"/>
      <c r="L37" s="469"/>
      <c r="M37" s="469"/>
      <c r="N37" s="22"/>
      <c r="O37"/>
      <c r="P37" s="469"/>
      <c r="Q37" s="22"/>
      <c r="R37" s="22"/>
      <c r="S37" s="22"/>
      <c r="T37" s="469"/>
      <c r="U37" s="22"/>
      <c r="V37" s="469"/>
      <c r="W37" s="22"/>
      <c r="X37" s="22"/>
      <c r="Z37" s="22"/>
      <c r="AA37" s="22"/>
      <c r="AB37" s="469"/>
      <c r="AC37" s="22"/>
      <c r="AD37" s="22"/>
      <c r="AE37" s="22"/>
      <c r="AF37" s="22"/>
      <c r="AG37" s="22"/>
      <c r="AH37" s="469"/>
      <c r="AN37" s="477"/>
      <c r="AO37" s="477"/>
      <c r="AP37" s="477"/>
      <c r="AQ37" s="22"/>
      <c r="AR37" s="28" t="s">
        <v>102</v>
      </c>
      <c r="AS37" s="332"/>
      <c r="AT37" s="333"/>
      <c r="AU37" s="183"/>
      <c r="AX37" s="503"/>
      <c r="AY37" s="503"/>
      <c r="AZ37" s="503"/>
      <c r="BA37" s="503"/>
      <c r="BB37" s="503"/>
      <c r="BC37" s="503"/>
      <c r="BD37" s="503"/>
      <c r="BE37" s="503"/>
      <c r="BF37"/>
      <c r="BG37"/>
      <c r="BH37"/>
      <c r="BI37" s="36"/>
      <c r="BJ37"/>
      <c r="BL37" s="22"/>
      <c r="BM37" s="22"/>
      <c r="BN37" s="22"/>
      <c r="BO37"/>
      <c r="BP37" s="22"/>
    </row>
    <row r="38" spans="1:68" ht="15.75" hidden="1" thickBot="1">
      <c r="A38" s="198" t="str">
        <f>IF(COUNT(D38:AH38)=0,"n.b.",IF(MIN(D38:H38,J38:O38,P38:R38,T38:X38,Z38:AC38,AE38:AH38)=0,"B","A"))</f>
        <v>n.b.</v>
      </c>
      <c r="B38" s="33"/>
      <c r="C38" s="30" t="e">
        <f>IF(AND(#REF!="X",'Input Form'!F54="x"),"X","&lt;&gt;")</f>
        <v>#REF!</v>
      </c>
      <c r="D38" s="189" t="e">
        <f>IF($A$31=FALSE,$BL$35,IF($C38="X",IF(ISBLANK(Questions!$D73),"--",Questions!$D73),"xx"))</f>
        <v>#REF!</v>
      </c>
      <c r="E38" s="189" t="e">
        <f>IF($A$31=FALSE,$BL$35,IF($C38="X",IF(ISBLANK(Questions!$D84),"--",Questions!$D84),"xx"))</f>
        <v>#REF!</v>
      </c>
      <c r="F38" s="189" t="e">
        <f>IF($A$31=FALSE,$BL$35,IF($C38="X",IF(ISBLANK(Questions!$D95),"--",Questions!$D95),"xx"))</f>
        <v>#REF!</v>
      </c>
      <c r="G38" s="189" t="e">
        <f>IF($A$31=FALSE,$BL$35,IF($C38="X",IF(ISBLANK(Questions!$D106),"--",Questions!$D106),"xx"))</f>
        <v>#REF!</v>
      </c>
      <c r="H38" s="470" t="e">
        <f>IF($A$31=FALSE,$BL$35,IF($C38="X",IF(ISBLANK(Questions!$D117),"--",Questions!$D117),"xx"))</f>
        <v>#REF!</v>
      </c>
      <c r="I38" s="183"/>
      <c r="J38" s="189" t="e">
        <f>IF($A$31=FALSE,$BL$35,IF($C38="X",IF(ISBLANK(Questions!$D129),"--",Questions!$D129),"xx"))</f>
        <v>#REF!</v>
      </c>
      <c r="K38" s="189" t="e">
        <f>IF($A$31=FALSE,$BL$35,IF($C38="X",IF(ISBLANK(Questions!$D140),"--",Questions!$D140),"xx"))</f>
        <v>#REF!</v>
      </c>
      <c r="L38" s="470" t="e">
        <f>IF($A$31=FALSE,$BL$35,IF($C38="X",IF(ISBLANK(Questions!$D151),"--",Questions!$D151),"xx"))</f>
        <v>#REF!</v>
      </c>
      <c r="M38" s="470" t="e">
        <f>IF($A$31=FALSE,$BL$35,IF($C38="X",IF(ISBLANK(Questions!$D162),"--",Questions!$D162),"xx"))</f>
        <v>#REF!</v>
      </c>
      <c r="N38" s="189" t="e">
        <f>IF($A$31=FALSE,$BL$35,IF($C38="X",IF(ISBLANK(Questions!$D173),"--",Questions!$D173),"xx"))</f>
        <v>#REF!</v>
      </c>
      <c r="O38"/>
      <c r="P38" s="470" t="e">
        <f>IF($A$31=FALSE,$BL$35,IF($C38="X",IF(ISBLANK(Questions!$D183),"--",Questions!$D183),"xx"))</f>
        <v>#REF!</v>
      </c>
      <c r="Q38" s="189" t="e">
        <f>IF($A$31=FALSE,$BL$35,IF($C38="X",IF(ISBLANK(Questions!$D194),"--",Questions!$D194),"xx"))</f>
        <v>#REF!</v>
      </c>
      <c r="R38" s="189" t="e">
        <f>IF($A$31=FALSE,$BL$35,IF($C38="X",IF(ISBLANK(Questions!$D205),"--",Questions!$D205),"xx"))</f>
        <v>#REF!</v>
      </c>
      <c r="S38" s="183"/>
      <c r="T38" s="470" t="e">
        <f>IF($A$31=FALSE,$BL$35,IF($C38="X",IF(ISBLANK(Questions!$D217),"--",Questions!$D217),"xx"))</f>
        <v>#REF!</v>
      </c>
      <c r="U38" s="189" t="e">
        <f>IF($A$31=FALSE,$BL$35,IF($C38="X",IF(ISBLANK(Questions!$D228),"--",Questions!$D228),"xx"))</f>
        <v>#REF!</v>
      </c>
      <c r="V38" s="470" t="e">
        <f>IF($A$31=FALSE,$BL$35,IF($C38="X",IF(ISBLANK(Questions!$D239),"--",Questions!$D239),"xx"))</f>
        <v>#REF!</v>
      </c>
      <c r="W38" s="189" t="e">
        <f>IF($A$31=FALSE,$BL$35,IF($C38="X",IF(ISBLANK(Questions!$D250),"--",Questions!$D250),"xx"))</f>
        <v>#REF!</v>
      </c>
      <c r="X38" s="189" t="e">
        <f>IF($A$31=FALSE,$BL$35,IF($C38="X",IF(ISBLANK(Questions!$D261),"--",Questions!$D261),"xx"))</f>
        <v>#REF!</v>
      </c>
      <c r="Z38" s="189" t="e">
        <f>IF($A$31=FALSE,$BL$35,IF($C38="X",IF(ISBLANK(Questions!$D273),"--",Questions!$D273),"xx"))</f>
        <v>#REF!</v>
      </c>
      <c r="AA38" s="189" t="e">
        <f>IF($A$31=FALSE,$BL$35,IF($C38="X",IF(ISBLANK(Questions!$D284),"--",Questions!$D284),"xx"))</f>
        <v>#REF!</v>
      </c>
      <c r="AB38" s="470" t="e">
        <f>IF($A$31=FALSE,$BL$35,IF($C38="X",IF(ISBLANK(Questions!$D295),"--",Questions!$D295),"xx"))</f>
        <v>#REF!</v>
      </c>
      <c r="AC38" s="189" t="e">
        <f>IF($A$31=FALSE,$BL$35,IF($C38="X",IF(ISBLANK(Questions!$D306),"--",Questions!$D306),"xx"))</f>
        <v>#REF!</v>
      </c>
      <c r="AD38" s="183"/>
      <c r="AE38" s="189" t="e">
        <f>IF($A$31=FALSE,$BL$35,IF($C38="X",IF(ISBLANK(Questions!$D318),"--",Questions!$D318),"xx"))</f>
        <v>#REF!</v>
      </c>
      <c r="AF38" s="189" t="e">
        <f>IF($A$31=FALSE,$BL$35,IF($C38="X",IF(ISBLANK(Questions!$D329),"--",Questions!$D329),"xx"))</f>
        <v>#REF!</v>
      </c>
      <c r="AG38" s="189" t="e">
        <f>IF($A$31=FALSE,$BL$35,IF($C38="X",IF(ISBLANK(Questions!$D340),"--",Questions!$D340),"xx"))</f>
        <v>#REF!</v>
      </c>
      <c r="AH38" s="470" t="e">
        <f>IF($A$31=FALSE,$BL$35,IF($C38="X",IF(ISBLANK(Questions!$D351),"--",Questions!$D351),"xx"))</f>
        <v>#REF!</v>
      </c>
      <c r="AN38" s="477"/>
      <c r="AO38" s="477"/>
      <c r="AP38" s="477"/>
      <c r="AQ38" s="27"/>
      <c r="AR38" s="30"/>
      <c r="AS38" s="1197" t="e">
        <f>IF($A$31=FALSE,$BL$35,IF(C38="&lt;&gt;","xx",IF(BM38&lt;BN38,$BL$35,ROUND(BP38/BO38,2))))</f>
        <v>#REF!</v>
      </c>
      <c r="AT38" s="1198"/>
      <c r="AU38"/>
      <c r="AX38" s="602" t="e">
        <f>E38</f>
        <v>#REF!</v>
      </c>
      <c r="AY38" s="602" t="e">
        <f>F38</f>
        <v>#REF!</v>
      </c>
      <c r="AZ38" s="602" t="e">
        <f>G38</f>
        <v>#REF!</v>
      </c>
      <c r="BA38" s="602" t="e">
        <f>M38</f>
        <v>#REF!</v>
      </c>
      <c r="BB38" s="602" t="e">
        <f>N38</f>
        <v>#REF!</v>
      </c>
      <c r="BC38" s="602" t="e">
        <f>AE38</f>
        <v>#REF!</v>
      </c>
      <c r="BD38" s="602" t="e">
        <f>AF38</f>
        <v>#REF!</v>
      </c>
      <c r="BE38" s="602" t="e">
        <f>AG38</f>
        <v>#REF!</v>
      </c>
      <c r="BF38"/>
      <c r="BG38"/>
      <c r="BH38"/>
      <c r="BI38" s="36"/>
      <c r="BJ38"/>
      <c r="BL38" s="575">
        <f>COUNTIF(D38:AH38,"&gt;-")</f>
        <v>0</v>
      </c>
      <c r="BM38" s="575">
        <f>COUNT(D38:AH38)</f>
        <v>0</v>
      </c>
      <c r="BN38" s="575">
        <v>17</v>
      </c>
      <c r="BO38" s="575" t="e">
        <f>IF(AND($A$31,BM38&gt;=BN38),BM38*10,"--")</f>
        <v>#REF!</v>
      </c>
      <c r="BP38" s="575" t="e">
        <f>IF(AND($A$31,BM38&gt;=BN38),SUM(D38:AH38),"--")</f>
        <v>#REF!</v>
      </c>
    </row>
    <row r="39" spans="1:68" ht="15.75" hidden="1" thickBot="1">
      <c r="B39" s="33"/>
      <c r="C39" s="28"/>
      <c r="D39" s="154" t="s">
        <v>94</v>
      </c>
      <c r="E39" s="154"/>
      <c r="F39" s="22"/>
      <c r="G39" s="22"/>
      <c r="H39" s="467"/>
      <c r="I39" s="154" t="str">
        <f>PrSchr3</f>
        <v>Shipping</v>
      </c>
      <c r="K39" s="22"/>
      <c r="L39" s="469"/>
      <c r="M39" s="469"/>
      <c r="N39" s="22"/>
      <c r="O39"/>
      <c r="P39" s="469"/>
      <c r="Q39" s="22"/>
      <c r="R39" s="22"/>
      <c r="S39" s="22"/>
      <c r="T39" s="469"/>
      <c r="U39" s="22"/>
      <c r="V39" s="469"/>
      <c r="W39" s="22"/>
      <c r="X39" s="22"/>
      <c r="Z39" s="22"/>
      <c r="AA39" s="22"/>
      <c r="AB39" s="469"/>
      <c r="AC39" s="22"/>
      <c r="AD39" s="22"/>
      <c r="AE39" s="22"/>
      <c r="AF39" s="22"/>
      <c r="AG39" s="22"/>
      <c r="AH39" s="469"/>
      <c r="AN39" s="477"/>
      <c r="AO39" s="477"/>
      <c r="AP39" s="477"/>
      <c r="AQ39" s="22"/>
      <c r="AR39" s="28" t="s">
        <v>103</v>
      </c>
      <c r="AS39" s="183"/>
      <c r="AT39" s="183"/>
      <c r="AU39" s="183"/>
      <c r="AX39" s="503"/>
      <c r="AY39" s="503"/>
      <c r="AZ39" s="503"/>
      <c r="BA39" s="503"/>
      <c r="BB39" s="503"/>
      <c r="BC39" s="503"/>
      <c r="BD39" s="503"/>
      <c r="BE39" s="503"/>
      <c r="BF39"/>
      <c r="BG39"/>
      <c r="BH39"/>
      <c r="BI39" s="36"/>
      <c r="BJ39"/>
      <c r="BL39" s="22"/>
      <c r="BM39" s="22"/>
      <c r="BN39" s="22"/>
      <c r="BO39"/>
      <c r="BP39" s="22"/>
    </row>
    <row r="40" spans="1:68" ht="15.75" hidden="1" thickBot="1">
      <c r="A40" s="198" t="str">
        <f>IF(COUNT(D40:AH40)=0,"n.b.",IF(MIN(D40:H40,J40:O40,P40:R40,T40:X40,Z40:AC40,AE40:AH40)=0,"B","A"))</f>
        <v>n.b.</v>
      </c>
      <c r="B40" s="33"/>
      <c r="C40" s="30" t="e">
        <f>IF(AND(#REF!="X",'Input Form'!F55="x"),"X","&lt;&gt;")</f>
        <v>#REF!</v>
      </c>
      <c r="D40" s="189" t="e">
        <f>IF($A$31=FALSE,$BL$35,IF($C40="X",IF(ISBLANK(Questions!$D74),"--",Questions!$D74),"xx"))</f>
        <v>#REF!</v>
      </c>
      <c r="E40" s="189" t="e">
        <f>IF($A$31=FALSE,$BL$35,IF($C40="X",IF(ISBLANK(Questions!$D85),"--",Questions!$D85),"xx"))</f>
        <v>#REF!</v>
      </c>
      <c r="F40" s="189" t="e">
        <f>IF($A$31=FALSE,$BL$35,IF($C40="X",IF(ISBLANK(Questions!$D98),"--",Questions!$D98),"xx"))</f>
        <v>#REF!</v>
      </c>
      <c r="G40" s="189" t="e">
        <f>IF($A$31=FALSE,$BL$35,IF($C40="X",IF(ISBLANK(Questions!$D107),"--",Questions!$D107),"xx"))</f>
        <v>#REF!</v>
      </c>
      <c r="H40" s="470" t="e">
        <f>IF($A$31=FALSE,$BL$35,IF($C40="X",IF(ISBLANK(Questions!$D118),"--",Questions!$D118),"xx"))</f>
        <v>#REF!</v>
      </c>
      <c r="I40" s="183"/>
      <c r="J40" s="189" t="e">
        <f>IF($A$31=FALSE,$BL$35,IF($C40="X",IF(ISBLANK(Questions!$D130),"--",Questions!$D130),"xx"))</f>
        <v>#REF!</v>
      </c>
      <c r="K40" s="189" t="e">
        <f>IF($A$31=FALSE,$BL$35,IF($C40="X",IF(ISBLANK(Questions!$D141),"--",Questions!$D141),"xx"))</f>
        <v>#REF!</v>
      </c>
      <c r="L40" s="470" t="e">
        <f>IF($A$31=FALSE,$BL$35,IF($C40="X",IF(ISBLANK(Questions!$D152),"--",Questions!$D152),"xx"))</f>
        <v>#REF!</v>
      </c>
      <c r="M40" s="470" t="e">
        <f>IF($A$31=FALSE,$BL$35,IF($C40="X",IF(ISBLANK(Questions!$D163),"--",Questions!$D163),"xx"))</f>
        <v>#REF!</v>
      </c>
      <c r="N40" s="189" t="e">
        <f>IF($A$31=FALSE,$BL$35,IF($C40="X",IF(ISBLANK(Questions!$D174),"--",Questions!$D174),"xx"))</f>
        <v>#REF!</v>
      </c>
      <c r="O40"/>
      <c r="P40" s="470" t="e">
        <f>IF($A$31=FALSE,$BL$35,IF($C40="X",IF(ISBLANK(Questions!$D184),"--",Questions!$D184),"xx"))</f>
        <v>#REF!</v>
      </c>
      <c r="Q40" s="189" t="e">
        <f>IF($A$31=FALSE,$BL$35,IF($C40="X",IF(ISBLANK(Questions!$D195),"--",Questions!$D195),"xx"))</f>
        <v>#REF!</v>
      </c>
      <c r="R40" s="189" t="e">
        <f>IF($A$31=FALSE,$BL$35,IF($C40="X",IF(ISBLANK(Questions!$D206),"--",Questions!$D206),"xx"))</f>
        <v>#REF!</v>
      </c>
      <c r="S40" s="183"/>
      <c r="T40" s="470" t="e">
        <f>IF($A$31=FALSE,$BL$35,IF($C40="X",IF(ISBLANK(Questions!$D218),"--",Questions!$D218),"xx"))</f>
        <v>#REF!</v>
      </c>
      <c r="U40" s="189" t="e">
        <f>IF($A$31=FALSE,$BL$35,IF($C40="X",IF(ISBLANK(Questions!$D229),"--",Questions!$D229),"xx"))</f>
        <v>#REF!</v>
      </c>
      <c r="V40" s="470" t="e">
        <f>IF($A$31=FALSE,$BL$35,IF($C40="X",IF(ISBLANK(Questions!$D240),"--",Questions!$D240),"xx"))</f>
        <v>#REF!</v>
      </c>
      <c r="W40" s="189" t="e">
        <f>IF($A$31=FALSE,$BL$35,IF($C40="X",IF(ISBLANK(Questions!$D251),"--",Questions!$D251),"xx"))</f>
        <v>#REF!</v>
      </c>
      <c r="X40" s="189" t="e">
        <f>IF($A$31=FALSE,$BL$35,IF($C40="X",IF(ISBLANK(Questions!$D262),"--",Questions!$D262),"xx"))</f>
        <v>#REF!</v>
      </c>
      <c r="Z40" s="189" t="e">
        <f>IF($A$31=FALSE,$BL$35,IF($C40="X",IF(ISBLANK(Questions!$D274),"--",Questions!$D274),"xx"))</f>
        <v>#REF!</v>
      </c>
      <c r="AA40" s="189" t="e">
        <f>IF($A$31=FALSE,$BL$35,IF($C40="X",IF(ISBLANK(Questions!$D285),"--",Questions!$D285),"xx"))</f>
        <v>#REF!</v>
      </c>
      <c r="AB40" s="470" t="e">
        <f>IF($A$31=FALSE,$BL$35,IF($C40="X",IF(ISBLANK(Questions!$D296),"--",Questions!$D296),"xx"))</f>
        <v>#REF!</v>
      </c>
      <c r="AC40" s="189" t="e">
        <f>IF($A$31=FALSE,$BL$35,IF($C40="X",IF(ISBLANK(Questions!$D307),"--",Questions!$D307),"xx"))</f>
        <v>#REF!</v>
      </c>
      <c r="AD40" s="183"/>
      <c r="AE40" s="189" t="e">
        <f>IF($A$31=FALSE,$BL$35,IF($C40="X",IF(ISBLANK(Questions!$D319),"--",Questions!$D319),"xx"))</f>
        <v>#REF!</v>
      </c>
      <c r="AF40" s="189" t="e">
        <f>IF($A$31=FALSE,$BL$35,IF($C40="X",IF(ISBLANK(Questions!$D330),"--",Questions!$D330),"xx"))</f>
        <v>#REF!</v>
      </c>
      <c r="AG40" s="189" t="e">
        <f>IF($A$31=FALSE,$BL$35,IF($C40="X",IF(ISBLANK(Questions!$D341),"--",Questions!$D341),"xx"))</f>
        <v>#REF!</v>
      </c>
      <c r="AH40" s="470" t="e">
        <f>IF($A$31=FALSE,$BL$35,IF($C40="X",IF(ISBLANK(Questions!$D352),"--",Questions!$D352),"xx"))</f>
        <v>#REF!</v>
      </c>
      <c r="AN40" s="477"/>
      <c r="AO40" s="477"/>
      <c r="AP40" s="477"/>
      <c r="AQ40" s="27"/>
      <c r="AR40" s="30"/>
      <c r="AS40" s="1197" t="e">
        <f>IF($A$31=FALSE,$BL$35,IF(C40="&lt;&gt;","xx",IF(BM40&lt;BN40,$BL$35,ROUND(BP40/BO40,2))))</f>
        <v>#REF!</v>
      </c>
      <c r="AT40" s="1198"/>
      <c r="AU40"/>
      <c r="AX40" s="602" t="e">
        <f>E40</f>
        <v>#REF!</v>
      </c>
      <c r="AY40" s="602" t="e">
        <f>F40</f>
        <v>#REF!</v>
      </c>
      <c r="AZ40" s="602" t="e">
        <f>G40</f>
        <v>#REF!</v>
      </c>
      <c r="BA40" s="602" t="e">
        <f>M40</f>
        <v>#REF!</v>
      </c>
      <c r="BB40" s="602" t="e">
        <f>N40</f>
        <v>#REF!</v>
      </c>
      <c r="BC40" s="602" t="e">
        <f>AE40</f>
        <v>#REF!</v>
      </c>
      <c r="BD40" s="602" t="e">
        <f>AF40</f>
        <v>#REF!</v>
      </c>
      <c r="BE40" s="602" t="e">
        <f>AG40</f>
        <v>#REF!</v>
      </c>
      <c r="BF40"/>
      <c r="BG40"/>
      <c r="BH40"/>
      <c r="BI40" s="36"/>
      <c r="BJ40"/>
      <c r="BL40" s="575">
        <f>COUNTIF(D40:AH40,"&gt;-")</f>
        <v>0</v>
      </c>
      <c r="BM40" s="575">
        <f>COUNT(D40:AH40)</f>
        <v>0</v>
      </c>
      <c r="BN40" s="575">
        <v>17</v>
      </c>
      <c r="BO40" s="575" t="e">
        <f>IF(AND($A$31,BM40&gt;=BN40),BM40*10,"--")</f>
        <v>#REF!</v>
      </c>
      <c r="BP40" s="575" t="e">
        <f>IF(AND($A$31,BM40&gt;=BN40),SUM(D40:AH40),"--")</f>
        <v>#REF!</v>
      </c>
    </row>
    <row r="41" spans="1:68" ht="15">
      <c r="A41" s="197" t="s">
        <v>383</v>
      </c>
      <c r="B41" s="33"/>
      <c r="C41" s="160"/>
      <c r="D41" s="27"/>
      <c r="E41" s="27"/>
      <c r="F41" s="27"/>
      <c r="G41" s="27"/>
      <c r="H41" s="27"/>
      <c r="I41" s="27"/>
      <c r="J41" s="27"/>
      <c r="K41" s="27"/>
      <c r="L41" s="27"/>
      <c r="M41" s="27"/>
      <c r="N41" s="27"/>
      <c r="O41"/>
      <c r="P41" s="27"/>
      <c r="Q41" s="27"/>
      <c r="R41" s="27"/>
      <c r="S41" s="27"/>
      <c r="T41" s="27"/>
      <c r="U41" s="27"/>
      <c r="V41" s="27"/>
      <c r="W41" s="27"/>
      <c r="X41" s="27"/>
      <c r="Z41" s="27"/>
      <c r="AA41" s="27"/>
      <c r="AB41" s="27"/>
      <c r="AC41" s="27"/>
      <c r="AD41" s="27"/>
      <c r="AE41" s="27"/>
      <c r="AF41" s="27"/>
      <c r="AG41" s="27"/>
      <c r="AH41" s="27"/>
      <c r="AI41" s="27"/>
      <c r="AJ41" s="27"/>
      <c r="AK41" s="27"/>
      <c r="AL41" s="27"/>
      <c r="AM41" s="27"/>
      <c r="AN41" s="477"/>
      <c r="AO41" s="477"/>
      <c r="AP41" s="477"/>
      <c r="AQ41" s="27"/>
      <c r="AR41" s="27"/>
      <c r="AS41" s="27"/>
      <c r="AT41" s="27"/>
      <c r="AU41" s="27"/>
      <c r="AX41" s="601"/>
      <c r="AY41" s="601"/>
      <c r="AZ41" s="601"/>
      <c r="BA41" s="601"/>
      <c r="BB41" s="601"/>
      <c r="BC41" s="601"/>
      <c r="BD41" s="601"/>
      <c r="BE41" s="601"/>
      <c r="BF41"/>
      <c r="BG41"/>
      <c r="BH41"/>
      <c r="BI41" s="36"/>
      <c r="BJ41"/>
    </row>
    <row r="42" spans="1:68" ht="15">
      <c r="A42" s="198" t="str">
        <f>IF(COUNTIF(A36:A40,"n.b.")=10,"n.b.",IF(COUNTIF(A36:A40,"C")&gt;=1,"C",IF(COUNTIF(A36:A40,"B")&gt;=1,"B","A")))</f>
        <v>A</v>
      </c>
      <c r="B42" s="33"/>
      <c r="C42" s="25"/>
      <c r="D42" s="154" t="e">
        <f>#REF!</f>
        <v>#REF!</v>
      </c>
      <c r="E42" s="22"/>
      <c r="F42" s="22"/>
      <c r="G42" s="22"/>
      <c r="H42" s="22"/>
      <c r="I42" s="22"/>
      <c r="J42" s="22"/>
      <c r="K42" s="22"/>
      <c r="L42" s="22"/>
      <c r="M42" s="22"/>
      <c r="N42" s="22"/>
      <c r="O42"/>
      <c r="P42" s="22"/>
      <c r="Q42" s="22"/>
      <c r="R42" s="22"/>
      <c r="S42" s="22"/>
      <c r="T42" s="22"/>
      <c r="U42" s="22"/>
      <c r="V42" s="22"/>
      <c r="W42" s="22"/>
      <c r="X42" s="22"/>
      <c r="Z42" s="22"/>
      <c r="AA42" s="22"/>
      <c r="AB42" s="22"/>
      <c r="AC42" s="22"/>
      <c r="AD42" s="22"/>
      <c r="AE42" s="22"/>
      <c r="AF42" s="22"/>
      <c r="AG42" s="22"/>
      <c r="AH42" s="22"/>
      <c r="AI42" s="22"/>
      <c r="AJ42" s="22"/>
      <c r="AK42" s="22"/>
      <c r="AL42" s="22"/>
      <c r="AM42" s="22"/>
      <c r="AN42" s="477"/>
      <c r="AO42" s="477"/>
      <c r="AP42" s="477"/>
      <c r="AQ42" s="22"/>
      <c r="AR42" s="22"/>
      <c r="AS42" s="22"/>
      <c r="AT42" s="161">
        <f>+COUNTIF(AS36:AT40,$BL$35)</f>
        <v>3</v>
      </c>
      <c r="AU42" s="161"/>
      <c r="AX42" s="161"/>
      <c r="AY42" s="161"/>
      <c r="AZ42" s="161"/>
      <c r="BA42" s="161"/>
      <c r="BB42" s="161"/>
      <c r="BC42" s="161"/>
      <c r="BD42" s="161"/>
      <c r="BE42" s="161"/>
      <c r="BF42"/>
      <c r="BG42"/>
      <c r="BH42"/>
      <c r="BI42" s="34"/>
      <c r="BJ42" s="22"/>
    </row>
    <row r="43" spans="1:68" ht="15" thickBot="1">
      <c r="B43" s="33"/>
      <c r="C43" s="22"/>
      <c r="D43" s="22"/>
      <c r="E43" s="22"/>
      <c r="F43" s="22"/>
      <c r="G43" s="22"/>
      <c r="H43" s="22"/>
      <c r="I43" s="22"/>
      <c r="J43" s="22"/>
      <c r="K43" s="22"/>
      <c r="L43" s="22"/>
      <c r="M43" s="22"/>
      <c r="N43" s="22"/>
      <c r="O43"/>
      <c r="P43" s="22"/>
      <c r="Q43" s="22"/>
      <c r="R43" s="22"/>
      <c r="S43" s="22"/>
      <c r="T43" s="22"/>
      <c r="U43"/>
      <c r="V43"/>
      <c r="W43"/>
      <c r="X43"/>
      <c r="Z43"/>
      <c r="AA43"/>
      <c r="AB43"/>
      <c r="AC43"/>
      <c r="AD43"/>
      <c r="AE43"/>
      <c r="AF43"/>
      <c r="AG43"/>
      <c r="AH43"/>
      <c r="AI43"/>
      <c r="AJ43"/>
      <c r="AK43"/>
      <c r="AL43"/>
      <c r="AM43"/>
      <c r="AN43" s="477"/>
      <c r="AO43" s="477"/>
      <c r="AP43" s="477"/>
      <c r="AQ43"/>
      <c r="AR43"/>
      <c r="AS43"/>
      <c r="AT43"/>
      <c r="AU43"/>
      <c r="AX43"/>
      <c r="AY43"/>
      <c r="AZ43"/>
      <c r="BA43"/>
      <c r="BB43"/>
      <c r="BC43"/>
      <c r="BD43"/>
      <c r="BE43"/>
      <c r="BF43"/>
      <c r="BG43"/>
      <c r="BH43"/>
      <c r="BI43" s="36"/>
      <c r="BJ43"/>
    </row>
    <row r="44" spans="1:68" ht="15" thickBot="1">
      <c r="B44" s="33"/>
      <c r="C44" s="21"/>
      <c r="D44" s="576" t="str">
        <f>D34</f>
        <v>6.1.1</v>
      </c>
      <c r="E44" s="577" t="str">
        <f>E34</f>
        <v>6.1.2</v>
      </c>
      <c r="F44" s="578" t="str">
        <f>F34</f>
        <v>6.1.3</v>
      </c>
      <c r="G44" s="578" t="str">
        <f>G34</f>
        <v>6.1.4</v>
      </c>
      <c r="H44" s="579" t="str">
        <f>H34</f>
        <v>6.1.5*</v>
      </c>
      <c r="I44" s="283"/>
      <c r="J44" s="576" t="str">
        <f>J34</f>
        <v>6.2.1</v>
      </c>
      <c r="K44" s="577" t="str">
        <f>K34</f>
        <v>6.2.2</v>
      </c>
      <c r="L44" s="585" t="str">
        <f>L34</f>
        <v>6.2.3*</v>
      </c>
      <c r="M44" s="585" t="str">
        <f>M34</f>
        <v>6.2.4*</v>
      </c>
      <c r="N44" s="586" t="str">
        <f>N34</f>
        <v>6.2.5</v>
      </c>
      <c r="O44" s="904"/>
      <c r="P44" s="578" t="str">
        <f>P34</f>
        <v>6.3.1*</v>
      </c>
      <c r="Q44" s="578" t="str">
        <f>Q34</f>
        <v>6.3.2</v>
      </c>
      <c r="R44" s="586" t="str">
        <f>R34</f>
        <v>6.3.3</v>
      </c>
      <c r="S44" s="282"/>
      <c r="T44" s="592" t="str">
        <f>T34</f>
        <v>6.4.1*</v>
      </c>
      <c r="U44" s="578" t="str">
        <f>U34</f>
        <v>6.4.2</v>
      </c>
      <c r="V44" s="585" t="str">
        <f>V34</f>
        <v>6.4.3*</v>
      </c>
      <c r="W44" s="578" t="str">
        <f>W34</f>
        <v>6.4.4</v>
      </c>
      <c r="X44" s="586" t="str">
        <f>X34</f>
        <v>6.4.5</v>
      </c>
      <c r="Z44" s="576" t="str">
        <f>Z34</f>
        <v>6.5.1</v>
      </c>
      <c r="AA44" s="578" t="str">
        <f>AA34</f>
        <v>6.5.2</v>
      </c>
      <c r="AB44" s="585" t="str">
        <f>AB34</f>
        <v>6.5.3*</v>
      </c>
      <c r="AC44" s="586" t="str">
        <f>AC34</f>
        <v>6.5.4</v>
      </c>
      <c r="AD44" s="283"/>
      <c r="AE44" s="576" t="str">
        <f>AE34</f>
        <v>6.6.1</v>
      </c>
      <c r="AF44" s="578" t="str">
        <f>AF34</f>
        <v>6.6.2</v>
      </c>
      <c r="AG44" s="578" t="str">
        <f>AG34</f>
        <v>6.6.3</v>
      </c>
      <c r="AH44" s="579" t="str">
        <f>AH34</f>
        <v>6.6.4*</v>
      </c>
      <c r="AN44" s="477"/>
      <c r="AO44" s="477"/>
      <c r="AP44" s="477"/>
      <c r="AQ44" s="21"/>
      <c r="AR44"/>
      <c r="AS44"/>
      <c r="AT44"/>
      <c r="AU44"/>
      <c r="AX44" s="595" t="str">
        <f t="shared" ref="AX44:BE44" si="1">AX34</f>
        <v>6.1.2</v>
      </c>
      <c r="AY44" s="596" t="str">
        <f t="shared" si="1"/>
        <v>6.1.3</v>
      </c>
      <c r="AZ44" s="596" t="str">
        <f t="shared" si="1"/>
        <v>6.1.4</v>
      </c>
      <c r="BA44" s="596" t="str">
        <f t="shared" si="1"/>
        <v>6.2.4</v>
      </c>
      <c r="BB44" s="596" t="str">
        <f t="shared" si="1"/>
        <v>6.2.5</v>
      </c>
      <c r="BC44" s="596" t="str">
        <f t="shared" si="1"/>
        <v>6.6.1</v>
      </c>
      <c r="BD44" s="596" t="str">
        <f t="shared" si="1"/>
        <v>6.6.2</v>
      </c>
      <c r="BE44" s="597" t="str">
        <f t="shared" si="1"/>
        <v>6.6.3</v>
      </c>
      <c r="BF44"/>
      <c r="BG44"/>
      <c r="BH44"/>
      <c r="BI44" s="36"/>
      <c r="BJ44"/>
      <c r="BL44" s="477" t="e">
        <f>#REF!</f>
        <v>#REF!</v>
      </c>
      <c r="BM44" s="477" t="e">
        <f>#REF!</f>
        <v>#REF!</v>
      </c>
      <c r="BN44" s="477" t="e">
        <f>#REF!</f>
        <v>#REF!</v>
      </c>
      <c r="BO44" s="477" t="e">
        <f>#REF!</f>
        <v>#REF!</v>
      </c>
      <c r="BP44" s="477" t="e">
        <f>#REF!</f>
        <v>#REF!</v>
      </c>
    </row>
    <row r="45" spans="1:68" ht="15.75" thickBot="1">
      <c r="B45" s="33"/>
      <c r="C45" s="25"/>
      <c r="D45" s="507" t="e">
        <f>IF(ISERROR(AVERAGE(D36:D40)),$BL$35,ROUND(AVERAGE(D36:D40),2))</f>
        <v>#REF!</v>
      </c>
      <c r="E45" s="486" t="e">
        <f>IF(ISERROR(AVERAGE(E36:E40)),$BL$35,ROUND(AVERAGE(E36:E40),2))</f>
        <v>#REF!</v>
      </c>
      <c r="F45" s="486" t="e">
        <f>IF(ISERROR(AVERAGE(F36:F40)),$BL$35,ROUND(AVERAGE(F36:F40),2))</f>
        <v>#REF!</v>
      </c>
      <c r="G45" s="486" t="e">
        <f>IF(ISERROR(AVERAGE(G36:G40)),$BL$35,ROUND(AVERAGE(G36:G40),2))</f>
        <v>#REF!</v>
      </c>
      <c r="H45" s="508" t="e">
        <f>IF(ISERROR(AVERAGE(H36:H40)),$BL$35,ROUND(AVERAGE(H36:H40),2))</f>
        <v>#REF!</v>
      </c>
      <c r="I45" s="184"/>
      <c r="J45" s="507" t="e">
        <f>IF(ISERROR(AVERAGE(J36:J40)),$BL$35,ROUND(AVERAGE(J36:J40),2))</f>
        <v>#REF!</v>
      </c>
      <c r="K45" s="486" t="e">
        <f>IF(ISERROR(AVERAGE(K36:K40)),$BL$35,ROUND(AVERAGE(K36:K40),2))</f>
        <v>#REF!</v>
      </c>
      <c r="L45" s="509" t="e">
        <f>IF(ISERROR(AVERAGE(L36:L40)),$BL$35,ROUND(AVERAGE(L36:L40),2))</f>
        <v>#REF!</v>
      </c>
      <c r="M45" s="509" t="e">
        <f>IF(ISERROR(AVERAGE(M36:M40)),$BL$35,ROUND(AVERAGE(M36:M40),2))</f>
        <v>#REF!</v>
      </c>
      <c r="N45" s="510" t="e">
        <f>IF(ISERROR(AVERAGE(N36:N40)),$BL$35,ROUND(AVERAGE(N36:N40),2))</f>
        <v>#REF!</v>
      </c>
      <c r="O45" s="904"/>
      <c r="P45" s="903" t="e">
        <f>IF(ISERROR(AVERAGE(P36:P40)),$BL$35,ROUND(AVERAGE(P36:P40),2))</f>
        <v>#REF!</v>
      </c>
      <c r="Q45" s="486" t="e">
        <f>IF(ISERROR(AVERAGE(Q36:Q40)),$BL$35,ROUND(AVERAGE(Q36:Q40),2))</f>
        <v>#REF!</v>
      </c>
      <c r="R45" s="510" t="e">
        <f>IF(ISERROR(AVERAGE(R36:R40)),$BL$35,ROUND(AVERAGE(R36:R40),2))</f>
        <v>#REF!</v>
      </c>
      <c r="S45" s="185"/>
      <c r="T45" s="511" t="e">
        <f>IF(ISERROR(AVERAGE(T36:T40)),$BL$35,ROUND(AVERAGE(T36:T40),2))</f>
        <v>#REF!</v>
      </c>
      <c r="U45" s="486" t="e">
        <f>IF(ISERROR(AVERAGE(U36:U40)),$BL$35,ROUND(AVERAGE(U36:U40),2))</f>
        <v>#REF!</v>
      </c>
      <c r="V45" s="509" t="e">
        <f>IF(ISERROR(AVERAGE(V36:V40)),$BL$35,ROUND(AVERAGE(V36:V40),2))</f>
        <v>#REF!</v>
      </c>
      <c r="W45" s="486" t="e">
        <f>IF(ISERROR(AVERAGE(W36:W40)),$BL$35,ROUND(AVERAGE(W36:W40),2))</f>
        <v>#REF!</v>
      </c>
      <c r="X45" s="510" t="e">
        <f>IF(ISERROR(AVERAGE(X36:X40)),$BL$35,ROUND(AVERAGE(X36:X40),2))</f>
        <v>#REF!</v>
      </c>
      <c r="Z45" s="507" t="e">
        <f>IF(ISERROR(AVERAGE(Z36:Z40)),$BL$35,ROUND(AVERAGE(Z36:Z40),2))</f>
        <v>#REF!</v>
      </c>
      <c r="AA45" s="486" t="e">
        <f>IF(ISERROR(AVERAGE(AA36:AA40)),$BL$35,ROUND(AVERAGE(AA36:AA40),2))</f>
        <v>#REF!</v>
      </c>
      <c r="AB45" s="509" t="e">
        <f>IF(ISERROR(AVERAGE(AB36:AB40)),$BL$35,ROUND(AVERAGE(AB36:AB40),2))</f>
        <v>#REF!</v>
      </c>
      <c r="AC45" s="510" t="e">
        <f>IF(ISERROR(AVERAGE(AC36:AC40)),$BL$35,ROUND(AVERAGE(AC36:AC40),2))</f>
        <v>#REF!</v>
      </c>
      <c r="AD45" s="185"/>
      <c r="AE45" s="507" t="e">
        <f>IF(ISERROR(AVERAGE(AE36:AE40)),$BL$35,ROUND(AVERAGE(AE36:AE40),2))</f>
        <v>#REF!</v>
      </c>
      <c r="AF45" s="486" t="e">
        <f>IF(ISERROR(AVERAGE(AF36:AF40)),$BL$35,ROUND(AVERAGE(AF36:AF40),2))</f>
        <v>#REF!</v>
      </c>
      <c r="AG45" s="486" t="e">
        <f>IF(ISERROR(AVERAGE(AG36:AG40)),$BL$35,ROUND(AVERAGE(AG36:AG40),2))</f>
        <v>#REF!</v>
      </c>
      <c r="AH45" s="508" t="e">
        <f>IF(ISERROR(AVERAGE(AH36:AH40)),$BL$35,ROUND(AVERAGE(AH36:AH40),2))</f>
        <v>#REF!</v>
      </c>
      <c r="AN45" s="477"/>
      <c r="AO45" s="477"/>
      <c r="AP45" s="477"/>
      <c r="AQ45" s="162"/>
      <c r="AR45" s="279" t="s">
        <v>498</v>
      </c>
      <c r="AS45" s="1197" t="e">
        <f>IF(COUNTIF(AS36:AT40,$BL$35)&gt;0,$BL$35,ROUND(BP45/BO45,2))</f>
        <v>#REF!</v>
      </c>
      <c r="AT45" s="1198"/>
      <c r="AU45"/>
      <c r="AX45" s="551" t="e">
        <f t="shared" ref="AX45:BE45" si="2">IF(ISERROR(AVERAGE(AX36:AX40)),$BL$35,ROUND(AVERAGE(AX36:AX40),2))</f>
        <v>#REF!</v>
      </c>
      <c r="AY45" s="510" t="e">
        <f t="shared" si="2"/>
        <v>#REF!</v>
      </c>
      <c r="AZ45" s="510" t="e">
        <f t="shared" si="2"/>
        <v>#REF!</v>
      </c>
      <c r="BA45" s="510" t="e">
        <f t="shared" si="2"/>
        <v>#REF!</v>
      </c>
      <c r="BB45" s="510" t="e">
        <f t="shared" si="2"/>
        <v>#REF!</v>
      </c>
      <c r="BC45" s="510" t="e">
        <f t="shared" si="2"/>
        <v>#REF!</v>
      </c>
      <c r="BD45" s="510" t="e">
        <f t="shared" si="2"/>
        <v>#REF!</v>
      </c>
      <c r="BE45" s="510" t="e">
        <f t="shared" si="2"/>
        <v>#REF!</v>
      </c>
      <c r="BF45"/>
      <c r="BG45"/>
      <c r="BH45"/>
      <c r="BI45" s="36"/>
      <c r="BJ45"/>
      <c r="BL45" s="575">
        <f>SUM(BL36:BL40)</f>
        <v>0</v>
      </c>
      <c r="BM45" s="575">
        <f>SUM(BM36:BM40)</f>
        <v>0</v>
      </c>
      <c r="BN45" s="575">
        <f>SUM(F47,L47,P47,V47,AA47,AF47)</f>
        <v>0</v>
      </c>
      <c r="BO45" s="575">
        <f>COUNT(D45:AH45)*10</f>
        <v>0</v>
      </c>
      <c r="BP45" s="575" t="e">
        <f>SUM(D45:AH45)</f>
        <v>#REF!</v>
      </c>
    </row>
    <row r="46" spans="1:68" ht="15" hidden="1" thickBot="1">
      <c r="B46" s="33"/>
      <c r="C46" s="22"/>
      <c r="D46" s="33"/>
      <c r="E46" s="477" t="e">
        <f>$BM$7</f>
        <v>#REF!</v>
      </c>
      <c r="F46" s="477" t="e">
        <f>$BN$7</f>
        <v>#REF!</v>
      </c>
      <c r="G46" s="477" t="s">
        <v>444</v>
      </c>
      <c r="H46" s="580" t="s">
        <v>305</v>
      </c>
      <c r="J46" s="587"/>
      <c r="K46" s="477" t="e">
        <f>$BM$7</f>
        <v>#REF!</v>
      </c>
      <c r="L46" s="477" t="e">
        <f>$BN$7</f>
        <v>#REF!</v>
      </c>
      <c r="M46" s="477" t="s">
        <v>444</v>
      </c>
      <c r="N46" s="580" t="s">
        <v>305</v>
      </c>
      <c r="O46" s="905" t="e">
        <f>$BM$7</f>
        <v>#REF!</v>
      </c>
      <c r="P46" s="477" t="e">
        <f>$BN$7</f>
        <v>#REF!</v>
      </c>
      <c r="Q46" s="477" t="s">
        <v>444</v>
      </c>
      <c r="R46" s="580" t="s">
        <v>305</v>
      </c>
      <c r="T46" s="587"/>
      <c r="U46" s="477" t="e">
        <f>$BM$7</f>
        <v>#REF!</v>
      </c>
      <c r="V46" s="477" t="e">
        <f>$BN$7</f>
        <v>#REF!</v>
      </c>
      <c r="W46" s="477" t="s">
        <v>444</v>
      </c>
      <c r="X46" s="580" t="s">
        <v>305</v>
      </c>
      <c r="Y46" s="22"/>
      <c r="Z46" s="589" t="e">
        <f>$BM$7</f>
        <v>#REF!</v>
      </c>
      <c r="AA46" s="477" t="e">
        <f>$BN$7</f>
        <v>#REF!</v>
      </c>
      <c r="AB46" s="477" t="s">
        <v>444</v>
      </c>
      <c r="AC46" s="580" t="s">
        <v>305</v>
      </c>
      <c r="AD46" s="22"/>
      <c r="AE46" s="589" t="e">
        <f>$BM$7</f>
        <v>#REF!</v>
      </c>
      <c r="AF46" s="477" t="e">
        <f>$BN$7</f>
        <v>#REF!</v>
      </c>
      <c r="AG46" s="477" t="s">
        <v>444</v>
      </c>
      <c r="AH46" s="580" t="s">
        <v>305</v>
      </c>
      <c r="AI46" s="22"/>
      <c r="AJ46" s="22"/>
      <c r="AK46" s="22"/>
      <c r="AL46" s="22"/>
      <c r="AM46" s="183"/>
      <c r="AN46" s="477"/>
      <c r="AO46" s="477"/>
      <c r="AP46" s="477"/>
      <c r="AQ46" s="183"/>
      <c r="AR46" s="183"/>
      <c r="AS46" s="183"/>
      <c r="AT46" s="183"/>
      <c r="AU46" s="183"/>
      <c r="AX46" s="900" t="e">
        <f>$BL$7</f>
        <v>#REF!</v>
      </c>
      <c r="AY46" s="901" t="e">
        <f>$BM$7</f>
        <v>#REF!</v>
      </c>
      <c r="AZ46" s="901" t="e">
        <f>$BN$7</f>
        <v>#REF!</v>
      </c>
      <c r="BA46" s="901" t="e">
        <f>$BO$7</f>
        <v>#REF!</v>
      </c>
      <c r="BB46" s="901" t="e">
        <f>$BP$7</f>
        <v>#REF!</v>
      </c>
      <c r="BC46" s="333"/>
      <c r="BD46" s="333"/>
      <c r="BE46" s="902"/>
      <c r="BF46"/>
      <c r="BG46"/>
      <c r="BH46"/>
      <c r="BI46" s="37"/>
      <c r="BJ46" s="183"/>
    </row>
    <row r="47" spans="1:68" ht="15.75" hidden="1" thickBot="1">
      <c r="B47" s="33"/>
      <c r="D47" s="33"/>
      <c r="E47" s="575">
        <f>COUNT(D36:H40)</f>
        <v>0</v>
      </c>
      <c r="F47" s="575">
        <f>ROUNDUP(COUNTIF($C$36:$C$40,"X")*5/3*2,0)</f>
        <v>0</v>
      </c>
      <c r="G47" s="575" t="e">
        <f>IF(AND($A31,E47&gt;=F47),E47*10,"--")</f>
        <v>#REF!</v>
      </c>
      <c r="H47" s="581" t="e">
        <f>IF(AND($A31,E47&gt;=F47),SUM(D36:H40),"--")</f>
        <v>#REF!</v>
      </c>
      <c r="J47" s="33"/>
      <c r="K47" s="575">
        <f>COUNT(J36:N40)</f>
        <v>0</v>
      </c>
      <c r="L47" s="575">
        <f>ROUNDUP(COUNTIF($C$36:$C$40,"X")*5/3*2,0)</f>
        <v>0</v>
      </c>
      <c r="M47" s="575" t="e">
        <f>IF(AND($A31,K47&gt;=L47),K47*10,"--")</f>
        <v>#REF!</v>
      </c>
      <c r="N47" s="581" t="e">
        <f>IF(AND($A31,K47&gt;=L47),SUM(J36:N40),"--")</f>
        <v>#REF!</v>
      </c>
      <c r="O47" s="906">
        <f>COUNT(P36:R40)</f>
        <v>0</v>
      </c>
      <c r="P47" s="575">
        <f>ROUNDUP(COUNTIF($C$36:$C$40,"X")*3/3*2,0)</f>
        <v>0</v>
      </c>
      <c r="Q47" s="575" t="e">
        <f>IF(AND($A31,O47&gt;=P47),O47*10,"--")</f>
        <v>#REF!</v>
      </c>
      <c r="R47" s="581" t="e">
        <f>IF(AND($A31,O47&gt;=P47),SUM(P36:R40),"--")</f>
        <v>#REF!</v>
      </c>
      <c r="T47" s="33"/>
      <c r="U47" s="575">
        <f>COUNT(T36:X40)</f>
        <v>0</v>
      </c>
      <c r="V47" s="575">
        <f>ROUNDUP(COUNTIF($C$36:$C$40,"X")*5/3*2,0)</f>
        <v>0</v>
      </c>
      <c r="W47" s="575" t="e">
        <f>IF(AND($A31,U47&gt;=V47),U47*10,"--")</f>
        <v>#REF!</v>
      </c>
      <c r="X47" s="581" t="e">
        <f>IF(AND($A31,U47&gt;=V47),SUM(T36:X40),"--")</f>
        <v>#REF!</v>
      </c>
      <c r="Z47" s="600">
        <f>COUNT(Z36:AC40)</f>
        <v>0</v>
      </c>
      <c r="AA47" s="575">
        <f>ROUNDUP(COUNTIF($C$36:$C$40,"X")*4/3*2,0)</f>
        <v>0</v>
      </c>
      <c r="AB47" s="575" t="e">
        <f>IF(AND($A31,Z47&gt;=AA47),Z47*10,"--")</f>
        <v>#REF!</v>
      </c>
      <c r="AC47" s="581" t="e">
        <f>IF(AND($A31,Z47&gt;=AA47),SUM(Z36:AC40),"--")</f>
        <v>#REF!</v>
      </c>
      <c r="AD47" s="30"/>
      <c r="AE47" s="600">
        <f>COUNT(AE36:AH40)</f>
        <v>0</v>
      </c>
      <c r="AF47" s="575">
        <f>ROUNDUP(COUNTIF($C$36:$C$40,"X")*4/3*2,0)</f>
        <v>0</v>
      </c>
      <c r="AG47" s="575" t="e">
        <f>IF(AND($A31,AE47&gt;=AF47),AE47*10,"--")</f>
        <v>#REF!</v>
      </c>
      <c r="AH47" s="581" t="e">
        <f>IF(AND($A31,AE47&gt;=AF47),SUM(AE36:AH40),"--")</f>
        <v>#REF!</v>
      </c>
      <c r="AS47" s="164"/>
      <c r="AT47" s="276"/>
      <c r="AX47" s="600">
        <f>COUNTIF(AX45:BE45,"&gt;-")</f>
        <v>0</v>
      </c>
      <c r="AY47" s="575">
        <f>COUNT(AX36:BE40)</f>
        <v>0</v>
      </c>
      <c r="AZ47" s="575">
        <f>ROUNDUP(COUNTIF($C$36:$C$40,"X")*8/3*2,0)</f>
        <v>0</v>
      </c>
      <c r="BA47" s="575">
        <f>IF(AND($B48,AY47&gt;=AZ47),COUNTIF(AX45:BE45,"&lt;&gt;"&amp;AX46)*10,"--")</f>
        <v>80</v>
      </c>
      <c r="BB47" s="575" t="e">
        <f>IF(AND($B48,AY47&gt;=AZ47),SUM(AX45:BE45),"--")</f>
        <v>#REF!</v>
      </c>
      <c r="BC47" s="164"/>
      <c r="BD47" s="164"/>
      <c r="BE47" s="598"/>
      <c r="BF47"/>
      <c r="BG47"/>
      <c r="BH47"/>
      <c r="BI47" s="39"/>
    </row>
    <row r="48" spans="1:68" ht="15.75" thickBot="1">
      <c r="B48" s="33"/>
      <c r="C48" s="30"/>
      <c r="D48" s="582"/>
      <c r="E48" s="583"/>
      <c r="F48" s="584" t="s">
        <v>88</v>
      </c>
      <c r="G48" s="1177" t="e">
        <f>IF(OR($A$31=FALSE,F47&gt;E47),$BL$35,IFERROR(ROUND(H47/G47,2),$BL$35))</f>
        <v>#REF!</v>
      </c>
      <c r="H48" s="1178"/>
      <c r="I48"/>
      <c r="J48" s="582"/>
      <c r="K48" s="583"/>
      <c r="L48" s="588" t="s">
        <v>87</v>
      </c>
      <c r="M48" s="1177" t="e">
        <f>IF(OR($A$31=FALSE,L47&gt;K47),$BL$35,IFERROR(ROUND(N47/M47,2),$BL$35))</f>
        <v>#REF!</v>
      </c>
      <c r="N48" s="1178"/>
      <c r="O48" s="904"/>
      <c r="P48" s="591" t="s">
        <v>86</v>
      </c>
      <c r="Q48" s="1177" t="e">
        <f>IF(OR($A$31=FALSE,P47&gt;O47),$BL$35,IFERROR(ROUND(R47/Q47,2),$BL$35))</f>
        <v>#REF!</v>
      </c>
      <c r="R48" s="1178"/>
      <c r="S48"/>
      <c r="T48" s="593"/>
      <c r="U48" s="594"/>
      <c r="V48" s="591" t="s">
        <v>85</v>
      </c>
      <c r="W48" s="1177" t="e">
        <f>IF(OR($A$31=FALSE,V47&gt;U47),$BL$35,IFERROR(ROUND(X47/W47,2),$BL$35))</f>
        <v>#REF!</v>
      </c>
      <c r="X48" s="1178"/>
      <c r="Y48"/>
      <c r="Z48" s="582"/>
      <c r="AA48" s="584" t="s">
        <v>84</v>
      </c>
      <c r="AB48" s="1177" t="e">
        <f>IF(OR($A$31=FALSE,AA47&gt;Z47),$BL$35,IFERROR(ROUND(AC47/AB47,2),$BL$35))</f>
        <v>#REF!</v>
      </c>
      <c r="AC48" s="1178"/>
      <c r="AD48"/>
      <c r="AE48" s="582"/>
      <c r="AF48" s="588" t="s">
        <v>83</v>
      </c>
      <c r="AG48" s="1177" t="e">
        <f>IF(OR($A$31=FALSE,AF47&gt;AE47),$BL$35,IFERROR(ROUND(AH47/AG47,2),$BL$35))</f>
        <v>#REF!</v>
      </c>
      <c r="AH48" s="1178"/>
      <c r="AI48"/>
      <c r="AM48" s="153"/>
      <c r="AN48" s="153"/>
      <c r="AO48" s="153"/>
      <c r="AP48" s="153"/>
      <c r="AQ48" s="153"/>
      <c r="AS48" s="164"/>
      <c r="AT48" s="277"/>
      <c r="AU48" s="164"/>
      <c r="AX48" s="79"/>
      <c r="AY48" s="594"/>
      <c r="AZ48" s="594"/>
      <c r="BA48" s="594"/>
      <c r="BB48" s="594"/>
      <c r="BC48" s="599" t="s">
        <v>82</v>
      </c>
      <c r="BD48" s="1195" t="e">
        <f>IF(A31=FALSE,AX46,IF(AY47&gt;=AZ47,ROUND(BB47/BA47,2),$BL$35))</f>
        <v>#REF!</v>
      </c>
      <c r="BE48" s="1196"/>
      <c r="BF48"/>
      <c r="BG48"/>
      <c r="BH48"/>
      <c r="BI48" s="39"/>
    </row>
    <row r="49" spans="1:68" ht="15">
      <c r="B49" s="33"/>
      <c r="C49" s="30"/>
      <c r="D49" s="163"/>
      <c r="E49" s="30"/>
      <c r="G49" s="153"/>
      <c r="H49" s="153"/>
      <c r="I49"/>
      <c r="J49" s="163"/>
      <c r="K49" s="30"/>
      <c r="M49" s="30"/>
      <c r="N49" s="153"/>
      <c r="O49" s="153"/>
      <c r="P49"/>
      <c r="Q49" s="163"/>
      <c r="R49" s="30"/>
      <c r="S49" s="30"/>
      <c r="T49" s="153"/>
      <c r="U49" s="153"/>
      <c r="V49" s="163"/>
      <c r="X49" s="153"/>
      <c r="Y49" s="153"/>
      <c r="Z49" s="163"/>
      <c r="AC49" s="153"/>
      <c r="AD49" s="153"/>
      <c r="AE49" s="163"/>
      <c r="AF49" s="30"/>
      <c r="AG49" s="30"/>
      <c r="AH49" s="30"/>
      <c r="AM49" s="153"/>
      <c r="AN49" s="153"/>
      <c r="AO49" s="153"/>
      <c r="AP49" s="153"/>
      <c r="AQ49" s="153"/>
      <c r="AS49" s="164"/>
      <c r="AT49" s="163"/>
      <c r="AU49" s="164"/>
      <c r="AW49" s="164"/>
      <c r="AX49" s="164"/>
      <c r="AY49" s="164"/>
      <c r="AZ49" s="164"/>
      <c r="BA49" s="164"/>
      <c r="BB49" s="164"/>
      <c r="BE49" s="165"/>
      <c r="BF49"/>
      <c r="BG49"/>
      <c r="BH49"/>
      <c r="BI49" s="39"/>
    </row>
    <row r="50" spans="1:68" ht="15">
      <c r="B50" s="33"/>
      <c r="C50" s="22"/>
      <c r="D50" s="22"/>
      <c r="E50" s="22"/>
      <c r="F50" s="22"/>
      <c r="G50" s="22"/>
      <c r="H50" s="22"/>
      <c r="I50" s="22"/>
      <c r="J50" s="22"/>
      <c r="K50" s="22"/>
      <c r="L50" s="22"/>
      <c r="M50" s="22"/>
      <c r="N50" s="22"/>
      <c r="O50" s="25"/>
      <c r="P50" s="22"/>
      <c r="Q50" s="22"/>
      <c r="R50" s="22"/>
      <c r="S50" s="22"/>
      <c r="T50" s="22"/>
      <c r="U50" s="22"/>
      <c r="V50" s="22"/>
      <c r="W50" s="22"/>
      <c r="X50" s="22"/>
      <c r="Y50" s="22"/>
      <c r="Z50" s="22"/>
      <c r="AA50" s="22"/>
      <c r="AB50" s="22"/>
      <c r="AC50" s="22"/>
      <c r="AD50" s="22"/>
      <c r="AE50" s="22"/>
      <c r="AF50" s="22"/>
      <c r="AG50" s="22"/>
      <c r="AH50" s="22"/>
      <c r="AI50" s="22"/>
      <c r="AJ50" s="22"/>
      <c r="AK50" s="22"/>
      <c r="AL50" s="22"/>
      <c r="AM50" s="22"/>
      <c r="AN50" s="22"/>
      <c r="AO50" s="22"/>
      <c r="AP50" s="22"/>
      <c r="AQ50" s="22"/>
      <c r="AR50" s="22"/>
      <c r="AS50" s="22"/>
      <c r="AT50" s="22"/>
      <c r="AU50" s="22"/>
      <c r="AV50" s="22"/>
      <c r="AW50" s="22"/>
      <c r="AX50" s="22"/>
      <c r="AY50" s="22"/>
      <c r="AZ50" s="22"/>
      <c r="BA50" s="22"/>
      <c r="BB50" s="22"/>
      <c r="BC50" s="22"/>
      <c r="BD50" s="22"/>
      <c r="BE50"/>
      <c r="BF50"/>
      <c r="BG50"/>
      <c r="BH50"/>
      <c r="BI50" s="34"/>
      <c r="BJ50" s="22"/>
    </row>
    <row r="51" spans="1:68" ht="15" thickBot="1">
      <c r="A51" s="199" t="s">
        <v>384</v>
      </c>
      <c r="B51" s="33"/>
      <c r="C51" s="22"/>
      <c r="D51" s="22"/>
      <c r="E51" s="22"/>
      <c r="F51" s="22"/>
      <c r="G51" s="148"/>
      <c r="H51" s="22"/>
      <c r="I51" s="22"/>
      <c r="J51" s="22"/>
      <c r="K51" s="22"/>
      <c r="L51" s="22"/>
      <c r="M51" s="22"/>
      <c r="N51" s="148"/>
      <c r="O51" s="22"/>
      <c r="P51" s="22"/>
      <c r="Q51" s="22"/>
      <c r="R51" s="148"/>
      <c r="S51"/>
      <c r="T51"/>
      <c r="U51" s="321" t="s">
        <v>180</v>
      </c>
      <c r="V51" s="321" t="s">
        <v>181</v>
      </c>
      <c r="W51" s="465" t="s">
        <v>311</v>
      </c>
      <c r="X51" s="465" t="s">
        <v>353</v>
      </c>
      <c r="Y51" s="321" t="s">
        <v>185</v>
      </c>
      <c r="AQ51" s="183"/>
      <c r="AR51" s="183"/>
      <c r="AS51" s="183"/>
      <c r="AT51" s="183"/>
      <c r="AU51" s="183"/>
      <c r="AV51" s="183"/>
      <c r="AW51" s="183"/>
      <c r="AX51" s="183"/>
      <c r="AY51" s="183"/>
      <c r="AZ51" s="183"/>
      <c r="BA51" s="183"/>
      <c r="BB51" s="183"/>
      <c r="BC51" s="183"/>
      <c r="BD51" s="183"/>
      <c r="BE51"/>
      <c r="BF51"/>
      <c r="BG51"/>
      <c r="BH51"/>
      <c r="BI51" s="37"/>
      <c r="BJ51" s="183"/>
      <c r="BL51" s="477" t="e">
        <f>#REF!</f>
        <v>#REF!</v>
      </c>
      <c r="BM51" s="477" t="e">
        <f>#REF!</f>
        <v>#REF!</v>
      </c>
      <c r="BN51" s="477" t="e">
        <f>#REF!</f>
        <v>#REF!</v>
      </c>
      <c r="BO51" s="477" t="e">
        <f>#REF!</f>
        <v>#REF!</v>
      </c>
      <c r="BP51" s="477" t="e">
        <f>#REF!</f>
        <v>#REF!</v>
      </c>
    </row>
    <row r="52" spans="1:68" ht="16.5" thickBot="1">
      <c r="A52" s="198" t="e">
        <f>IF(COUNT(U52:Y52)=0,BL51,IF(MIN(U52:Y52)=0,"B","A"))</f>
        <v>#REF!</v>
      </c>
      <c r="B52" s="33"/>
      <c r="C52" s="53" t="s">
        <v>143</v>
      </c>
      <c r="D52" s="54" t="str">
        <f>Questions!C360</f>
        <v>Customer care / customer satisfaction / service</v>
      </c>
      <c r="E52" s="22"/>
      <c r="F52" s="22"/>
      <c r="G52" s="22"/>
      <c r="H52" s="22"/>
      <c r="I52" s="22"/>
      <c r="J52" s="22"/>
      <c r="K52" s="22"/>
      <c r="L52" s="22"/>
      <c r="M52" s="22"/>
      <c r="N52" s="22"/>
      <c r="O52" s="25"/>
      <c r="P52" s="22"/>
      <c r="Q52" s="22"/>
      <c r="R52" s="22"/>
      <c r="S52"/>
      <c r="T52"/>
      <c r="U52" s="189" t="e">
        <f>IF($A$53=FALSE,$BL$51,IF(ISBLANK(Questions!D$361),"--",Questions!D$361))</f>
        <v>#REF!</v>
      </c>
      <c r="V52" s="189" t="e">
        <f>IF($A$53=FALSE,$BL$51,IF(ISBLANK(Questions!D$362),"--",Questions!D$362))</f>
        <v>#REF!</v>
      </c>
      <c r="W52" s="470" t="e">
        <f>IF($A$53=FALSE,$BL$51,IF(ISBLANK(Questions!D$363),"--",Questions!D$363))</f>
        <v>#REF!</v>
      </c>
      <c r="X52" s="470" t="e">
        <f>IF($A$53=FALSE,$BL$51,IF(ISBLANK(Questions!D$364),"--",Questions!D$364))</f>
        <v>#REF!</v>
      </c>
      <c r="Y52" s="189" t="e">
        <f>IF($A$53=FALSE,$BL$51,IF(ISBLANK(Questions!D$365),"--",Questions!D$365))</f>
        <v>#REF!</v>
      </c>
      <c r="AR52" s="166" t="s">
        <v>726</v>
      </c>
      <c r="AS52" s="1195" t="e">
        <f>IF(A53=FALSE,BL51,IF(BM52&gt;=BN52,ROUND(BP52/BO52,2),$BL$35))</f>
        <v>#REF!</v>
      </c>
      <c r="AT52" s="1196"/>
      <c r="AU52"/>
      <c r="AV52" s="153"/>
      <c r="AW52" s="153"/>
      <c r="AX52" s="153"/>
      <c r="AY52" s="153"/>
      <c r="AZ52" s="153"/>
      <c r="BA52" s="153"/>
      <c r="BB52" s="153"/>
      <c r="BC52" s="153"/>
      <c r="BD52" s="153"/>
      <c r="BE52"/>
      <c r="BF52"/>
      <c r="BG52"/>
      <c r="BH52"/>
      <c r="BI52" s="34"/>
      <c r="BJ52" s="22"/>
      <c r="BL52" s="575">
        <f>COUNTIF(U52:Y52,"&gt;-")</f>
        <v>0</v>
      </c>
      <c r="BM52" s="575">
        <f>COUNT(U52:Y52)</f>
        <v>0</v>
      </c>
      <c r="BN52" s="575">
        <v>4</v>
      </c>
      <c r="BO52" s="575" t="e">
        <f>IF(AND($A53,BM52&gt;=BN52),BM52*10,"--")</f>
        <v>#REF!</v>
      </c>
      <c r="BP52" s="575" t="e">
        <f>IF(AND($A53,BM52&gt;=BN52),SUM(U52:Y52),"--")</f>
        <v>#REF!</v>
      </c>
    </row>
    <row r="53" spans="1:68">
      <c r="A53" s="757" t="e">
        <f>#REF!</f>
        <v>#REF!</v>
      </c>
      <c r="B53" s="472"/>
      <c r="C53" s="225"/>
      <c r="D53" s="359"/>
      <c r="E53" s="359"/>
      <c r="F53" s="359"/>
      <c r="G53" s="359"/>
      <c r="H53" s="359"/>
      <c r="I53" s="22"/>
      <c r="J53"/>
      <c r="K53"/>
      <c r="L53"/>
      <c r="M53"/>
      <c r="N53"/>
      <c r="O53"/>
      <c r="P53"/>
      <c r="Q53"/>
      <c r="R53"/>
      <c r="S53" s="22"/>
      <c r="T53" s="22"/>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s="36"/>
      <c r="BJ53"/>
    </row>
    <row r="54" spans="1:68">
      <c r="B54" s="982"/>
      <c r="C54" s="983"/>
      <c r="D54" s="983"/>
      <c r="E54" s="983"/>
      <c r="F54" s="983"/>
      <c r="G54" s="983"/>
      <c r="H54" s="983"/>
      <c r="I54" s="983"/>
      <c r="J54" s="983"/>
      <c r="K54" s="983"/>
      <c r="L54" s="983"/>
      <c r="M54" s="983"/>
      <c r="N54" s="983"/>
      <c r="O54" s="983"/>
      <c r="P54" s="983"/>
      <c r="Q54" s="983"/>
      <c r="R54" s="983"/>
      <c r="S54" s="983"/>
      <c r="T54" s="983"/>
      <c r="U54" s="983"/>
      <c r="V54" s="983"/>
      <c r="W54" s="983"/>
      <c r="X54" s="983"/>
      <c r="Y54" s="983"/>
      <c r="Z54" s="983"/>
      <c r="AA54" s="983"/>
      <c r="AB54" s="983"/>
      <c r="AC54" s="983"/>
      <c r="AD54" s="983"/>
      <c r="AE54" s="983"/>
      <c r="AF54" s="983"/>
      <c r="AG54" s="983"/>
      <c r="AH54" s="983"/>
      <c r="AI54" s="983"/>
      <c r="AJ54" s="983"/>
      <c r="AK54" s="983"/>
      <c r="AL54" s="983"/>
      <c r="AM54" s="983"/>
      <c r="AN54" s="983"/>
      <c r="AO54" s="983"/>
      <c r="AP54" s="983"/>
      <c r="AQ54" s="983"/>
      <c r="AR54" s="983"/>
      <c r="AS54" s="983"/>
      <c r="AT54" s="983"/>
      <c r="AU54" s="983"/>
      <c r="AV54" s="983"/>
      <c r="AW54" s="983"/>
      <c r="AX54" s="983"/>
      <c r="AY54" s="983"/>
      <c r="AZ54" s="983"/>
      <c r="BA54" s="983"/>
      <c r="BB54" s="983"/>
      <c r="BC54" s="983"/>
      <c r="BD54" s="983"/>
      <c r="BE54" s="983"/>
      <c r="BF54" s="983"/>
      <c r="BG54" s="983"/>
      <c r="BH54" s="983"/>
      <c r="BI54" s="984"/>
      <c r="BJ54" s="22"/>
    </row>
    <row r="55" spans="1:68">
      <c r="A55" s="199"/>
      <c r="B55" s="33"/>
      <c r="C55" s="421"/>
      <c r="D55" s="422"/>
      <c r="E55" s="422"/>
      <c r="F55" s="422"/>
      <c r="G55" s="422"/>
      <c r="H55" s="422"/>
      <c r="I55" s="422"/>
      <c r="J55" s="422"/>
      <c r="K55" s="422"/>
      <c r="L55" s="422"/>
      <c r="M55" s="422"/>
      <c r="N55" s="422"/>
      <c r="O55" s="422"/>
      <c r="P55" s="422"/>
      <c r="Q55" s="422"/>
      <c r="R55" s="422"/>
      <c r="S55" s="422"/>
      <c r="T55" s="422"/>
      <c r="U55" s="422"/>
      <c r="V55" s="422"/>
      <c r="W55" s="422"/>
      <c r="X55" s="422"/>
      <c r="Y55" s="422"/>
      <c r="Z55" s="422"/>
      <c r="AA55" s="422"/>
      <c r="AB55" s="422"/>
      <c r="AC55" s="422"/>
      <c r="AD55" s="422"/>
      <c r="AE55" s="422"/>
      <c r="AF55" s="422"/>
      <c r="AG55" s="422"/>
      <c r="AH55" s="422"/>
      <c r="AI55" s="423"/>
      <c r="AJ55" s="423"/>
      <c r="AK55" s="423"/>
      <c r="AL55" s="423"/>
      <c r="AM55" s="423"/>
      <c r="AN55" s="423"/>
      <c r="AO55" s="423"/>
      <c r="AP55" s="423"/>
      <c r="AQ55" s="423"/>
      <c r="AR55" s="423"/>
      <c r="AS55" s="423"/>
      <c r="AT55" s="423"/>
      <c r="AU55" s="423"/>
      <c r="AV55" s="423"/>
      <c r="AW55" s="423"/>
      <c r="AX55" s="423"/>
      <c r="AY55" s="423"/>
      <c r="AZ55" s="423"/>
      <c r="BA55" s="423"/>
      <c r="BB55" s="423"/>
      <c r="BC55" s="423"/>
      <c r="BD55" s="423"/>
      <c r="BE55" s="423"/>
      <c r="BF55" s="423"/>
      <c r="BG55" s="423"/>
      <c r="BH55" s="423"/>
      <c r="BI55" s="424"/>
      <c r="BJ55" s="423"/>
    </row>
    <row r="56" spans="1:68">
      <c r="B56" s="33"/>
      <c r="C56" s="422"/>
      <c r="D56" s="422"/>
      <c r="E56" s="422"/>
      <c r="F56" s="422"/>
      <c r="G56" s="422"/>
      <c r="H56" s="422"/>
      <c r="I56" s="422"/>
      <c r="J56" s="422"/>
      <c r="K56" s="422"/>
      <c r="L56" s="422"/>
      <c r="M56" s="422"/>
      <c r="N56" s="422"/>
      <c r="O56" s="422"/>
      <c r="P56" s="422"/>
      <c r="Q56" s="422"/>
      <c r="R56" s="422"/>
      <c r="S56" s="422"/>
      <c r="T56" s="422"/>
      <c r="U56" s="422"/>
      <c r="V56" s="422"/>
      <c r="W56" s="422"/>
      <c r="X56" s="422"/>
      <c r="Y56" s="422"/>
      <c r="Z56" s="422"/>
      <c r="AA56" s="422"/>
      <c r="AB56" s="422"/>
      <c r="AC56" s="422"/>
      <c r="AD56" s="422"/>
      <c r="AE56" s="422"/>
      <c r="AF56" s="422"/>
      <c r="AG56" s="422"/>
      <c r="AH56" s="422"/>
      <c r="AI56" s="423"/>
      <c r="AJ56" s="423"/>
      <c r="AK56" s="423"/>
      <c r="AL56" s="423"/>
      <c r="AM56" s="423"/>
      <c r="AN56" s="423"/>
      <c r="AO56" s="423"/>
      <c r="AP56" s="423"/>
      <c r="AQ56" s="423"/>
      <c r="AR56" s="423"/>
      <c r="AS56" s="423"/>
      <c r="AT56" s="423"/>
      <c r="AU56" s="423"/>
      <c r="AV56" s="423"/>
      <c r="BE56" s="423"/>
      <c r="BF56" s="423"/>
      <c r="BG56" s="423"/>
      <c r="BH56" s="423"/>
      <c r="BI56" s="424"/>
      <c r="BJ56" s="423"/>
    </row>
    <row r="57" spans="1:68" s="183" customFormat="1" ht="18">
      <c r="A57" s="197"/>
      <c r="B57" s="425"/>
      <c r="D57" s="426" t="e">
        <f>#REF!</f>
        <v>#REF!</v>
      </c>
      <c r="E57" s="427"/>
      <c r="F57" s="427"/>
      <c r="H57" s="427"/>
      <c r="I57" s="428"/>
      <c r="J57" s="428"/>
      <c r="K57" s="428"/>
      <c r="L57" s="428"/>
      <c r="M57" s="1202"/>
      <c r="N57" s="1202"/>
      <c r="O57" s="1202"/>
      <c r="P57" s="1202"/>
      <c r="Q57" s="428"/>
      <c r="R57" s="428"/>
      <c r="S57" s="428"/>
      <c r="T57"/>
      <c r="U57"/>
      <c r="V57"/>
      <c r="W57"/>
      <c r="X57"/>
      <c r="Y57"/>
      <c r="Z57"/>
      <c r="AA57"/>
      <c r="AB57"/>
      <c r="AC57"/>
      <c r="AD57"/>
      <c r="AE57"/>
      <c r="AF57"/>
      <c r="AG57" s="422"/>
      <c r="AH57" s="422"/>
      <c r="AI57" s="429"/>
      <c r="AJ57" s="429"/>
      <c r="AK57" s="429"/>
      <c r="AL57" s="429"/>
      <c r="AM57" s="429"/>
      <c r="AN57" s="1223">
        <f>'Input Form'!F34</f>
        <v>0</v>
      </c>
      <c r="AO57" s="1223"/>
      <c r="AP57" s="1223"/>
      <c r="AQ57" s="1223"/>
      <c r="AR57" s="1223"/>
      <c r="AS57" s="1223"/>
      <c r="AT57" s="1223"/>
      <c r="AU57" s="430" t="e">
        <f>#REF!</f>
        <v>#REF!</v>
      </c>
      <c r="AV57" s="431"/>
      <c r="AW57" s="432"/>
      <c r="AX57" s="432"/>
      <c r="AY57" s="432"/>
      <c r="AZ57" s="432"/>
      <c r="BA57" s="432"/>
      <c r="BB57" s="432"/>
      <c r="BC57" s="432"/>
      <c r="BD57" s="432"/>
      <c r="BE57" s="423"/>
      <c r="BF57" s="423"/>
      <c r="BG57" s="423"/>
      <c r="BH57" s="423"/>
      <c r="BI57" s="433"/>
      <c r="BJ57" s="434"/>
    </row>
    <row r="58" spans="1:68" ht="16.5" thickBot="1">
      <c r="B58" s="33"/>
      <c r="C58" s="422"/>
      <c r="D58" s="1203"/>
      <c r="E58" s="1203"/>
      <c r="F58" s="1203"/>
      <c r="G58" s="1203"/>
      <c r="H58" s="1203"/>
      <c r="I58" s="1204"/>
      <c r="J58" s="1204"/>
      <c r="K58" s="1204"/>
      <c r="L58" s="1204"/>
      <c r="M58" s="1204"/>
      <c r="N58" s="1204"/>
      <c r="O58" s="1204"/>
      <c r="P58" s="1204"/>
      <c r="Q58" s="550"/>
      <c r="R58" s="550"/>
      <c r="S58" s="550"/>
      <c r="T58"/>
      <c r="U58"/>
      <c r="V58"/>
      <c r="W58"/>
      <c r="X58"/>
      <c r="Y58"/>
      <c r="Z58"/>
      <c r="AA58"/>
      <c r="AB58"/>
      <c r="AC58"/>
      <c r="AD58"/>
      <c r="AE58"/>
      <c r="AF58"/>
      <c r="AG58" s="422"/>
      <c r="AH58" s="422"/>
      <c r="AI58" s="429"/>
      <c r="AJ58" s="429"/>
      <c r="AK58" s="429"/>
      <c r="AL58" s="429"/>
      <c r="AM58" s="429"/>
      <c r="AN58" s="429"/>
      <c r="AO58" s="429"/>
      <c r="AP58" s="429"/>
      <c r="AQ58" s="429"/>
      <c r="AR58" s="429"/>
      <c r="AS58" s="429"/>
      <c r="AT58" s="429"/>
      <c r="AW58" s="432"/>
      <c r="AX58" s="432"/>
      <c r="AY58" s="432"/>
      <c r="AZ58" s="432"/>
      <c r="BA58" s="432"/>
      <c r="BB58" s="432"/>
      <c r="BC58" s="432"/>
      <c r="BD58" s="432"/>
      <c r="BE58" s="423"/>
      <c r="BF58" s="423"/>
      <c r="BG58" s="423"/>
      <c r="BH58" s="423"/>
      <c r="BI58" s="424"/>
      <c r="BJ58" s="423"/>
    </row>
    <row r="59" spans="1:68" ht="15.75">
      <c r="B59" s="33"/>
      <c r="D59" s="435" t="e">
        <f>+IF(K149="n.b.","n.b.",+IF(K149&lt;80%,"C",+IF(K149&lt;90%,"B","A")))</f>
        <v>#REF!</v>
      </c>
      <c r="E59" s="436" t="e">
        <f>#REF!</f>
        <v>#REF!</v>
      </c>
      <c r="F59" s="437"/>
      <c r="G59" s="437"/>
      <c r="H59" s="437"/>
      <c r="I59" s="437"/>
      <c r="J59" s="437"/>
      <c r="K59" s="437"/>
      <c r="L59" s="437"/>
      <c r="M59" s="438"/>
      <c r="N59" s="438"/>
      <c r="O59" s="439"/>
      <c r="P59" s="439"/>
      <c r="Q59" s="439"/>
      <c r="R59" s="440"/>
      <c r="T59"/>
      <c r="U59"/>
      <c r="V59"/>
      <c r="W59"/>
      <c r="X59"/>
      <c r="Y59"/>
      <c r="Z59"/>
      <c r="AA59"/>
      <c r="AB59"/>
      <c r="AC59"/>
      <c r="AD59"/>
      <c r="AE59"/>
      <c r="AF59"/>
      <c r="AG59" s="422"/>
      <c r="AH59" s="422"/>
      <c r="AI59" s="429"/>
      <c r="AJ59" s="429"/>
      <c r="AK59" s="429"/>
      <c r="AL59" s="429"/>
      <c r="AM59" s="429"/>
      <c r="AN59" s="429"/>
      <c r="AO59" s="429"/>
      <c r="AP59" s="429"/>
      <c r="AQ59" s="429"/>
      <c r="AR59" s="429"/>
      <c r="AS59" s="429"/>
      <c r="AT59" s="429"/>
      <c r="AU59" s="423"/>
      <c r="AV59" s="423"/>
      <c r="AW59" s="432"/>
      <c r="AX59" s="432"/>
      <c r="AY59" s="432"/>
      <c r="AZ59" s="432"/>
      <c r="BA59" s="432"/>
      <c r="BB59" s="432"/>
      <c r="BC59" s="432"/>
      <c r="BD59" s="432"/>
      <c r="BE59" s="423"/>
      <c r="BF59" s="423"/>
      <c r="BG59" s="423"/>
      <c r="BH59" s="423"/>
      <c r="BI59" s="424"/>
      <c r="BJ59" s="423"/>
    </row>
    <row r="60" spans="1:68" ht="18">
      <c r="B60" s="33"/>
      <c r="D60" s="441" t="str">
        <f>+E146</f>
        <v>A</v>
      </c>
      <c r="E60" s="442" t="e">
        <f>#REF!</f>
        <v>#REF!</v>
      </c>
      <c r="F60" s="443"/>
      <c r="G60" s="443"/>
      <c r="H60" s="443"/>
      <c r="I60" s="443"/>
      <c r="J60" s="443"/>
      <c r="K60" s="443"/>
      <c r="L60" s="443"/>
      <c r="M60" s="218"/>
      <c r="N60" s="218"/>
      <c r="O60" s="444"/>
      <c r="P60" s="444"/>
      <c r="Q60" s="444"/>
      <c r="R60" s="445"/>
      <c r="T60"/>
      <c r="U60"/>
      <c r="V60"/>
      <c r="W60"/>
      <c r="X60"/>
      <c r="Y60"/>
      <c r="Z60"/>
      <c r="AA60"/>
      <c r="AB60"/>
      <c r="AC60"/>
      <c r="AD60"/>
      <c r="AE60"/>
      <c r="AF60"/>
      <c r="AG60" s="422"/>
      <c r="AH60" s="422"/>
      <c r="AI60" s="211"/>
      <c r="AJ60" s="211"/>
      <c r="AK60" s="211"/>
      <c r="AL60" s="211"/>
      <c r="AM60" s="422"/>
      <c r="AN60" s="422"/>
      <c r="AO60" s="422"/>
      <c r="AP60" s="422"/>
      <c r="AS60" s="430"/>
      <c r="AT60" s="430"/>
      <c r="AU60" s="430"/>
      <c r="AV60" s="430"/>
      <c r="AW60" s="430"/>
      <c r="AX60" s="430"/>
      <c r="AY60" s="430"/>
      <c r="AZ60" s="430"/>
      <c r="BA60" s="430"/>
      <c r="BB60" s="430"/>
      <c r="BC60" s="430"/>
      <c r="BD60" s="423"/>
      <c r="BE60" s="446"/>
      <c r="BF60" s="423"/>
      <c r="BG60" s="423"/>
      <c r="BH60" s="423"/>
      <c r="BI60" s="424"/>
      <c r="BJ60" s="423"/>
    </row>
    <row r="61" spans="1:68" ht="16.5" thickBot="1">
      <c r="B61" s="33"/>
      <c r="D61" s="447" t="str">
        <f>IF(COUNTIF(A8:A52,BL51)=16,BL51,+IF(COUNTIF((A8:A52),"C")&gt;=1,"C",+IF(+COUNTIF((A8:A52),"B")&gt;=1,"B","A")))</f>
        <v>A</v>
      </c>
      <c r="E61" s="442" t="e">
        <f>#REF!</f>
        <v>#REF!</v>
      </c>
      <c r="F61" s="443"/>
      <c r="G61" s="443"/>
      <c r="H61" s="443"/>
      <c r="I61" s="443"/>
      <c r="J61" s="443"/>
      <c r="K61" s="443"/>
      <c r="L61" s="443"/>
      <c r="M61" s="218"/>
      <c r="N61" s="218"/>
      <c r="O61" s="444"/>
      <c r="P61" s="444"/>
      <c r="Q61" s="444"/>
      <c r="R61" s="445"/>
      <c r="T61"/>
      <c r="U61"/>
      <c r="V61"/>
      <c r="W61"/>
      <c r="X61"/>
      <c r="Y61"/>
      <c r="Z61"/>
      <c r="AA61"/>
      <c r="AB61"/>
      <c r="AC61"/>
      <c r="AD61"/>
      <c r="AE61"/>
      <c r="AF61"/>
      <c r="AG61" s="422"/>
      <c r="AH61" s="422"/>
      <c r="AI61" s="448"/>
      <c r="AJ61" s="448"/>
      <c r="AK61" s="448"/>
      <c r="AL61" s="1221" t="e">
        <f>#REF!</f>
        <v>#REF!</v>
      </c>
      <c r="AM61" s="1221" t="e">
        <f>#REF!</f>
        <v>#REF!</v>
      </c>
      <c r="AN61" s="1221" t="e">
        <f>#REF!</f>
        <v>#REF!</v>
      </c>
      <c r="AO61" s="1221" t="e">
        <f>#REF!</f>
        <v>#REF!</v>
      </c>
      <c r="AP61" s="1221" t="e">
        <f>#REF!</f>
        <v>#REF!</v>
      </c>
      <c r="AQ61" s="1221" t="e">
        <f>#REF!</f>
        <v>#REF!</v>
      </c>
      <c r="AR61" s="1221" t="e">
        <f>#REF!</f>
        <v>#REF!</v>
      </c>
      <c r="AS61" s="1221" t="e">
        <f>#REF!</f>
        <v>#REF!</v>
      </c>
      <c r="AT61" s="1221" t="e">
        <f>#REF!</f>
        <v>#REF!</v>
      </c>
      <c r="AU61" s="1221" t="e">
        <f>#REF!</f>
        <v>#REF!</v>
      </c>
      <c r="AV61" s="1221" t="e">
        <f>#REF!</f>
        <v>#REF!</v>
      </c>
      <c r="AW61" s="1221" t="e">
        <f>#REF!</f>
        <v>#REF!</v>
      </c>
      <c r="AX61" s="1221" t="e">
        <f>#REF!</f>
        <v>#REF!</v>
      </c>
      <c r="AY61" s="1222" t="e">
        <f>SUM(BP8,CB14,CB22,BP29,BP45,BP52)</f>
        <v>#REF!</v>
      </c>
      <c r="AZ61" s="1222"/>
      <c r="BA61" s="565"/>
      <c r="BB61" s="1205" t="s">
        <v>439</v>
      </c>
      <c r="BC61" s="1205"/>
      <c r="BD61" s="1205"/>
      <c r="BE61" s="1205" t="e">
        <f>#REF!</f>
        <v>#REF!</v>
      </c>
      <c r="BF61" s="1205" t="e">
        <f>#REF!</f>
        <v>#REF!</v>
      </c>
      <c r="BG61" s="449"/>
      <c r="BH61" s="423"/>
      <c r="BI61" s="424"/>
      <c r="BJ61" s="423"/>
    </row>
    <row r="62" spans="1:68" ht="15.75">
      <c r="B62" s="33"/>
      <c r="D62" s="441" t="e">
        <f>+AD152</f>
        <v>#REF!</v>
      </c>
      <c r="E62" s="442" t="e">
        <f>#REF!</f>
        <v>#REF!</v>
      </c>
      <c r="F62" s="443"/>
      <c r="G62" s="443"/>
      <c r="H62" s="443"/>
      <c r="I62" s="443"/>
      <c r="J62" s="443"/>
      <c r="K62" s="443"/>
      <c r="L62" s="443"/>
      <c r="M62" s="218"/>
      <c r="N62" s="218"/>
      <c r="O62" s="444"/>
      <c r="P62" s="444"/>
      <c r="Q62" s="444"/>
      <c r="R62" s="445"/>
      <c r="T62"/>
      <c r="U62"/>
      <c r="V62"/>
      <c r="W62"/>
      <c r="X62"/>
      <c r="Y62"/>
      <c r="Z62"/>
      <c r="AA62"/>
      <c r="AB62"/>
      <c r="AC62"/>
      <c r="AD62"/>
      <c r="AE62"/>
      <c r="AF62"/>
      <c r="AG62" s="422"/>
      <c r="AH62" s="422"/>
      <c r="AI62" s="448"/>
      <c r="AJ62" s="448"/>
      <c r="AK62" s="448"/>
      <c r="AL62" s="1221" t="e">
        <f>#REF!</f>
        <v>#REF!</v>
      </c>
      <c r="AM62" s="1221" t="e">
        <f>#REF!</f>
        <v>#REF!</v>
      </c>
      <c r="AN62" s="1221" t="e">
        <f>#REF!</f>
        <v>#REF!</v>
      </c>
      <c r="AO62" s="1221" t="e">
        <f>#REF!</f>
        <v>#REF!</v>
      </c>
      <c r="AP62" s="1221" t="e">
        <f>#REF!</f>
        <v>#REF!</v>
      </c>
      <c r="AQ62" s="1221" t="e">
        <f>#REF!</f>
        <v>#REF!</v>
      </c>
      <c r="AR62" s="1221" t="e">
        <f>#REF!</f>
        <v>#REF!</v>
      </c>
      <c r="AS62" s="1221" t="e">
        <f>#REF!</f>
        <v>#REF!</v>
      </c>
      <c r="AT62" s="1221" t="e">
        <f>#REF!</f>
        <v>#REF!</v>
      </c>
      <c r="AU62" s="1221" t="e">
        <f>#REF!</f>
        <v>#REF!</v>
      </c>
      <c r="AV62" s="1221" t="e">
        <f>#REF!</f>
        <v>#REF!</v>
      </c>
      <c r="AW62" s="1221" t="e">
        <f>#REF!</f>
        <v>#REF!</v>
      </c>
      <c r="AX62" s="1221" t="e">
        <f>#REF!</f>
        <v>#REF!</v>
      </c>
      <c r="AY62" s="1222"/>
      <c r="AZ62" s="1222"/>
      <c r="BA62" s="565"/>
      <c r="BB62" s="1206" t="e">
        <f>IF(OR(AN57=0,ISERROR(AVERAGE(epm,epp,epr,ez,epg,ek))),$BL$35,ROUND(AY61/AY64,2))</f>
        <v>#REF!</v>
      </c>
      <c r="BC62" s="1207"/>
      <c r="BD62" s="1208"/>
      <c r="BE62" s="1215" t="e">
        <f>+IF(BB62=$BL$35,$BL$35,+D65)</f>
        <v>#REF!</v>
      </c>
      <c r="BF62" s="1216"/>
      <c r="BG62" s="449"/>
      <c r="BI62" s="424"/>
      <c r="BJ62" s="423"/>
    </row>
    <row r="63" spans="1:68" ht="30">
      <c r="B63" s="33"/>
      <c r="D63" s="441" t="e">
        <f>+AD167</f>
        <v>#REF!</v>
      </c>
      <c r="E63" s="442" t="e">
        <f>#REF!</f>
        <v>#REF!</v>
      </c>
      <c r="F63" s="443"/>
      <c r="G63" s="443"/>
      <c r="H63" s="443"/>
      <c r="I63" s="443"/>
      <c r="J63" s="443"/>
      <c r="K63" s="443"/>
      <c r="L63" s="443"/>
      <c r="M63" s="218"/>
      <c r="N63" s="218"/>
      <c r="O63" s="444"/>
      <c r="P63" s="444"/>
      <c r="Q63" s="444"/>
      <c r="R63" s="445"/>
      <c r="T63"/>
      <c r="U63"/>
      <c r="V63"/>
      <c r="W63"/>
      <c r="X63"/>
      <c r="Y63"/>
      <c r="Z63"/>
      <c r="AA63"/>
      <c r="AB63"/>
      <c r="AC63"/>
      <c r="AD63"/>
      <c r="AE63"/>
      <c r="AF63"/>
      <c r="AG63" s="422"/>
      <c r="AH63" s="422"/>
      <c r="AI63" s="448"/>
      <c r="AJ63" s="448"/>
      <c r="AK63" s="448"/>
      <c r="AL63" s="355" t="s">
        <v>443</v>
      </c>
      <c r="AM63" s="355"/>
      <c r="AN63" s="355"/>
      <c r="AO63" s="355"/>
      <c r="AP63" s="355"/>
      <c r="AQ63" s="355"/>
      <c r="AR63" s="355"/>
      <c r="AS63" s="355"/>
      <c r="AT63" s="355"/>
      <c r="AU63" s="355"/>
      <c r="AV63" s="355"/>
      <c r="AW63" s="355"/>
      <c r="AX63" s="355"/>
      <c r="AY63" s="355"/>
      <c r="AZ63" s="355"/>
      <c r="BA63" s="355"/>
      <c r="BB63" s="1209"/>
      <c r="BC63" s="1210"/>
      <c r="BD63" s="1211"/>
      <c r="BE63" s="1217"/>
      <c r="BF63" s="1218"/>
      <c r="BG63" s="450"/>
      <c r="BH63" s="450"/>
      <c r="BI63" s="424"/>
      <c r="BJ63" s="423"/>
    </row>
    <row r="64" spans="1:68" ht="30.75" thickBot="1">
      <c r="B64" s="33"/>
      <c r="D64" s="441" t="e">
        <f>++IF(K149=$BL$35,$BL$35,+IF(MIN(epm,ede,epe,elm,ek,epg)&lt;70%,"C",+IF(MIN(epm,ede,epe,elm,ek,epg)&lt;80%,"B","A")))</f>
        <v>#REF!</v>
      </c>
      <c r="E64" s="442" t="e">
        <f>#REF!</f>
        <v>#REF!</v>
      </c>
      <c r="F64" s="443"/>
      <c r="G64" s="443"/>
      <c r="H64" s="443"/>
      <c r="I64" s="443"/>
      <c r="J64" s="443"/>
      <c r="K64" s="443"/>
      <c r="L64" s="443"/>
      <c r="M64" s="218"/>
      <c r="N64" s="218"/>
      <c r="O64" s="444"/>
      <c r="P64" s="444"/>
      <c r="Q64" s="444"/>
      <c r="R64" s="445"/>
      <c r="T64"/>
      <c r="U64"/>
      <c r="V64"/>
      <c r="W64"/>
      <c r="X64"/>
      <c r="Y64"/>
      <c r="Z64"/>
      <c r="AA64"/>
      <c r="AB64"/>
      <c r="AC64"/>
      <c r="AD64"/>
      <c r="AE64"/>
      <c r="AF64"/>
      <c r="AG64" s="422"/>
      <c r="AH64" s="422"/>
      <c r="AI64" s="448"/>
      <c r="AJ64" s="448"/>
      <c r="AK64" s="448"/>
      <c r="AL64" s="1221" t="e">
        <f>#REF!</f>
        <v>#REF!</v>
      </c>
      <c r="AM64" s="1221" t="e">
        <f>#REF!</f>
        <v>#REF!</v>
      </c>
      <c r="AN64" s="1221" t="e">
        <f>#REF!</f>
        <v>#REF!</v>
      </c>
      <c r="AO64" s="1221" t="e">
        <f>#REF!</f>
        <v>#REF!</v>
      </c>
      <c r="AP64" s="1221" t="e">
        <f>#REF!</f>
        <v>#REF!</v>
      </c>
      <c r="AQ64" s="1221" t="e">
        <f>#REF!</f>
        <v>#REF!</v>
      </c>
      <c r="AR64" s="1221" t="e">
        <f>#REF!</f>
        <v>#REF!</v>
      </c>
      <c r="AS64" s="1221" t="e">
        <f>#REF!</f>
        <v>#REF!</v>
      </c>
      <c r="AT64" s="1221" t="e">
        <f>#REF!</f>
        <v>#REF!</v>
      </c>
      <c r="AU64" s="1221" t="e">
        <f>#REF!</f>
        <v>#REF!</v>
      </c>
      <c r="AV64" s="1221" t="e">
        <f>#REF!</f>
        <v>#REF!</v>
      </c>
      <c r="AW64" s="1221" t="e">
        <f>#REF!</f>
        <v>#REF!</v>
      </c>
      <c r="AX64" s="1221" t="e">
        <f>#REF!</f>
        <v>#REF!</v>
      </c>
      <c r="AY64" s="1222" t="e">
        <f>SUM(BO8,CA14,CA22,BO29,BO45,BO52)</f>
        <v>#REF!</v>
      </c>
      <c r="AZ64" s="1222"/>
      <c r="BA64" s="565"/>
      <c r="BB64" s="1212"/>
      <c r="BC64" s="1213"/>
      <c r="BD64" s="1214"/>
      <c r="BE64" s="1219"/>
      <c r="BF64" s="1220"/>
      <c r="BG64" s="450"/>
      <c r="BI64" s="424"/>
      <c r="BJ64" s="423"/>
    </row>
    <row r="65" spans="2:62" ht="30.75" thickBot="1">
      <c r="B65" s="33"/>
      <c r="D65" s="451" t="str">
        <f>IF(COUNTIF(D59:D64,"n.b.")=6,"n.b.",IF(COUNTIF(D59:D64,"C")&gt;=1,"C",IF(COUNTIF(D59:D64,"B")&gt;=1,"B","A")))</f>
        <v>A</v>
      </c>
      <c r="E65" s="452" t="e">
        <f>#REF!</f>
        <v>#REF!</v>
      </c>
      <c r="F65" s="453"/>
      <c r="G65" s="453"/>
      <c r="H65" s="453"/>
      <c r="I65" s="453"/>
      <c r="J65" s="453"/>
      <c r="K65" s="453"/>
      <c r="L65" s="453"/>
      <c r="M65" s="454"/>
      <c r="N65" s="454"/>
      <c r="O65" s="455"/>
      <c r="P65" s="455"/>
      <c r="Q65" s="455"/>
      <c r="R65" s="456"/>
      <c r="T65"/>
      <c r="U65"/>
      <c r="V65"/>
      <c r="W65"/>
      <c r="X65"/>
      <c r="Y65"/>
      <c r="Z65"/>
      <c r="AA65"/>
      <c r="AB65"/>
      <c r="AC65"/>
      <c r="AD65"/>
      <c r="AE65"/>
      <c r="AF65"/>
      <c r="AG65" s="422"/>
      <c r="AH65" s="422"/>
      <c r="AI65" s="448"/>
      <c r="AJ65" s="448"/>
      <c r="AK65" s="448"/>
      <c r="AL65" s="1221" t="e">
        <f>#REF!</f>
        <v>#REF!</v>
      </c>
      <c r="AM65" s="1221" t="e">
        <f>#REF!</f>
        <v>#REF!</v>
      </c>
      <c r="AN65" s="1221" t="e">
        <f>#REF!</f>
        <v>#REF!</v>
      </c>
      <c r="AO65" s="1221" t="e">
        <f>#REF!</f>
        <v>#REF!</v>
      </c>
      <c r="AP65" s="1221" t="e">
        <f>#REF!</f>
        <v>#REF!</v>
      </c>
      <c r="AQ65" s="1221" t="e">
        <f>#REF!</f>
        <v>#REF!</v>
      </c>
      <c r="AR65" s="1221" t="e">
        <f>#REF!</f>
        <v>#REF!</v>
      </c>
      <c r="AS65" s="1221" t="e">
        <f>#REF!</f>
        <v>#REF!</v>
      </c>
      <c r="AT65" s="1221" t="e">
        <f>#REF!</f>
        <v>#REF!</v>
      </c>
      <c r="AU65" s="1221" t="e">
        <f>#REF!</f>
        <v>#REF!</v>
      </c>
      <c r="AV65" s="1221" t="e">
        <f>#REF!</f>
        <v>#REF!</v>
      </c>
      <c r="AW65" s="1221" t="e">
        <f>#REF!</f>
        <v>#REF!</v>
      </c>
      <c r="AX65" s="1221" t="e">
        <f>#REF!</f>
        <v>#REF!</v>
      </c>
      <c r="AY65" s="1222"/>
      <c r="AZ65" s="1222"/>
      <c r="BA65" s="565"/>
      <c r="BB65" s="355"/>
      <c r="BG65" s="450"/>
      <c r="BI65" s="424"/>
      <c r="BJ65" s="423"/>
    </row>
    <row r="66" spans="2:62" ht="19.5" customHeight="1">
      <c r="B66" s="33"/>
      <c r="C66" s="423"/>
      <c r="D66" s="444"/>
      <c r="E66" s="444"/>
      <c r="F66" s="444"/>
      <c r="G66" s="444"/>
      <c r="H66" s="444"/>
      <c r="I66" s="444"/>
      <c r="J66" s="444"/>
      <c r="K66" s="444"/>
      <c r="L66" s="444"/>
      <c r="M66" s="444"/>
      <c r="N66" s="444"/>
      <c r="O66" s="444"/>
      <c r="P66" s="444"/>
      <c r="Q66" s="444"/>
      <c r="R66" s="444"/>
      <c r="S66" s="444"/>
      <c r="T66" s="423"/>
      <c r="U66" s="422"/>
      <c r="V66" s="422"/>
      <c r="W66" s="422"/>
      <c r="X66" s="422"/>
      <c r="Y66" s="422"/>
      <c r="Z66" s="422"/>
      <c r="AA66" s="422"/>
      <c r="AB66" s="422"/>
      <c r="AC66" s="422"/>
      <c r="AD66" s="422"/>
      <c r="AE66" s="422"/>
      <c r="AF66" s="422"/>
      <c r="AG66" s="422"/>
      <c r="AH66" s="422"/>
      <c r="AI66" s="448"/>
      <c r="AJ66" s="448"/>
      <c r="AK66" s="448"/>
      <c r="AL66" s="448"/>
      <c r="AM66" s="448"/>
      <c r="AN66" s="448"/>
      <c r="AO66" s="448"/>
      <c r="AP66" s="448"/>
      <c r="AQ66" s="448"/>
      <c r="AR66" s="448"/>
      <c r="AS66" s="448"/>
      <c r="AT66" s="448"/>
      <c r="AU66" s="448"/>
      <c r="AV66" s="448"/>
      <c r="AW66" s="448"/>
      <c r="AX66" s="448"/>
      <c r="AY66" s="448"/>
      <c r="BD66" s="450"/>
      <c r="BI66" s="424"/>
      <c r="BJ66" s="423"/>
    </row>
    <row r="67" spans="2:62" ht="15" customHeight="1">
      <c r="B67" s="33"/>
      <c r="D67" s="444"/>
      <c r="E67" s="444"/>
      <c r="F67" s="444"/>
      <c r="G67" s="444"/>
      <c r="H67" s="444"/>
      <c r="I67" s="444"/>
      <c r="J67" s="444"/>
      <c r="K67" s="444"/>
      <c r="L67" s="444"/>
      <c r="M67" s="444"/>
      <c r="N67" s="444"/>
      <c r="O67" s="444"/>
      <c r="P67" s="444"/>
      <c r="Q67" s="444"/>
      <c r="R67" s="444"/>
      <c r="S67" s="444"/>
      <c r="T67" s="22"/>
      <c r="U67" s="422"/>
      <c r="W67" s="422"/>
      <c r="X67" s="422"/>
      <c r="Y67" s="422"/>
      <c r="Z67" s="422"/>
      <c r="AA67" s="422"/>
      <c r="AB67" s="422"/>
      <c r="AC67" s="422"/>
      <c r="AD67" s="422"/>
      <c r="AE67" s="422"/>
      <c r="AF67" s="422"/>
      <c r="AG67" s="422"/>
      <c r="AH67" s="422"/>
      <c r="AI67" s="1228"/>
      <c r="AJ67" s="1228"/>
      <c r="AK67" s="1228"/>
      <c r="AL67" s="1228"/>
      <c r="AM67" s="1228"/>
      <c r="AN67" s="1228"/>
      <c r="AO67" s="1228"/>
      <c r="AP67" s="1228"/>
      <c r="AQ67" s="1229"/>
      <c r="AR67" s="356"/>
      <c r="AS67" s="356"/>
      <c r="AT67" s="753"/>
      <c r="AX67" s="457"/>
      <c r="AY67" s="457"/>
      <c r="BE67" s="446"/>
      <c r="BF67" s="457"/>
      <c r="BG67" s="457"/>
      <c r="BH67" s="457"/>
      <c r="BI67" s="458"/>
      <c r="BJ67" s="22"/>
    </row>
    <row r="68" spans="2:62" ht="14.25" customHeight="1">
      <c r="B68" s="33"/>
      <c r="C68" s="22"/>
      <c r="D68" s="22"/>
      <c r="E68" s="22"/>
      <c r="F68" s="22"/>
      <c r="G68" s="22"/>
      <c r="H68" s="22"/>
      <c r="I68" s="22"/>
      <c r="J68" s="22"/>
      <c r="K68" s="22"/>
      <c r="L68" s="22"/>
      <c r="M68" s="22"/>
      <c r="N68" s="22"/>
      <c r="O68" s="149"/>
      <c r="P68" s="22"/>
      <c r="Q68" s="22"/>
      <c r="R68" s="22"/>
      <c r="S68" s="22"/>
      <c r="T68" s="22"/>
      <c r="U68" s="22"/>
      <c r="V68" s="754"/>
      <c r="W68" s="754"/>
      <c r="X68" s="754"/>
      <c r="Y68" s="446"/>
      <c r="Z68" s="174"/>
      <c r="AA68" s="174"/>
      <c r="AB68" s="22"/>
      <c r="AC68" s="22"/>
      <c r="AD68" s="22"/>
      <c r="AE68" s="459"/>
      <c r="AF68" s="434"/>
      <c r="AG68" s="755"/>
      <c r="AH68" s="434"/>
      <c r="AI68" s="175"/>
      <c r="AJ68" s="175"/>
      <c r="AK68" s="175"/>
      <c r="AL68" s="175"/>
      <c r="AM68" s="175"/>
      <c r="AN68" s="175"/>
      <c r="AO68" s="175"/>
      <c r="AP68" s="175"/>
      <c r="AQ68" s="434"/>
      <c r="AR68" s="174"/>
      <c r="AS68" s="174"/>
      <c r="AT68" s="754"/>
      <c r="AX68" s="457"/>
      <c r="AY68" s="457"/>
      <c r="BF68" s="457"/>
      <c r="BG68" s="457"/>
      <c r="BH68" s="457"/>
      <c r="BI68" s="458"/>
      <c r="BJ68" s="22"/>
    </row>
    <row r="69" spans="2:62" ht="15" customHeight="1">
      <c r="B69" s="33"/>
      <c r="C69" s="460" t="e">
        <f>#REF!</f>
        <v>#REF!</v>
      </c>
      <c r="D69" s="423"/>
      <c r="E69" s="423"/>
      <c r="F69" s="423"/>
      <c r="G69" s="423"/>
      <c r="H69" s="423"/>
      <c r="I69" s="22"/>
      <c r="J69" s="423"/>
      <c r="K69" s="423"/>
      <c r="L69" s="423"/>
      <c r="M69" s="423"/>
      <c r="N69" s="422"/>
      <c r="O69" s="461"/>
      <c r="P69" s="422"/>
      <c r="Q69" s="422"/>
      <c r="R69" s="422"/>
      <c r="S69" s="218"/>
      <c r="T69" s="218"/>
      <c r="U69" s="422"/>
      <c r="V69" s="422"/>
      <c r="X69" s="422"/>
      <c r="Y69" s="422"/>
      <c r="Z69" s="422"/>
      <c r="AA69" s="423"/>
      <c r="AB69" s="423"/>
      <c r="AC69" s="423"/>
      <c r="AD69" s="423"/>
      <c r="AG69" s="23" t="e">
        <f>#REF!</f>
        <v>#REF!</v>
      </c>
      <c r="AX69" s="457"/>
      <c r="AY69" s="457"/>
      <c r="AZ69" s="457"/>
      <c r="BA69" s="457"/>
      <c r="BB69" s="457"/>
      <c r="BC69" s="457"/>
      <c r="BD69" s="457"/>
      <c r="BE69" s="457"/>
      <c r="BF69" s="457"/>
      <c r="BG69" s="457"/>
      <c r="BH69" s="457"/>
      <c r="BI69" s="424"/>
      <c r="BJ69" s="423"/>
    </row>
    <row r="70" spans="2:62" ht="7.15" customHeight="1" thickBot="1">
      <c r="B70" s="79"/>
      <c r="C70" s="462"/>
      <c r="D70" s="463"/>
      <c r="E70" s="463"/>
      <c r="F70" s="463"/>
      <c r="G70" s="463"/>
      <c r="H70" s="463"/>
      <c r="I70" s="463"/>
      <c r="J70" s="463"/>
      <c r="K70" s="463"/>
      <c r="L70" s="463"/>
      <c r="M70" s="463"/>
      <c r="N70" s="463"/>
      <c r="O70" s="463"/>
      <c r="P70" s="463"/>
      <c r="Q70" s="463"/>
      <c r="R70" s="463"/>
      <c r="S70" s="463"/>
      <c r="T70" s="463"/>
      <c r="U70" s="463"/>
      <c r="V70" s="463"/>
      <c r="W70" s="463"/>
      <c r="X70" s="463"/>
      <c r="Y70" s="463"/>
      <c r="Z70" s="463"/>
      <c r="AA70" s="463"/>
      <c r="AB70" s="463"/>
      <c r="AC70" s="463"/>
      <c r="AD70" s="463"/>
      <c r="AE70" s="463"/>
      <c r="AF70" s="463"/>
      <c r="AG70" s="463"/>
      <c r="AH70" s="463"/>
      <c r="AI70" s="463"/>
      <c r="AJ70" s="463"/>
      <c r="AK70" s="463"/>
      <c r="AL70" s="463"/>
      <c r="AM70" s="463"/>
      <c r="AN70" s="463"/>
      <c r="AO70" s="463"/>
      <c r="AP70" s="463"/>
      <c r="AQ70" s="463"/>
      <c r="AR70" s="463"/>
      <c r="AS70" s="463"/>
      <c r="AT70" s="463"/>
      <c r="AU70" s="463"/>
      <c r="AV70" s="463"/>
      <c r="AW70" s="463"/>
      <c r="AX70" s="463"/>
      <c r="AY70" s="463"/>
      <c r="AZ70" s="463"/>
      <c r="BA70" s="463"/>
      <c r="BB70" s="463"/>
      <c r="BC70" s="463"/>
      <c r="BD70" s="463"/>
      <c r="BE70" s="463"/>
      <c r="BF70" s="463"/>
      <c r="BG70" s="463"/>
      <c r="BH70" s="463"/>
      <c r="BI70" s="464"/>
      <c r="BJ70" s="423"/>
    </row>
    <row r="71" spans="2:62" ht="10.5" customHeight="1">
      <c r="C71" s="176"/>
      <c r="D71" s="177"/>
      <c r="E71" s="177"/>
      <c r="F71" s="177"/>
      <c r="G71" s="177"/>
      <c r="H71" s="177"/>
      <c r="I71" s="177"/>
      <c r="J71" s="177"/>
      <c r="K71" s="177"/>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row>
    <row r="72" spans="2:62" ht="21" customHeight="1">
      <c r="T72" s="237"/>
      <c r="U72" s="237"/>
      <c r="V72" s="237"/>
      <c r="W72" s="237"/>
      <c r="X72" s="237"/>
      <c r="Y72" s="237"/>
      <c r="Z72" s="237"/>
      <c r="AA72" s="237"/>
      <c r="AB72" s="237"/>
      <c r="AC72" s="237"/>
      <c r="AD72" s="237"/>
      <c r="AE72" s="237"/>
      <c r="AF72" s="237"/>
      <c r="AG72" s="237"/>
      <c r="AH72" s="237"/>
      <c r="AI72" s="237"/>
      <c r="AJ72" s="237"/>
      <c r="AK72" s="237"/>
      <c r="AL72" s="237"/>
      <c r="AM72" s="237"/>
      <c r="AN72" s="237"/>
      <c r="AO72" s="237"/>
      <c r="AP72" s="237"/>
      <c r="AQ72" s="237"/>
      <c r="AR72" s="237"/>
      <c r="AS72" s="237"/>
      <c r="AT72" s="237"/>
      <c r="AU72" s="237"/>
      <c r="AV72" s="237"/>
      <c r="AW72" s="1226"/>
      <c r="AX72" s="1226"/>
      <c r="AY72" s="1226"/>
      <c r="AZ72" s="1226"/>
      <c r="BA72" s="1226"/>
      <c r="BB72" s="1226"/>
      <c r="BC72" s="1226"/>
      <c r="BD72" s="1226"/>
      <c r="BE72" s="1226"/>
      <c r="BF72" s="1226"/>
      <c r="BG72" s="1226"/>
      <c r="BH72" s="1226"/>
      <c r="BI72" s="1226"/>
    </row>
    <row r="73" spans="2:62" ht="138" customHeight="1">
      <c r="D73" s="256" t="s">
        <v>110</v>
      </c>
      <c r="E73" s="257" t="s">
        <v>211</v>
      </c>
      <c r="F73" s="257"/>
      <c r="G73" s="223"/>
      <c r="H73" s="257" t="s">
        <v>217</v>
      </c>
      <c r="I73" s="258" t="s">
        <v>218</v>
      </c>
      <c r="J73" s="236"/>
      <c r="K73" s="236"/>
      <c r="L73" s="236"/>
      <c r="T73" s="237"/>
      <c r="U73" s="237"/>
      <c r="V73" s="237"/>
      <c r="W73" s="237"/>
      <c r="X73" s="237"/>
      <c r="Y73" s="237"/>
      <c r="Z73" s="237"/>
      <c r="AA73" s="237"/>
      <c r="AB73" s="237"/>
      <c r="AC73" s="237"/>
      <c r="AD73" s="237"/>
      <c r="AE73" s="237"/>
      <c r="AF73" s="236"/>
      <c r="AG73" s="236"/>
      <c r="AH73" s="236"/>
      <c r="AI73" s="236"/>
      <c r="AJ73" s="236"/>
      <c r="AK73" s="236"/>
      <c r="AL73" s="236"/>
      <c r="AM73" s="237"/>
      <c r="AN73" s="237"/>
      <c r="AO73" s="237"/>
      <c r="AP73" s="237"/>
      <c r="AQ73" s="237"/>
      <c r="AR73" s="237"/>
      <c r="AS73" s="237"/>
      <c r="AT73" s="237"/>
      <c r="AU73" s="237"/>
      <c r="AV73" s="237"/>
      <c r="AW73" s="1226"/>
      <c r="AX73" s="1226"/>
      <c r="AY73" s="1226"/>
      <c r="AZ73" s="1226"/>
      <c r="BA73" s="1226"/>
      <c r="BB73" s="1226"/>
      <c r="BC73" s="1226"/>
      <c r="BD73" s="1226"/>
      <c r="BE73" s="1226"/>
      <c r="BF73" s="1226"/>
      <c r="BG73" s="1226"/>
      <c r="BH73" s="1226"/>
      <c r="BI73" s="1226"/>
    </row>
    <row r="74" spans="2:62" ht="15.75">
      <c r="D74" s="259" t="s">
        <v>138</v>
      </c>
      <c r="I74" s="224"/>
      <c r="T74" s="237"/>
      <c r="U74" s="237"/>
      <c r="V74" s="237"/>
      <c r="W74" s="237"/>
      <c r="X74" s="237"/>
      <c r="Y74" s="237"/>
      <c r="Z74" s="237"/>
      <c r="AA74" s="237"/>
      <c r="AB74" s="237"/>
      <c r="AC74" s="237"/>
      <c r="AD74" s="237"/>
      <c r="AE74" s="237"/>
      <c r="AM74" s="237"/>
      <c r="AN74" s="237"/>
      <c r="AO74" s="237"/>
      <c r="AP74" s="237"/>
      <c r="AQ74" s="237"/>
      <c r="AR74" s="237"/>
      <c r="AS74" s="237"/>
      <c r="AT74" s="237"/>
      <c r="AU74" s="237"/>
      <c r="AV74" s="237"/>
      <c r="AW74" s="1230"/>
      <c r="AX74" s="1230"/>
      <c r="AY74" s="1230"/>
      <c r="AZ74" s="1230"/>
      <c r="BA74" s="1230"/>
      <c r="BB74" s="1230"/>
      <c r="BC74" s="1230"/>
      <c r="BD74" s="1230"/>
      <c r="BE74" s="1230"/>
      <c r="BF74" s="1230"/>
      <c r="BG74" s="1230"/>
      <c r="BH74" s="1230"/>
      <c r="BI74" s="1230"/>
    </row>
    <row r="75" spans="2:62" ht="15">
      <c r="D75" s="260" t="str">
        <f>+Questions!$A13</f>
        <v>2.1</v>
      </c>
      <c r="I75" s="224"/>
      <c r="T75" s="237"/>
      <c r="U75" s="237"/>
      <c r="V75" s="237"/>
      <c r="W75" s="237"/>
      <c r="X75" s="237"/>
      <c r="Y75" s="237"/>
      <c r="Z75" s="237"/>
      <c r="AA75" s="237"/>
      <c r="AB75" s="237"/>
      <c r="AC75" s="237"/>
      <c r="AD75" s="237"/>
      <c r="AE75" s="237"/>
      <c r="AM75" s="237"/>
      <c r="AN75" s="237"/>
      <c r="AO75" s="237"/>
      <c r="AP75" s="237"/>
      <c r="AQ75" s="237"/>
      <c r="AR75" s="237"/>
      <c r="AS75" s="237"/>
      <c r="AT75" s="237"/>
      <c r="AU75" s="237"/>
      <c r="AV75" s="237"/>
      <c r="AW75" s="1230"/>
      <c r="AX75" s="1230"/>
      <c r="AY75" s="1230"/>
      <c r="AZ75" s="1230"/>
      <c r="BA75" s="1230"/>
      <c r="BB75" s="1230"/>
      <c r="BC75" s="1230"/>
      <c r="BD75" s="1230"/>
      <c r="BE75" s="1230"/>
      <c r="BF75" s="1230"/>
      <c r="BG75" s="1230"/>
      <c r="BH75" s="1230"/>
      <c r="BI75" s="1230"/>
    </row>
    <row r="76" spans="2:62" ht="15">
      <c r="D76" s="260" t="str">
        <f>+Questions!$A14</f>
        <v>2.2</v>
      </c>
      <c r="I76" s="224"/>
      <c r="T76" s="237"/>
      <c r="U76" s="568"/>
      <c r="V76" s="568"/>
      <c r="W76" s="238"/>
      <c r="X76" s="568"/>
      <c r="Y76" s="568"/>
      <c r="Z76" s="568"/>
      <c r="AA76" s="568"/>
      <c r="AB76" s="568"/>
      <c r="AC76" s="568"/>
      <c r="AD76" s="568"/>
      <c r="AE76" s="568"/>
      <c r="AF76" s="568"/>
      <c r="AG76" s="568"/>
      <c r="AH76" s="568"/>
      <c r="AI76" s="568"/>
      <c r="AJ76" s="568"/>
      <c r="AK76" s="568"/>
      <c r="AL76" s="568"/>
      <c r="AM76" s="568"/>
      <c r="AN76" s="568"/>
      <c r="AO76" s="568"/>
      <c r="AP76" s="568"/>
      <c r="AQ76" s="568"/>
      <c r="AR76" s="568"/>
      <c r="AS76" s="568"/>
      <c r="AT76" s="568"/>
      <c r="AU76" s="568"/>
      <c r="AV76" s="568"/>
      <c r="AW76" s="1226"/>
      <c r="AX76" s="1226"/>
      <c r="AY76" s="1226"/>
      <c r="AZ76" s="1226"/>
      <c r="BA76" s="1226"/>
      <c r="BB76" s="1226"/>
      <c r="BC76" s="1226"/>
      <c r="BD76" s="1226"/>
      <c r="BE76" s="1226"/>
      <c r="BF76" s="1226"/>
      <c r="BG76" s="1226"/>
      <c r="BH76" s="1226"/>
      <c r="BI76" s="1226"/>
    </row>
    <row r="77" spans="2:62" ht="15">
      <c r="D77" s="260" t="str">
        <f>+Questions!$A15</f>
        <v>2.3</v>
      </c>
      <c r="I77" s="224"/>
      <c r="T77" s="237"/>
      <c r="U77" s="568"/>
      <c r="V77" s="568"/>
      <c r="W77" s="568"/>
      <c r="X77" s="568"/>
      <c r="Y77" s="568"/>
      <c r="Z77" s="568"/>
      <c r="AA77" s="568"/>
      <c r="AB77" s="568"/>
      <c r="AC77" s="568"/>
      <c r="AD77" s="568"/>
      <c r="AE77" s="568"/>
      <c r="AF77" s="568"/>
      <c r="AG77" s="568"/>
      <c r="AH77" s="568"/>
      <c r="AI77" s="568"/>
      <c r="AJ77" s="568"/>
      <c r="AK77" s="568"/>
      <c r="AL77" s="568"/>
      <c r="AM77" s="568"/>
      <c r="AN77" s="568"/>
      <c r="AO77" s="568"/>
      <c r="AP77" s="568"/>
      <c r="AQ77" s="568"/>
      <c r="AR77" s="568"/>
      <c r="AS77" s="568"/>
      <c r="AT77" s="568"/>
      <c r="AU77" s="568"/>
      <c r="AV77" s="568"/>
      <c r="AW77" s="1226"/>
      <c r="AX77" s="1226"/>
      <c r="AY77" s="1226"/>
      <c r="AZ77" s="1226"/>
      <c r="BA77" s="1226"/>
      <c r="BB77" s="1226"/>
      <c r="BC77" s="1226"/>
      <c r="BD77" s="1226"/>
      <c r="BE77" s="1226"/>
      <c r="BF77" s="1226"/>
      <c r="BG77" s="1226"/>
      <c r="BH77" s="1226"/>
      <c r="BI77" s="1226"/>
    </row>
    <row r="78" spans="2:62" ht="15">
      <c r="D78" s="260" t="str">
        <f>+Questions!$A16</f>
        <v>2.4</v>
      </c>
      <c r="I78" s="224"/>
      <c r="T78" s="237"/>
      <c r="U78" s="568"/>
      <c r="V78" s="568"/>
      <c r="W78" s="1231"/>
      <c r="X78" s="1232"/>
      <c r="Y78" s="1232"/>
      <c r="Z78" s="1232"/>
      <c r="AA78" s="1232"/>
      <c r="AB78" s="1232"/>
      <c r="AC78" s="1232"/>
      <c r="AD78" s="1232"/>
      <c r="AE78" s="1232"/>
      <c r="AF78" s="1232"/>
      <c r="AG78" s="1232"/>
      <c r="AH78" s="1232"/>
      <c r="AI78" s="1232"/>
      <c r="AJ78" s="1232"/>
      <c r="AK78" s="1232"/>
      <c r="AL78" s="1232"/>
      <c r="AM78" s="1232"/>
      <c r="AN78" s="1232"/>
      <c r="AO78" s="1232"/>
      <c r="AP78" s="1232"/>
      <c r="AQ78" s="1232"/>
      <c r="AR78" s="1232"/>
      <c r="AS78" s="1232"/>
      <c r="AT78" s="1232"/>
      <c r="AU78" s="1232"/>
      <c r="AV78" s="1232"/>
      <c r="AW78" s="1226"/>
      <c r="AX78" s="1226"/>
      <c r="AY78" s="1226"/>
      <c r="AZ78" s="1226"/>
      <c r="BA78" s="1226"/>
      <c r="BB78" s="1226"/>
      <c r="BC78" s="1226"/>
      <c r="BD78" s="1226"/>
      <c r="BE78" s="1226"/>
      <c r="BF78" s="1226"/>
      <c r="BG78" s="1226"/>
      <c r="BH78" s="1226"/>
      <c r="BI78" s="1226"/>
    </row>
    <row r="79" spans="2:62" ht="15">
      <c r="D79" s="260" t="str">
        <f>+Questions!$A17</f>
        <v>2.5</v>
      </c>
      <c r="E79" s="23" t="e">
        <f>H8</f>
        <v>#REF!</v>
      </c>
      <c r="I79" s="224"/>
      <c r="T79" s="237"/>
      <c r="U79" s="568"/>
      <c r="V79" s="568"/>
      <c r="W79" s="1232"/>
      <c r="X79" s="1232"/>
      <c r="Y79" s="1232"/>
      <c r="Z79" s="1232"/>
      <c r="AA79" s="1232"/>
      <c r="AB79" s="1232"/>
      <c r="AC79" s="1232"/>
      <c r="AD79" s="1232"/>
      <c r="AE79" s="1232"/>
      <c r="AF79" s="1232"/>
      <c r="AG79" s="1232"/>
      <c r="AH79" s="1232"/>
      <c r="AI79" s="1232"/>
      <c r="AJ79" s="1232"/>
      <c r="AK79" s="1232"/>
      <c r="AL79" s="1232"/>
      <c r="AM79" s="1232"/>
      <c r="AN79" s="1232"/>
      <c r="AO79" s="1232"/>
      <c r="AP79" s="1232"/>
      <c r="AQ79" s="1232"/>
      <c r="AR79" s="1232"/>
      <c r="AS79" s="1232"/>
      <c r="AT79" s="1232"/>
      <c r="AU79" s="1232"/>
      <c r="AV79" s="1232"/>
      <c r="AW79" s="1226"/>
      <c r="AX79" s="1226"/>
      <c r="AY79" s="1226"/>
      <c r="AZ79" s="1226"/>
      <c r="BA79" s="1226"/>
      <c r="BB79" s="1226"/>
      <c r="BC79" s="1226"/>
      <c r="BD79" s="1226"/>
      <c r="BE79" s="1226"/>
      <c r="BF79" s="1226"/>
      <c r="BG79" s="1226"/>
      <c r="BH79" s="1226"/>
      <c r="BI79" s="1226"/>
    </row>
    <row r="80" spans="2:62" ht="15">
      <c r="D80" s="260" t="str">
        <f>+Questions!$A18</f>
        <v>2.6</v>
      </c>
      <c r="E80" s="23" t="e">
        <f>I8</f>
        <v>#REF!</v>
      </c>
      <c r="I80" s="224"/>
      <c r="T80" s="237"/>
      <c r="U80" s="568"/>
      <c r="V80" s="568"/>
      <c r="W80" s="1224"/>
      <c r="X80" s="1225"/>
      <c r="Y80" s="1225"/>
      <c r="Z80" s="1225"/>
      <c r="AA80" s="1225"/>
      <c r="AB80" s="1225"/>
      <c r="AC80" s="1225"/>
      <c r="AD80" s="1225"/>
      <c r="AE80" s="1225"/>
      <c r="AF80" s="1225"/>
      <c r="AG80" s="1225"/>
      <c r="AH80" s="1225"/>
      <c r="AI80" s="1225"/>
      <c r="AJ80" s="1225"/>
      <c r="AK80" s="1225"/>
      <c r="AL80" s="1225"/>
      <c r="AM80" s="1225"/>
      <c r="AN80" s="1225"/>
      <c r="AO80" s="1225"/>
      <c r="AP80" s="1225"/>
      <c r="AQ80" s="1225"/>
      <c r="AR80" s="1225"/>
      <c r="AS80" s="1225"/>
      <c r="AT80" s="1225"/>
      <c r="AU80" s="1225"/>
      <c r="AV80" s="1225"/>
      <c r="AW80" s="1226"/>
      <c r="AX80" s="1226"/>
      <c r="AY80" s="1226"/>
      <c r="AZ80" s="1226"/>
      <c r="BA80" s="1226"/>
      <c r="BB80" s="1226"/>
      <c r="BC80" s="1226"/>
      <c r="BD80" s="1226"/>
      <c r="BE80" s="1226"/>
      <c r="BF80" s="1226"/>
      <c r="BG80" s="1226"/>
      <c r="BH80" s="1226"/>
      <c r="BI80" s="1226"/>
    </row>
    <row r="81" spans="4:61" ht="15">
      <c r="D81" s="260" t="str">
        <f>+Questions!$A19</f>
        <v>2.7</v>
      </c>
      <c r="I81" s="224"/>
      <c r="T81" s="237"/>
      <c r="U81" s="568"/>
      <c r="V81" s="568"/>
      <c r="W81" s="1225"/>
      <c r="X81" s="1225"/>
      <c r="Y81" s="1225"/>
      <c r="Z81" s="1225"/>
      <c r="AA81" s="1225"/>
      <c r="AB81" s="1225"/>
      <c r="AC81" s="1225"/>
      <c r="AD81" s="1225"/>
      <c r="AE81" s="1225"/>
      <c r="AF81" s="1225"/>
      <c r="AG81" s="1225"/>
      <c r="AH81" s="1225"/>
      <c r="AI81" s="1225"/>
      <c r="AJ81" s="1225"/>
      <c r="AK81" s="1225"/>
      <c r="AL81" s="1225"/>
      <c r="AM81" s="1225"/>
      <c r="AN81" s="1225"/>
      <c r="AO81" s="1225"/>
      <c r="AP81" s="1225"/>
      <c r="AQ81" s="1225"/>
      <c r="AR81" s="1225"/>
      <c r="AS81" s="1225"/>
      <c r="AT81" s="1225"/>
      <c r="AU81" s="1225"/>
      <c r="AV81" s="1225"/>
      <c r="AW81" s="1226"/>
      <c r="AX81" s="1226"/>
      <c r="AY81" s="1226"/>
      <c r="AZ81" s="1226"/>
      <c r="BA81" s="1226"/>
      <c r="BB81" s="1226"/>
      <c r="BC81" s="1226"/>
      <c r="BD81" s="1226"/>
      <c r="BE81" s="1226"/>
      <c r="BF81" s="1226"/>
      <c r="BG81" s="1226"/>
      <c r="BH81" s="1226"/>
      <c r="BI81" s="1226"/>
    </row>
    <row r="82" spans="4:61" ht="15.75">
      <c r="D82" s="261" t="str">
        <f>+Questions!$A20</f>
        <v>P3</v>
      </c>
      <c r="G82" s="23" t="s">
        <v>138</v>
      </c>
      <c r="H82" s="23" t="str">
        <f>+IF(COUNT(E75:E81)=0,"n.b.",+IF(MIN(E75:E81)=0,"C",+IF(MIN(E75:E81)=4,"B","A")))</f>
        <v>n.b.</v>
      </c>
      <c r="I82" s="224" t="e">
        <f>+A8</f>
        <v>#REF!</v>
      </c>
      <c r="T82" s="237"/>
      <c r="U82" s="568"/>
      <c r="V82" s="568"/>
      <c r="W82" s="1225"/>
      <c r="X82" s="1225"/>
      <c r="Y82" s="1225"/>
      <c r="Z82" s="1225"/>
      <c r="AA82" s="1225"/>
      <c r="AB82" s="1225"/>
      <c r="AC82" s="1225"/>
      <c r="AD82" s="1225"/>
      <c r="AE82" s="1225"/>
      <c r="AF82" s="1225"/>
      <c r="AG82" s="1225"/>
      <c r="AH82" s="1225"/>
      <c r="AI82" s="1225"/>
      <c r="AJ82" s="1225"/>
      <c r="AK82" s="1225"/>
      <c r="AL82" s="1225"/>
      <c r="AM82" s="1225"/>
      <c r="AN82" s="1225"/>
      <c r="AO82" s="1225"/>
      <c r="AP82" s="1225"/>
      <c r="AQ82" s="1225"/>
      <c r="AR82" s="1225"/>
      <c r="AS82" s="1225"/>
      <c r="AT82" s="1225"/>
      <c r="AU82" s="1225"/>
      <c r="AV82" s="1225"/>
      <c r="AW82" s="1227"/>
      <c r="AX82" s="1227"/>
      <c r="AY82" s="1227"/>
      <c r="AZ82" s="1227"/>
      <c r="BA82" s="1227"/>
      <c r="BB82" s="1227"/>
      <c r="BC82" s="1227"/>
      <c r="BD82" s="1227"/>
      <c r="BE82" s="1227"/>
      <c r="BF82" s="1227"/>
      <c r="BG82" s="1227"/>
      <c r="BH82" s="1227"/>
      <c r="BI82" s="1227"/>
    </row>
    <row r="83" spans="4:61" ht="15">
      <c r="D83" s="260" t="str">
        <f>+Questions!$A22</f>
        <v>3.1</v>
      </c>
      <c r="I83" s="224"/>
      <c r="T83" s="237"/>
      <c r="U83" s="568"/>
      <c r="V83" s="568"/>
      <c r="W83" s="1224"/>
      <c r="X83" s="1225"/>
      <c r="Y83" s="1225"/>
      <c r="Z83" s="1225"/>
      <c r="AA83" s="1225"/>
      <c r="AB83" s="1225"/>
      <c r="AC83" s="1225"/>
      <c r="AD83" s="1225"/>
      <c r="AE83" s="1225"/>
      <c r="AF83" s="1225"/>
      <c r="AG83" s="1225"/>
      <c r="AH83" s="1225"/>
      <c r="AI83" s="1225"/>
      <c r="AJ83" s="1225"/>
      <c r="AK83" s="1225"/>
      <c r="AL83" s="1225"/>
      <c r="AM83" s="1225"/>
      <c r="AN83" s="1225"/>
      <c r="AO83" s="1225"/>
      <c r="AP83" s="1225"/>
      <c r="AQ83" s="1225"/>
      <c r="AR83" s="1225"/>
      <c r="AS83" s="1225"/>
      <c r="AT83" s="1225"/>
      <c r="AU83" s="1225"/>
      <c r="AV83" s="1225"/>
      <c r="AW83" s="1227"/>
      <c r="AX83" s="1227"/>
      <c r="AY83" s="1227"/>
      <c r="AZ83" s="1227"/>
      <c r="BA83" s="1227"/>
      <c r="BB83" s="1227"/>
      <c r="BC83" s="1227"/>
      <c r="BD83" s="1227"/>
      <c r="BE83" s="1227"/>
      <c r="BF83" s="1227"/>
      <c r="BG83" s="1227"/>
      <c r="BH83" s="1227"/>
      <c r="BI83" s="1227"/>
    </row>
    <row r="84" spans="4:61" ht="15">
      <c r="D84" s="260" t="str">
        <f>+Questions!$A25</f>
        <v>3.2</v>
      </c>
      <c r="E84" s="23" t="str">
        <f>IF(COUNT(J84:K84)&gt;0,MIN(J84:K84),"n.b")</f>
        <v>n.b</v>
      </c>
      <c r="I84" s="224"/>
      <c r="J84" s="142" t="e">
        <f>E14</f>
        <v>#REF!</v>
      </c>
      <c r="K84" s="142" t="e">
        <f>P14</f>
        <v>#REF!</v>
      </c>
      <c r="T84" s="237"/>
      <c r="U84" s="568"/>
      <c r="V84" s="568"/>
      <c r="W84" s="1225"/>
      <c r="X84" s="1225"/>
      <c r="Y84" s="1225"/>
      <c r="Z84" s="1225"/>
      <c r="AA84" s="1225"/>
      <c r="AB84" s="1225"/>
      <c r="AC84" s="1225"/>
      <c r="AD84" s="1225"/>
      <c r="AE84" s="1225"/>
      <c r="AF84" s="1225"/>
      <c r="AG84" s="1225"/>
      <c r="AH84" s="1225"/>
      <c r="AI84" s="1225"/>
      <c r="AJ84" s="1225"/>
      <c r="AK84" s="1225"/>
      <c r="AL84" s="1225"/>
      <c r="AM84" s="1225"/>
      <c r="AN84" s="1225"/>
      <c r="AO84" s="1225"/>
      <c r="AP84" s="1225"/>
      <c r="AQ84" s="1225"/>
      <c r="AR84" s="1225"/>
      <c r="AS84" s="1225"/>
      <c r="AT84" s="1225"/>
      <c r="AU84" s="1225"/>
      <c r="AV84" s="1225"/>
      <c r="AW84" s="1227"/>
      <c r="AX84" s="1227"/>
      <c r="AY84" s="1227"/>
      <c r="AZ84" s="1227"/>
      <c r="BA84" s="1227"/>
      <c r="BB84" s="1227"/>
      <c r="BC84" s="1227"/>
      <c r="BD84" s="1227"/>
      <c r="BE84" s="1227"/>
      <c r="BF84" s="1227"/>
      <c r="BG84" s="1227"/>
      <c r="BH84" s="1227"/>
      <c r="BI84" s="1227"/>
    </row>
    <row r="85" spans="4:61" ht="15">
      <c r="D85" s="260" t="str">
        <f>+Questions!$A28</f>
        <v>3.3</v>
      </c>
      <c r="I85" s="224"/>
      <c r="J85" s="142"/>
      <c r="K85" s="142"/>
      <c r="T85" s="237"/>
      <c r="U85" s="568"/>
      <c r="V85" s="568"/>
      <c r="W85" s="1234"/>
      <c r="X85" s="1234"/>
      <c r="Y85" s="1234"/>
      <c r="Z85" s="1234"/>
      <c r="AA85" s="1234"/>
      <c r="AB85" s="1234"/>
      <c r="AC85" s="1234"/>
      <c r="AD85" s="1234"/>
      <c r="AE85" s="1234"/>
      <c r="AF85" s="1234"/>
      <c r="AG85" s="1234"/>
      <c r="AH85" s="1234"/>
      <c r="AI85" s="1234"/>
      <c r="AJ85" s="1234"/>
      <c r="AK85" s="1234"/>
      <c r="AL85" s="1234"/>
      <c r="AM85" s="1234"/>
      <c r="AN85" s="1234"/>
      <c r="AO85" s="1234"/>
      <c r="AP85" s="1234"/>
      <c r="AQ85" s="1234"/>
      <c r="AR85" s="1234"/>
      <c r="AS85" s="1234"/>
      <c r="AT85" s="1234"/>
      <c r="AU85" s="1234"/>
      <c r="AV85" s="1234"/>
      <c r="AW85" s="1227"/>
      <c r="AX85" s="1227"/>
      <c r="AY85" s="1227"/>
      <c r="AZ85" s="1227"/>
      <c r="BA85" s="1227"/>
      <c r="BB85" s="1227"/>
      <c r="BC85" s="1227"/>
      <c r="BD85" s="1227"/>
      <c r="BE85" s="1227"/>
      <c r="BF85" s="1227"/>
      <c r="BG85" s="1227"/>
      <c r="BH85" s="1227"/>
      <c r="BI85" s="1227"/>
    </row>
    <row r="86" spans="4:61" ht="15">
      <c r="D86" s="260" t="str">
        <f>+Questions!$A31</f>
        <v>3.4</v>
      </c>
      <c r="I86" s="224"/>
      <c r="J86" s="142"/>
      <c r="K86" s="142"/>
      <c r="T86" s="237"/>
      <c r="U86" s="568"/>
      <c r="V86" s="568"/>
      <c r="W86" s="1234"/>
      <c r="X86" s="1234"/>
      <c r="Y86" s="1234"/>
      <c r="Z86" s="1234"/>
      <c r="AA86" s="1234"/>
      <c r="AB86" s="1234"/>
      <c r="AC86" s="1234"/>
      <c r="AD86" s="1234"/>
      <c r="AE86" s="1234"/>
      <c r="AF86" s="1234"/>
      <c r="AG86" s="1234"/>
      <c r="AH86" s="1234"/>
      <c r="AI86" s="1234"/>
      <c r="AJ86" s="1234"/>
      <c r="AK86" s="1234"/>
      <c r="AL86" s="1234"/>
      <c r="AM86" s="1234"/>
      <c r="AN86" s="1234"/>
      <c r="AO86" s="1234"/>
      <c r="AP86" s="1234"/>
      <c r="AQ86" s="1234"/>
      <c r="AR86" s="1234"/>
      <c r="AS86" s="1234"/>
      <c r="AT86" s="1234"/>
      <c r="AU86" s="1234"/>
      <c r="AV86" s="1234"/>
      <c r="AW86" s="1227"/>
      <c r="AX86" s="1227"/>
      <c r="AY86" s="1227"/>
      <c r="AZ86" s="1227"/>
      <c r="BA86" s="1227"/>
      <c r="BB86" s="1227"/>
      <c r="BC86" s="1227"/>
      <c r="BD86" s="1227"/>
      <c r="BE86" s="1227"/>
      <c r="BF86" s="1227"/>
      <c r="BG86" s="1227"/>
      <c r="BH86" s="1227"/>
      <c r="BI86" s="1227"/>
    </row>
    <row r="87" spans="4:61">
      <c r="D87" s="260" t="str">
        <f>+Questions!$A34</f>
        <v>3.5</v>
      </c>
      <c r="I87" s="224"/>
      <c r="J87" s="142"/>
      <c r="K87" s="142"/>
      <c r="T87" s="211"/>
      <c r="U87" s="1233"/>
      <c r="V87" s="1233"/>
      <c r="W87" s="1233"/>
      <c r="X87" s="1233"/>
      <c r="Y87" s="1233"/>
      <c r="Z87" s="1233"/>
      <c r="AA87" s="1233"/>
      <c r="AB87" s="1233"/>
      <c r="AC87" s="1233"/>
      <c r="AD87" s="1233"/>
      <c r="AE87" s="1233"/>
      <c r="AF87" s="1233"/>
      <c r="AG87" s="1233"/>
      <c r="AH87" s="1233"/>
      <c r="AI87" s="1233"/>
      <c r="AJ87" s="1233"/>
      <c r="AK87" s="1233"/>
      <c r="AL87" s="1233"/>
      <c r="AM87" s="1233"/>
      <c r="AN87" s="1233"/>
      <c r="AO87" s="1233"/>
      <c r="AP87" s="1233"/>
      <c r="AQ87" s="1233"/>
      <c r="AR87" s="1233"/>
      <c r="AS87" s="1233"/>
      <c r="AT87" s="1233"/>
      <c r="AU87" s="1233"/>
      <c r="AV87" s="1233"/>
      <c r="AW87" s="1227"/>
      <c r="AX87" s="1227"/>
      <c r="AY87" s="1227"/>
      <c r="AZ87" s="1227"/>
      <c r="BA87" s="1227"/>
      <c r="BB87" s="1227"/>
      <c r="BC87" s="1227"/>
      <c r="BD87" s="1227"/>
      <c r="BE87" s="1227"/>
      <c r="BF87" s="1227"/>
      <c r="BG87" s="1227"/>
      <c r="BH87" s="1227"/>
      <c r="BI87" s="1227"/>
    </row>
    <row r="88" spans="4:61" ht="15">
      <c r="D88" s="261" t="str">
        <f>+Questions!$A37</f>
        <v>P4</v>
      </c>
      <c r="G88" s="23" t="s">
        <v>139</v>
      </c>
      <c r="H88" s="23" t="str">
        <f>+IF(COUNT(E82:E87)=0,"n.b.",+IF(MIN(E82:E87)=0,"C",+IF(MIN(E82:E87)=4,"B","A")))</f>
        <v>n.b.</v>
      </c>
      <c r="I88" s="224" t="e">
        <f>+A14</f>
        <v>#REF!</v>
      </c>
      <c r="J88" s="142"/>
      <c r="K88" s="142"/>
      <c r="T88" s="211"/>
      <c r="U88" s="1233"/>
      <c r="V88" s="1233"/>
      <c r="W88" s="1233"/>
      <c r="X88" s="1233"/>
      <c r="Y88" s="1233"/>
      <c r="Z88" s="1233"/>
      <c r="AA88" s="1233"/>
      <c r="AB88" s="1233"/>
      <c r="AC88" s="1233"/>
      <c r="AD88" s="1233"/>
      <c r="AE88" s="1233"/>
      <c r="AF88" s="1233"/>
      <c r="AG88" s="1233"/>
      <c r="AH88" s="1233"/>
      <c r="AI88" s="1233"/>
      <c r="AJ88" s="1233"/>
      <c r="AK88" s="1233"/>
      <c r="AL88" s="1233"/>
      <c r="AM88" s="1233"/>
      <c r="AN88" s="1233"/>
      <c r="AO88" s="1233"/>
      <c r="AP88" s="1233"/>
      <c r="AQ88" s="1233"/>
      <c r="AR88" s="1233"/>
      <c r="AS88" s="1233"/>
      <c r="AT88" s="1233"/>
      <c r="AU88" s="1233"/>
      <c r="AV88" s="1233"/>
      <c r="AW88" s="1227"/>
      <c r="AX88" s="1227"/>
      <c r="AY88" s="1227"/>
      <c r="AZ88" s="1227"/>
      <c r="BA88" s="1227"/>
      <c r="BB88" s="1227"/>
      <c r="BC88" s="1227"/>
      <c r="BD88" s="1227"/>
      <c r="BE88" s="1227"/>
      <c r="BF88" s="1227"/>
      <c r="BG88" s="1227"/>
      <c r="BH88" s="1227"/>
      <c r="BI88" s="1227"/>
    </row>
    <row r="89" spans="4:61">
      <c r="D89" s="260" t="str">
        <f>+Questions!$A39</f>
        <v>4.1</v>
      </c>
      <c r="E89" s="23" t="str">
        <f>IF(COUNT(J89:K89)&gt;0,MIN(J89:K89),"n.b")</f>
        <v>n.b</v>
      </c>
      <c r="I89" s="224"/>
      <c r="J89" s="142" t="e">
        <f>D22</f>
        <v>#REF!</v>
      </c>
      <c r="K89" s="142" t="e">
        <f>Q22</f>
        <v>#REF!</v>
      </c>
      <c r="T89" s="211"/>
      <c r="U89" s="1233"/>
      <c r="V89" s="1233"/>
      <c r="W89" s="1233"/>
      <c r="X89" s="1233"/>
      <c r="Y89" s="1233"/>
      <c r="Z89" s="1233"/>
      <c r="AA89" s="1233"/>
      <c r="AB89" s="1233"/>
      <c r="AC89" s="1233"/>
      <c r="AD89" s="1233"/>
      <c r="AE89" s="1233"/>
      <c r="AF89" s="1233"/>
      <c r="AG89" s="1233"/>
      <c r="AH89" s="1233"/>
      <c r="AI89" s="1233"/>
      <c r="AJ89" s="1233"/>
      <c r="AK89" s="1233"/>
      <c r="AL89" s="1233"/>
      <c r="AM89" s="1233"/>
      <c r="AN89" s="1233"/>
      <c r="AO89" s="1233"/>
      <c r="AP89" s="1233"/>
      <c r="AQ89" s="1233"/>
      <c r="AR89" s="1233"/>
      <c r="AS89" s="1233"/>
      <c r="AT89" s="1233"/>
      <c r="AU89" s="1233"/>
      <c r="AV89" s="1233"/>
      <c r="AW89" s="1227"/>
      <c r="AX89" s="1227"/>
      <c r="AY89" s="1227"/>
      <c r="AZ89" s="1227"/>
      <c r="BA89" s="1227"/>
      <c r="BB89" s="1227"/>
      <c r="BC89" s="1227"/>
      <c r="BD89" s="1227"/>
      <c r="BE89" s="1227"/>
      <c r="BF89" s="1227"/>
      <c r="BG89" s="1227"/>
      <c r="BH89" s="1227"/>
      <c r="BI89" s="1227"/>
    </row>
    <row r="90" spans="4:61">
      <c r="D90" s="260" t="str">
        <f>+Questions!$A42</f>
        <v>4.2</v>
      </c>
      <c r="I90" s="224"/>
      <c r="J90" s="142"/>
      <c r="K90" s="142"/>
      <c r="T90" s="211"/>
      <c r="U90" s="1233"/>
      <c r="V90" s="1233"/>
      <c r="W90" s="1233"/>
      <c r="X90" s="1233"/>
      <c r="Y90" s="1233"/>
      <c r="Z90" s="1233"/>
      <c r="AA90" s="1233"/>
      <c r="AB90" s="1233"/>
      <c r="AC90" s="1233"/>
      <c r="AD90" s="1233"/>
      <c r="AE90" s="1233"/>
      <c r="AF90" s="1233"/>
      <c r="AG90" s="1233"/>
      <c r="AH90" s="1233"/>
      <c r="AI90" s="1233"/>
      <c r="AJ90" s="1233"/>
      <c r="AK90" s="1233"/>
      <c r="AL90" s="1233"/>
      <c r="AM90" s="1233"/>
      <c r="AN90" s="1233"/>
      <c r="AO90" s="1233"/>
      <c r="AP90" s="1233"/>
      <c r="AQ90" s="1233"/>
      <c r="AR90" s="1233"/>
      <c r="AS90" s="1233"/>
      <c r="AT90" s="1233"/>
      <c r="AU90" s="1233"/>
      <c r="AV90" s="1233"/>
      <c r="AW90" s="1227"/>
      <c r="AX90" s="1227"/>
      <c r="AY90" s="1227"/>
      <c r="AZ90" s="1227"/>
      <c r="BA90" s="1227"/>
      <c r="BB90" s="1227"/>
      <c r="BC90" s="1227"/>
      <c r="BD90" s="1227"/>
      <c r="BE90" s="1227"/>
      <c r="BF90" s="1227"/>
      <c r="BG90" s="1227"/>
      <c r="BH90" s="1227"/>
      <c r="BI90" s="1227"/>
    </row>
    <row r="91" spans="4:61">
      <c r="D91" s="260" t="str">
        <f>+Questions!$A45</f>
        <v>4.3</v>
      </c>
      <c r="I91" s="224"/>
      <c r="J91" s="142"/>
      <c r="K91" s="142"/>
      <c r="T91" s="211"/>
      <c r="U91" s="1233"/>
      <c r="V91" s="1233"/>
      <c r="W91" s="1233"/>
      <c r="X91" s="1233"/>
      <c r="Y91" s="1233"/>
      <c r="Z91" s="1233"/>
      <c r="AA91" s="1233"/>
      <c r="AB91" s="1233"/>
      <c r="AC91" s="1233"/>
      <c r="AD91" s="1233"/>
      <c r="AE91" s="1233"/>
      <c r="AF91" s="1233"/>
      <c r="AG91" s="1233"/>
      <c r="AH91" s="1233"/>
      <c r="AI91" s="1233"/>
      <c r="AJ91" s="1233"/>
      <c r="AK91" s="1233"/>
      <c r="AL91" s="1233"/>
      <c r="AM91" s="1233"/>
      <c r="AN91" s="1233"/>
      <c r="AO91" s="1233"/>
      <c r="AP91" s="1233"/>
      <c r="AQ91" s="1233"/>
      <c r="AR91" s="1233"/>
      <c r="AS91" s="1233"/>
      <c r="AT91" s="1233"/>
      <c r="AU91" s="1233"/>
      <c r="AV91" s="1233"/>
      <c r="AW91" s="1227"/>
      <c r="AX91" s="1227"/>
      <c r="AY91" s="1227"/>
      <c r="AZ91" s="1227"/>
      <c r="BA91" s="1227"/>
      <c r="BB91" s="1227"/>
      <c r="BC91" s="1227"/>
      <c r="BD91" s="1227"/>
      <c r="BE91" s="1227"/>
      <c r="BF91" s="1227"/>
      <c r="BG91" s="1227"/>
      <c r="BH91" s="1227"/>
      <c r="BI91" s="1227"/>
    </row>
    <row r="92" spans="4:61">
      <c r="D92" s="260" t="str">
        <f>+Questions!$A48</f>
        <v>4.4</v>
      </c>
      <c r="E92" s="23" t="str">
        <f>IF(COUNT(J92:K92)&gt;0,MIN(J92:K92),"n.b")</f>
        <v>n.b</v>
      </c>
      <c r="I92" s="224"/>
      <c r="J92" s="142" t="e">
        <f>G22</f>
        <v>#REF!</v>
      </c>
      <c r="K92" s="142" t="e">
        <f>T22</f>
        <v>#REF!</v>
      </c>
      <c r="T92" s="211"/>
      <c r="U92" s="1233"/>
      <c r="V92" s="1233"/>
      <c r="W92" s="1233"/>
      <c r="X92" s="1233"/>
      <c r="Y92" s="1233"/>
      <c r="Z92" s="1233"/>
      <c r="AA92" s="1233"/>
      <c r="AB92" s="1233"/>
      <c r="AC92" s="1233"/>
      <c r="AD92" s="1233"/>
      <c r="AE92" s="1233"/>
      <c r="AF92" s="1233"/>
      <c r="AG92" s="1233"/>
      <c r="AH92" s="1233"/>
      <c r="AI92" s="1233"/>
      <c r="AJ92" s="1233"/>
      <c r="AK92" s="1233"/>
      <c r="AL92" s="1233"/>
      <c r="AM92" s="1233"/>
      <c r="AN92" s="1233"/>
      <c r="AO92" s="1233"/>
      <c r="AP92" s="1233"/>
      <c r="AQ92" s="1233"/>
      <c r="AR92" s="1233"/>
      <c r="AS92" s="1233"/>
      <c r="AT92" s="1233"/>
      <c r="AU92" s="1233"/>
      <c r="AV92" s="1233"/>
      <c r="AW92" s="1227"/>
      <c r="AX92" s="1227"/>
      <c r="AY92" s="1227"/>
      <c r="AZ92" s="1227"/>
      <c r="BA92" s="1227"/>
      <c r="BB92" s="1227"/>
      <c r="BC92" s="1227"/>
      <c r="BD92" s="1227"/>
      <c r="BE92" s="1227"/>
      <c r="BF92" s="1227"/>
      <c r="BG92" s="1227"/>
      <c r="BH92" s="1227"/>
      <c r="BI92" s="1227"/>
    </row>
    <row r="93" spans="4:61">
      <c r="D93" s="260" t="str">
        <f>+Questions!$A51</f>
        <v>4.5</v>
      </c>
      <c r="I93" s="224"/>
      <c r="J93" s="142"/>
      <c r="K93" s="142"/>
      <c r="T93" s="211"/>
      <c r="U93" s="1233"/>
      <c r="V93" s="1233"/>
      <c r="W93" s="1233"/>
      <c r="X93" s="1233"/>
      <c r="Y93" s="1233"/>
      <c r="Z93" s="1233"/>
      <c r="AA93" s="1233"/>
      <c r="AB93" s="1233"/>
      <c r="AC93" s="1233"/>
      <c r="AD93" s="1233"/>
      <c r="AE93" s="1233"/>
      <c r="AF93" s="1233"/>
      <c r="AG93" s="1233"/>
      <c r="AH93" s="1233"/>
      <c r="AI93" s="1233"/>
      <c r="AJ93" s="1233"/>
      <c r="AK93" s="1233"/>
      <c r="AL93" s="1233"/>
      <c r="AM93" s="1233"/>
      <c r="AN93" s="1233"/>
      <c r="AO93" s="1233"/>
      <c r="AP93" s="1233"/>
      <c r="AQ93" s="1233"/>
      <c r="AR93" s="1233"/>
      <c r="AS93" s="1233"/>
      <c r="AT93" s="1233"/>
      <c r="AU93" s="1233"/>
      <c r="AV93" s="1233"/>
      <c r="AW93" s="1227"/>
      <c r="AX93" s="1227"/>
      <c r="AY93" s="1227"/>
      <c r="AZ93" s="1227"/>
      <c r="BA93" s="1227"/>
      <c r="BB93" s="1227"/>
      <c r="BC93" s="1227"/>
      <c r="BD93" s="1227"/>
      <c r="BE93" s="1227"/>
      <c r="BF93" s="1227"/>
      <c r="BG93" s="1227"/>
      <c r="BH93" s="1227"/>
      <c r="BI93" s="1227"/>
    </row>
    <row r="94" spans="4:61">
      <c r="D94" s="260" t="str">
        <f>+Questions!$A54</f>
        <v>4.6</v>
      </c>
      <c r="I94" s="224"/>
      <c r="J94" s="142"/>
      <c r="K94" s="142"/>
      <c r="T94" s="211"/>
      <c r="U94" s="1233"/>
      <c r="V94" s="1233"/>
      <c r="W94" s="1233"/>
      <c r="X94" s="1233"/>
      <c r="Y94" s="1233"/>
      <c r="Z94" s="1233"/>
      <c r="AA94" s="1233"/>
      <c r="AB94" s="1233"/>
      <c r="AC94" s="1233"/>
      <c r="AD94" s="1233"/>
      <c r="AE94" s="1233"/>
      <c r="AF94" s="1233"/>
      <c r="AG94" s="1233"/>
      <c r="AH94" s="1233"/>
      <c r="AI94" s="1233"/>
      <c r="AJ94" s="1233"/>
      <c r="AK94" s="1233"/>
      <c r="AL94" s="1233"/>
      <c r="AM94" s="1233"/>
      <c r="AN94" s="1233"/>
      <c r="AO94" s="1233"/>
      <c r="AP94" s="1233"/>
      <c r="AQ94" s="1233"/>
      <c r="AR94" s="1233"/>
      <c r="AS94" s="1233"/>
      <c r="AT94" s="1233"/>
      <c r="AU94" s="1233"/>
      <c r="AV94" s="1233"/>
      <c r="AW94" s="1227"/>
      <c r="AX94" s="1227"/>
      <c r="AY94" s="1227"/>
      <c r="AZ94" s="1227"/>
      <c r="BA94" s="1227"/>
      <c r="BB94" s="1227"/>
      <c r="BC94" s="1227"/>
      <c r="BD94" s="1227"/>
      <c r="BE94" s="1227"/>
      <c r="BF94" s="1227"/>
      <c r="BG94" s="1227"/>
      <c r="BH94" s="1227"/>
      <c r="BI94" s="1227"/>
    </row>
    <row r="95" spans="4:61" ht="15">
      <c r="D95" s="331" t="str">
        <f>+Questions!$A56</f>
        <v>4.7</v>
      </c>
      <c r="I95" s="224"/>
      <c r="J95" s="142"/>
      <c r="K95" s="142"/>
      <c r="T95" s="211"/>
      <c r="U95" s="568"/>
      <c r="V95" s="568"/>
      <c r="W95" s="568"/>
      <c r="X95" s="568"/>
      <c r="Y95" s="568"/>
      <c r="Z95" s="568"/>
      <c r="AA95" s="568"/>
      <c r="AB95" s="568"/>
      <c r="AC95" s="568"/>
      <c r="AD95" s="568"/>
      <c r="AE95" s="568"/>
      <c r="AF95" s="568"/>
      <c r="AG95" s="568"/>
      <c r="AH95" s="568"/>
      <c r="AI95" s="568"/>
      <c r="AJ95" s="568"/>
      <c r="AK95" s="568"/>
      <c r="AL95" s="568"/>
      <c r="AM95" s="568"/>
      <c r="AN95" s="568"/>
      <c r="AO95" s="568"/>
      <c r="AP95" s="568"/>
      <c r="AQ95" s="568"/>
      <c r="AR95" s="568"/>
      <c r="AS95" s="568"/>
      <c r="AT95" s="568"/>
      <c r="AU95" s="568"/>
      <c r="AV95" s="568"/>
      <c r="AW95" s="803"/>
      <c r="AX95" s="803"/>
      <c r="AY95" s="803"/>
      <c r="AZ95" s="803"/>
      <c r="BA95" s="803"/>
      <c r="BB95" s="803"/>
      <c r="BC95" s="803"/>
      <c r="BD95" s="803"/>
      <c r="BE95" s="803"/>
      <c r="BF95" s="803"/>
      <c r="BG95" s="803"/>
      <c r="BH95" s="803"/>
      <c r="BI95" s="803"/>
    </row>
    <row r="96" spans="4:61" ht="15">
      <c r="D96" s="260" t="str">
        <f>+Questions!$A58</f>
        <v>4.8</v>
      </c>
      <c r="E96" s="23" t="str">
        <f>IF(COUNT(J96:K96)&gt;0,MIN(J96:K96),"n.b")</f>
        <v>n.b</v>
      </c>
      <c r="I96" s="224"/>
      <c r="J96" s="142" t="e">
        <f>K22</f>
        <v>#REF!</v>
      </c>
      <c r="K96" s="142" t="e">
        <f>X22</f>
        <v>#REF!</v>
      </c>
      <c r="T96" s="211"/>
      <c r="U96" s="1233"/>
      <c r="V96" s="1233"/>
      <c r="W96" s="1233"/>
      <c r="X96" s="1233"/>
      <c r="Y96" s="1233"/>
      <c r="Z96" s="1233"/>
      <c r="AA96" s="1233"/>
      <c r="AB96" s="1233"/>
      <c r="AC96" s="1233"/>
      <c r="AD96" s="1233"/>
      <c r="AE96" s="1233"/>
      <c r="AF96" s="1233"/>
      <c r="AG96" s="1233"/>
      <c r="AH96" s="1233"/>
      <c r="AI96" s="1233"/>
      <c r="AJ96" s="1233"/>
      <c r="AK96" s="1233"/>
      <c r="AL96" s="1233"/>
      <c r="AM96" s="1233"/>
      <c r="AN96" s="1233"/>
      <c r="AO96" s="1233"/>
      <c r="AP96" s="1233"/>
      <c r="AQ96" s="1233"/>
      <c r="AR96" s="1233"/>
      <c r="AS96" s="1233"/>
      <c r="AT96" s="1233"/>
      <c r="AU96" s="1233"/>
      <c r="AV96" s="1233"/>
      <c r="AW96" s="1227"/>
      <c r="AX96" s="1227"/>
      <c r="AY96" s="1227"/>
      <c r="AZ96" s="1227"/>
      <c r="BA96" s="1227"/>
      <c r="BB96" s="1227"/>
      <c r="BC96" s="1227"/>
      <c r="BD96" s="1227"/>
      <c r="BE96" s="1227"/>
      <c r="BF96" s="1227"/>
      <c r="BG96" s="1227"/>
      <c r="BH96" s="1227"/>
      <c r="BI96" s="1227"/>
    </row>
    <row r="97" spans="4:20" ht="15">
      <c r="D97" s="261" t="str">
        <f>+Questions!$A61</f>
        <v>P5</v>
      </c>
      <c r="G97" s="23" t="s">
        <v>140</v>
      </c>
      <c r="H97" s="23" t="str">
        <f>+IF(COUNT(E89:E96)=0,"n.b.",+IF(MIN(E89:E96)=0,"C",+IF(MIN(E89:E96)=4,"B","A")))</f>
        <v>n.b.</v>
      </c>
      <c r="I97" s="224" t="e">
        <f>+A22</f>
        <v>#REF!</v>
      </c>
    </row>
    <row r="98" spans="4:20">
      <c r="D98" s="260" t="str">
        <f>+Questions!$A62</f>
        <v>5.1</v>
      </c>
      <c r="I98" s="224"/>
    </row>
    <row r="99" spans="4:20">
      <c r="D99" s="260" t="str">
        <f>+Questions!$A63</f>
        <v>5.2</v>
      </c>
      <c r="I99" s="224"/>
    </row>
    <row r="100" spans="4:20">
      <c r="D100" s="260" t="str">
        <f>+Questions!$A64</f>
        <v>5.3</v>
      </c>
      <c r="I100" s="224"/>
    </row>
    <row r="101" spans="4:20">
      <c r="D101" s="260" t="str">
        <f>+Questions!$A65</f>
        <v>5.4</v>
      </c>
      <c r="E101" s="23" t="e">
        <f>O29</f>
        <v>#REF!</v>
      </c>
      <c r="I101" s="224"/>
    </row>
    <row r="102" spans="4:20">
      <c r="D102" s="260" t="str">
        <f>+Questions!$A66</f>
        <v>5.5</v>
      </c>
      <c r="E102" s="23" t="e">
        <f>P29</f>
        <v>#REF!</v>
      </c>
      <c r="I102" s="224"/>
    </row>
    <row r="103" spans="4:20">
      <c r="D103" s="260" t="str">
        <f>+Questions!$A67</f>
        <v>5.6</v>
      </c>
      <c r="I103" s="224"/>
    </row>
    <row r="104" spans="4:20">
      <c r="D104" s="260" t="str">
        <f>+Questions!$A68</f>
        <v>5.7</v>
      </c>
      <c r="G104" s="23" t="s">
        <v>141</v>
      </c>
      <c r="H104" s="23" t="str">
        <f>+IF(COUNT(E98:E104)=0,"n.b.",+IF(MIN(E98:E104)=0,"C",+IF(MIN(E98:E104)=4,"B","A")))</f>
        <v>n.b.</v>
      </c>
      <c r="I104" s="224" t="e">
        <f>+A29</f>
        <v>#REF!</v>
      </c>
    </row>
    <row r="105" spans="4:20" ht="15">
      <c r="D105" s="261" t="str">
        <f>+Questions!$A69</f>
        <v>P6</v>
      </c>
      <c r="E105" s="23" t="s">
        <v>227</v>
      </c>
      <c r="I105" s="224"/>
      <c r="J105" s="23">
        <f>'Input Form'!F53</f>
        <v>0</v>
      </c>
      <c r="K105" s="23">
        <f>'Input Form'!F54</f>
        <v>0</v>
      </c>
      <c r="L105" s="23">
        <f>'Input Form'!F55</f>
        <v>0</v>
      </c>
      <c r="T105" s="23" t="s">
        <v>503</v>
      </c>
    </row>
    <row r="106" spans="4:20">
      <c r="D106" s="260" t="str">
        <f>+Questions!$A70</f>
        <v>6.1</v>
      </c>
      <c r="E106" s="23" t="s">
        <v>227</v>
      </c>
      <c r="I106" s="224"/>
      <c r="J106" s="23" t="s">
        <v>279</v>
      </c>
      <c r="K106" s="23" t="s">
        <v>280</v>
      </c>
      <c r="L106" s="23" t="s">
        <v>281</v>
      </c>
    </row>
    <row r="107" spans="4:20">
      <c r="D107" s="260" t="str">
        <f>+Questions!$A71</f>
        <v>6.1.1</v>
      </c>
      <c r="E107" s="23" t="s">
        <v>332</v>
      </c>
      <c r="I107" s="224"/>
    </row>
    <row r="108" spans="4:20">
      <c r="D108" s="260" t="str">
        <f>+Questions!$A82</f>
        <v>6.1.2</v>
      </c>
      <c r="E108" s="23" t="str">
        <f>+IF(Questions!B82&lt;&gt;"x","kein *",+IF(ISERROR(AVERAGE(Questions!D83:D85)),"n.b.",+MIN(Questions!D83:D85)))</f>
        <v>kein *</v>
      </c>
      <c r="I108" s="224"/>
    </row>
    <row r="109" spans="4:20">
      <c r="D109" s="260" t="str">
        <f>+Questions!$A93</f>
        <v>6.1.3</v>
      </c>
      <c r="E109" s="23" t="str">
        <f>+IF(Questions!B93&lt;&gt;"x","kein *",+IF(ISERROR(AVERAGE(Questions!D94:D98)),"n.b.",+MIN(Questions!D94:D98)))</f>
        <v>kein *</v>
      </c>
      <c r="I109" s="224"/>
    </row>
    <row r="110" spans="4:20">
      <c r="D110" s="260" t="str">
        <f>+Questions!$A104</f>
        <v>6.1.4</v>
      </c>
      <c r="E110" s="23" t="str">
        <f>+IF(Questions!B104&lt;&gt;"x","kein *",+IF(ISERROR(AVERAGE(Questions!D105:D107)),"n.b.",+MIN(Questions!D105:D107)))</f>
        <v>kein *</v>
      </c>
      <c r="I110" s="224"/>
    </row>
    <row r="111" spans="4:20">
      <c r="D111" s="260" t="str">
        <f>+Questions!$A115</f>
        <v>6.1.5</v>
      </c>
      <c r="E111" s="23" t="str">
        <f>IF(COUNT(J111:S111)&gt;0,MIN(J111:S111),"n.b")</f>
        <v>n.b</v>
      </c>
      <c r="I111" s="224"/>
      <c r="J111" s="23" t="str">
        <f>IF(OR(J$105=0,ISBLANK(Questions!$D$116)),"--",Questions!$D$116)</f>
        <v>--</v>
      </c>
      <c r="K111" s="23" t="str">
        <f>IF(OR(K$105=0,ISBLANK(Questions!$D$117)),"--",Questions!$D$117)</f>
        <v>--</v>
      </c>
      <c r="L111" s="23" t="str">
        <f>IF(OR(L$105=0,ISBLANK(Questions!$D$118)),"--",Questions!$D$118)</f>
        <v>--</v>
      </c>
    </row>
    <row r="112" spans="4:20">
      <c r="D112" s="260" t="str">
        <f>+Questions!$A126</f>
        <v>6.2</v>
      </c>
      <c r="E112" s="23" t="s">
        <v>227</v>
      </c>
      <c r="I112" s="224"/>
    </row>
    <row r="113" spans="4:12">
      <c r="D113" s="260" t="str">
        <f>+Questions!$A127</f>
        <v>6.2.1</v>
      </c>
      <c r="E113" s="23" t="s">
        <v>332</v>
      </c>
      <c r="I113" s="224"/>
    </row>
    <row r="114" spans="4:12">
      <c r="D114" s="260" t="str">
        <f>+Questions!$A138</f>
        <v>6.2.2</v>
      </c>
      <c r="E114" s="23" t="s">
        <v>332</v>
      </c>
      <c r="I114" s="224"/>
    </row>
    <row r="115" spans="4:12">
      <c r="D115" s="260" t="str">
        <f>+Questions!$A149</f>
        <v>6.2.3</v>
      </c>
      <c r="E115" s="23" t="str">
        <f>IF(COUNT(J115:S115)&gt;0,MIN(J115:S115),"n.b")</f>
        <v>n.b</v>
      </c>
      <c r="I115" s="224"/>
      <c r="J115" s="23" t="str">
        <f>IF(OR(J$105=0,ISBLANK(Questions!$D$150)),"--",Questions!$D$150)</f>
        <v>--</v>
      </c>
      <c r="K115" s="23" t="str">
        <f>IF(OR(K$105=0,ISBLANK(Questions!$D$151)),"--",Questions!$D$151)</f>
        <v>--</v>
      </c>
      <c r="L115" s="23" t="str">
        <f>IF(OR(L$105=0,ISBLANK(Questions!$D$152)),"--",Questions!$D$152)</f>
        <v>--</v>
      </c>
    </row>
    <row r="116" spans="4:12">
      <c r="D116" s="260" t="str">
        <f>+Questions!$A160</f>
        <v>6.2.4</v>
      </c>
      <c r="E116" s="23" t="str">
        <f>IF(COUNT(J116:S116)&gt;0,MIN(J116:S116),"n.b")</f>
        <v>n.b</v>
      </c>
      <c r="I116" s="224"/>
      <c r="J116" s="23" t="str">
        <f>IF(OR(J$105=0,ISBLANK(Questions!$D$161)),"--",Questions!$D$161)</f>
        <v>--</v>
      </c>
      <c r="K116" s="23" t="str">
        <f>IF(OR(K$105=0,ISBLANK(Questions!$D$162)),"--",Questions!$D$162)</f>
        <v>--</v>
      </c>
      <c r="L116" s="23" t="str">
        <f>IF(OR(L$105=0,ISBLANK(Questions!$D$163)),"--",Questions!$D$163)</f>
        <v>--</v>
      </c>
    </row>
    <row r="117" spans="4:12">
      <c r="D117" s="260" t="str">
        <f>+Questions!$A171</f>
        <v>6.2.5</v>
      </c>
      <c r="E117" s="23" t="str">
        <f>+IF(Questions!B171&lt;&gt;"x","kein *",+IF(ISERROR(AVERAGE(Questions!D172:D174)),"n.b.",+MIN(Questions!D172:D174)))</f>
        <v>kein *</v>
      </c>
      <c r="I117" s="224"/>
    </row>
    <row r="118" spans="4:12">
      <c r="D118" s="260" t="str">
        <f>+Questions!$A180</f>
        <v>6.3</v>
      </c>
      <c r="E118" s="23" t="s">
        <v>227</v>
      </c>
      <c r="I118" s="224"/>
    </row>
    <row r="119" spans="4:12">
      <c r="D119" s="260" t="str">
        <f>+Questions!$A181</f>
        <v>6.3.1</v>
      </c>
      <c r="E119" s="23" t="str">
        <f>IF(COUNT(J119:S119)&gt;0,MIN(J119:S119),"n.b")</f>
        <v>n.b</v>
      </c>
      <c r="I119" s="224"/>
      <c r="J119" s="23" t="str">
        <f>IF(OR(J$105=0,ISBLANK(Questions!$D$182)),"--",Questions!$D$182)</f>
        <v>--</v>
      </c>
      <c r="K119" s="23" t="str">
        <f>IF(OR(K$105=0,ISBLANK(Questions!$D$183)),"--",Questions!$D$183)</f>
        <v>--</v>
      </c>
      <c r="L119" s="23" t="str">
        <f>IF(OR(L$105=0,ISBLANK(Questions!$D$184)),"--",Questions!$D$184)</f>
        <v>--</v>
      </c>
    </row>
    <row r="120" spans="4:12">
      <c r="D120" s="260" t="str">
        <f>+Questions!$A192</f>
        <v>6.3.2</v>
      </c>
      <c r="E120" s="23" t="s">
        <v>332</v>
      </c>
      <c r="I120" s="224"/>
    </row>
    <row r="121" spans="4:12">
      <c r="D121" s="260" t="str">
        <f>+Questions!$A203</f>
        <v>6.3.3</v>
      </c>
      <c r="E121" s="23" t="str">
        <f>+IF(Questions!B203&lt;&gt;"x","kein *",+IF(ISERROR(AVERAGE(Questions!D204:D206)),"n.b.",+MIN(Questions!D204:D206)))</f>
        <v>kein *</v>
      </c>
      <c r="I121" s="224"/>
    </row>
    <row r="122" spans="4:12">
      <c r="D122" s="260" t="str">
        <f>+Questions!$A214</f>
        <v>6.4</v>
      </c>
      <c r="E122" s="23" t="s">
        <v>227</v>
      </c>
      <c r="I122" s="224"/>
    </row>
    <row r="123" spans="4:12">
      <c r="D123" s="260" t="str">
        <f>+Questions!$A215</f>
        <v>6.4.1</v>
      </c>
      <c r="E123" s="23" t="str">
        <f>IF(COUNT(J123:S123)&gt;0,MIN(J123:S123),"n.b")</f>
        <v>n.b</v>
      </c>
      <c r="I123" s="224"/>
      <c r="J123" s="23" t="str">
        <f>IF(OR(J$105=0,ISBLANK(Questions!$D$216)),"--",Questions!$D$216)</f>
        <v>--</v>
      </c>
      <c r="K123" s="23" t="str">
        <f>IF(OR(K$105=0,ISBLANK(Questions!$D$217)),"--",Questions!$D$217)</f>
        <v>--</v>
      </c>
      <c r="L123" s="23" t="str">
        <f>IF(OR(L$105=0,ISBLANK(Questions!$D$218)),"--",Questions!$D$218)</f>
        <v>--</v>
      </c>
    </row>
    <row r="124" spans="4:12">
      <c r="D124" s="260" t="str">
        <f>+Questions!$A226</f>
        <v>6.4.2</v>
      </c>
      <c r="E124" s="23" t="s">
        <v>332</v>
      </c>
      <c r="I124" s="224"/>
    </row>
    <row r="125" spans="4:12">
      <c r="D125" s="260" t="str">
        <f>+Questions!$A237</f>
        <v>6.4.3</v>
      </c>
      <c r="E125" s="23" t="str">
        <f>IF(COUNT(J125:S125)&gt;0,MIN(J125:S125),"n.b")</f>
        <v>n.b</v>
      </c>
      <c r="I125" s="224"/>
      <c r="J125" s="23" t="str">
        <f>IF(OR(J$105=0,ISBLANK(Questions!$D$238)),"--",Questions!$D$238)</f>
        <v>--</v>
      </c>
      <c r="K125" s="23" t="str">
        <f>IF(OR(K$105=0,ISBLANK(Questions!$D$239)),"--",Questions!$D$239)</f>
        <v>--</v>
      </c>
      <c r="L125" s="23" t="str">
        <f>IF(OR(L$105=0,ISBLANK(Questions!$D$240)),"--",Questions!$D$240)</f>
        <v>--</v>
      </c>
    </row>
    <row r="126" spans="4:12">
      <c r="D126" s="260" t="str">
        <f>+Questions!$A248</f>
        <v>6.4.4</v>
      </c>
      <c r="E126" s="23" t="str">
        <f>+IF(Questions!B248&lt;&gt;"x","kein *",+IF(ISERROR(AVERAGE(Questions!D249:D251)),"n.b.",+MIN(Questions!D249:D251)))</f>
        <v>kein *</v>
      </c>
      <c r="I126" s="224"/>
    </row>
    <row r="127" spans="4:12">
      <c r="D127" s="331" t="str">
        <f>Questions!A259</f>
        <v>6.4.5</v>
      </c>
      <c r="E127" s="23" t="s">
        <v>332</v>
      </c>
      <c r="I127" s="224"/>
    </row>
    <row r="128" spans="4:12">
      <c r="D128" s="260" t="str">
        <f>+Questions!$A270</f>
        <v>6.5</v>
      </c>
      <c r="E128" s="23" t="s">
        <v>227</v>
      </c>
      <c r="I128" s="224"/>
    </row>
    <row r="129" spans="4:12">
      <c r="D129" s="260" t="str">
        <f>+Questions!$A271</f>
        <v>6.5.1</v>
      </c>
      <c r="E129" s="23" t="str">
        <f>+IF(Questions!B271&lt;&gt;"x","kein *",+IF(ISERROR(AVERAGE(Questions!D272:D274)),"n.b.",+MIN(Questions!D272:D274)))</f>
        <v>kein *</v>
      </c>
      <c r="I129" s="224"/>
    </row>
    <row r="130" spans="4:12">
      <c r="D130" s="260" t="str">
        <f>+Questions!$A282</f>
        <v>6.5.2</v>
      </c>
      <c r="E130" s="23" t="str">
        <f>+IF(Questions!B282&lt;&gt;"x","kein *",+IF(ISERROR(AVERAGE(Questions!D283:D285)),"n.b.",+MIN(Questions!D283:D285)))</f>
        <v>kein *</v>
      </c>
      <c r="I130" s="224"/>
    </row>
    <row r="131" spans="4:12">
      <c r="D131" s="260" t="str">
        <f>+Questions!$A293</f>
        <v>6.5.3</v>
      </c>
      <c r="E131" s="23">
        <f>IF(COUNT(J131:S131)&gt;0,MIN(J131:S131),"n.b")</f>
        <v>6</v>
      </c>
      <c r="I131" s="224"/>
      <c r="J131" s="23">
        <f>IF(Questions!$B293&lt;&gt;"x","kein *",IF(ISBLANK(Questions!D294),"--",Questions!D294))</f>
        <v>10</v>
      </c>
      <c r="K131" s="23">
        <f>IF(Questions!$B293&lt;&gt;"x","kein *",IF(ISBLANK(Questions!D295),"--",Questions!D295))</f>
        <v>6</v>
      </c>
      <c r="L131" s="23">
        <f>IF(Questions!$B293&lt;&gt;"x","kein *",IF(ISBLANK(Questions!D296),"--",Questions!D296))</f>
        <v>10</v>
      </c>
    </row>
    <row r="132" spans="4:12">
      <c r="D132" s="260" t="str">
        <f>+Questions!$A304</f>
        <v>6.5.4</v>
      </c>
      <c r="E132" s="23" t="s">
        <v>332</v>
      </c>
      <c r="I132" s="224"/>
    </row>
    <row r="133" spans="4:12">
      <c r="D133" s="260" t="str">
        <f>+Questions!$A315</f>
        <v>6.6</v>
      </c>
      <c r="E133" s="23" t="s">
        <v>227</v>
      </c>
      <c r="I133" s="224"/>
    </row>
    <row r="134" spans="4:12">
      <c r="D134" s="260" t="str">
        <f>+Questions!$A316</f>
        <v>6.6.1</v>
      </c>
      <c r="E134" s="23" t="s">
        <v>332</v>
      </c>
      <c r="I134" s="224"/>
    </row>
    <row r="135" spans="4:12">
      <c r="D135" s="260" t="str">
        <f>+Questions!$A327</f>
        <v>6.6.2</v>
      </c>
      <c r="E135" s="23" t="str">
        <f>+IF(Questions!B327&lt;&gt;"x","kein *",+IF(ISERROR(AVERAGE(Questions!D328:D330)),"n.b.",+MIN(Questions!D328:D330)))</f>
        <v>kein *</v>
      </c>
      <c r="I135" s="224"/>
    </row>
    <row r="136" spans="4:12">
      <c r="D136" s="260" t="str">
        <f>+Questions!$A338</f>
        <v>6.6.3</v>
      </c>
      <c r="E136" s="23" t="str">
        <f>+IF(Questions!B338&lt;&gt;"x","kein *",+IF(ISERROR(AVERAGE(Questions!D339:D341)),"n.b.",+MIN(Questions!D339:D341)))</f>
        <v>kein *</v>
      </c>
      <c r="I136" s="224"/>
    </row>
    <row r="137" spans="4:12">
      <c r="D137" s="260" t="str">
        <f>+Questions!$A349</f>
        <v>6.6.4</v>
      </c>
      <c r="E137" s="23" t="str">
        <f>IF(COUNT(J137:S137)&gt;0,MIN(J137:S137),"n.b")</f>
        <v>n.b</v>
      </c>
      <c r="I137" s="224"/>
      <c r="J137" s="23" t="str">
        <f>IF(OR(J$105=0,ISBLANK(Questions!$D$350)),"--",Questions!$D$350)</f>
        <v>--</v>
      </c>
      <c r="K137" s="23" t="str">
        <f>IF(OR(K$105=0,ISBLANK(Questions!$D$351)),"--",Questions!$D$351)</f>
        <v>--</v>
      </c>
      <c r="L137" s="23" t="str">
        <f>IF(OR(L$105=0,ISBLANK(Questions!$D$352)),"--",Questions!$D$352)</f>
        <v>--</v>
      </c>
    </row>
    <row r="138" spans="4:12" ht="15">
      <c r="D138" s="261" t="str">
        <f>+Questions!$A360</f>
        <v>P7</v>
      </c>
      <c r="E138" s="23" t="s">
        <v>227</v>
      </c>
      <c r="G138" s="23" t="s">
        <v>142</v>
      </c>
      <c r="H138" s="222" t="str">
        <f>IF(COUNT(E106:E137)=0,"n.b.",IF(MIN(E106:E137)=0,"C",IF(MIN(E106:E137)=4,"B","A")))</f>
        <v>A</v>
      </c>
      <c r="I138" s="239" t="str">
        <f>+A42</f>
        <v>A</v>
      </c>
      <c r="J138" s="222" t="str">
        <f>+IF(COUNTIFS(Questions!$A$72:$A$352,J106,Questions!$D$72:$D$352,"n.b.")=26,"n.b.",+IF(MIN(J107:J137)=0,"C",+IF(MIN(J107:J137)=4,"B","A")))</f>
        <v>A</v>
      </c>
      <c r="K138" s="222" t="str">
        <f>+IF(COUNTIFS(Questions!$A$72:$A$352,K106,Questions!$D$72:$D$352,"n.b.")=26,"n.b.",+IF(MIN(K107:K137)=0,"C",+IF(MIN(K107:K137)=4,"B","A")))</f>
        <v>A</v>
      </c>
      <c r="L138" s="222" t="str">
        <f>+IF(COUNTIFS(Questions!$A$72:$A$352,L106,Questions!$D$72:$D$352,"n.b.")=26,"n.b.",+IF(MIN(L107:L137)=0,"C",+IF(MIN(L107:L137)=4,"B","A")))</f>
        <v>A</v>
      </c>
    </row>
    <row r="139" spans="4:12">
      <c r="D139" s="260" t="str">
        <f>+Questions!$A361</f>
        <v>7.1</v>
      </c>
      <c r="I139" s="224"/>
      <c r="J139" s="23">
        <v>1</v>
      </c>
      <c r="K139" s="23">
        <v>2</v>
      </c>
      <c r="L139" s="23">
        <v>3</v>
      </c>
    </row>
    <row r="140" spans="4:12">
      <c r="D140" s="260" t="str">
        <f>+Questions!$A362</f>
        <v>7.2</v>
      </c>
      <c r="I140" s="224"/>
    </row>
    <row r="141" spans="4:12">
      <c r="D141" s="260" t="str">
        <f>+Questions!$A363</f>
        <v>7.3</v>
      </c>
      <c r="E141" s="23" t="e">
        <f>W52</f>
        <v>#REF!</v>
      </c>
      <c r="I141" s="224"/>
    </row>
    <row r="142" spans="4:12">
      <c r="D142" s="260" t="str">
        <f>+Questions!$A364</f>
        <v>7.4</v>
      </c>
      <c r="E142" s="23" t="e">
        <f>X52</f>
        <v>#REF!</v>
      </c>
      <c r="I142" s="224"/>
    </row>
    <row r="143" spans="4:12">
      <c r="D143" s="260" t="str">
        <f>+Questions!$A365</f>
        <v>7.5</v>
      </c>
      <c r="I143" s="224"/>
    </row>
    <row r="144" spans="4:12">
      <c r="D144" s="262"/>
      <c r="E144" s="225"/>
      <c r="F144" s="225"/>
      <c r="G144" s="225" t="s">
        <v>143</v>
      </c>
      <c r="H144" s="270" t="str">
        <f>IF(COUNT(E139:E143)=0,"n.b.",+IF(MIN(E139:E143)=0,"C",+IF(MIN(E139:E143)=4,"B","A")))</f>
        <v>n.b.</v>
      </c>
      <c r="I144" s="203" t="e">
        <f>+A52</f>
        <v>#REF!</v>
      </c>
    </row>
    <row r="145" spans="2:31" ht="15" thickBot="1">
      <c r="D145" s="251" t="s">
        <v>212</v>
      </c>
      <c r="E145" s="252">
        <f>+COUNT((E75:E143))</f>
        <v>1</v>
      </c>
      <c r="F145" s="252">
        <f>+COUNTIF(E75:E143,0)</f>
        <v>0</v>
      </c>
      <c r="G145" s="252" t="e">
        <f>+IF(COUNT(E75:E143)=0,"n.b.",+MIN(E75:E143))</f>
        <v>#REF!</v>
      </c>
      <c r="H145" s="252"/>
      <c r="I145" s="253"/>
      <c r="Z145" s="23" t="s">
        <v>237</v>
      </c>
      <c r="AA145" s="23" t="s">
        <v>235</v>
      </c>
      <c r="AB145" s="159" t="e">
        <f>+G48</f>
        <v>#REF!</v>
      </c>
    </row>
    <row r="146" spans="2:31" ht="15" thickBot="1">
      <c r="D146" s="254" t="s">
        <v>213</v>
      </c>
      <c r="E146" s="250" t="str">
        <f>+IF(E145=0,"n.b.",(+IF(F145&gt;=1,"C",(+IF(F146&gt;=1,"B","A")))))</f>
        <v>A</v>
      </c>
      <c r="F146" s="249">
        <f>+COUNTIF(E75:E143,4)</f>
        <v>0</v>
      </c>
      <c r="G146" s="249" t="e">
        <f>+IF(G145="n.b.","n.b.",+IF(G145=0,"C",+IF(G145=4,"B","A")))</f>
        <v>#REF!</v>
      </c>
      <c r="H146" s="249"/>
      <c r="I146" s="255"/>
      <c r="Z146" s="23" t="s">
        <v>238</v>
      </c>
      <c r="AA146" s="23" t="s">
        <v>236</v>
      </c>
      <c r="AB146" s="159" t="e">
        <f>+M48</f>
        <v>#REF!</v>
      </c>
    </row>
    <row r="147" spans="2:31" ht="18">
      <c r="D147" s="192"/>
      <c r="G147" s="231"/>
      <c r="H147" s="211"/>
      <c r="I147" s="211"/>
      <c r="J147" s="232"/>
      <c r="K147" s="230"/>
      <c r="L147" s="219"/>
      <c r="M147" s="263" t="s">
        <v>255</v>
      </c>
      <c r="N147" s="219"/>
      <c r="O147" s="219"/>
      <c r="P147" s="219"/>
      <c r="Q147" s="219"/>
      <c r="R147" s="219"/>
      <c r="S147" s="219"/>
      <c r="T147" s="219"/>
      <c r="U147" s="219"/>
      <c r="V147" s="220"/>
      <c r="Z147" s="23" t="s">
        <v>239</v>
      </c>
      <c r="AA147" s="23" t="s">
        <v>266</v>
      </c>
      <c r="AB147" s="159" t="e">
        <f>+Q48</f>
        <v>#REF!</v>
      </c>
    </row>
    <row r="148" spans="2:31">
      <c r="D148" s="192"/>
      <c r="G148" s="233"/>
      <c r="H148" s="211"/>
      <c r="I148" s="211"/>
      <c r="J148" s="232"/>
      <c r="K148" s="33"/>
      <c r="V148" s="39"/>
      <c r="Z148" s="23" t="s">
        <v>240</v>
      </c>
      <c r="AA148" s="23" t="s">
        <v>268</v>
      </c>
      <c r="AB148" s="159" t="e">
        <f>+W48</f>
        <v>#REF!</v>
      </c>
    </row>
    <row r="149" spans="2:31">
      <c r="D149" s="192"/>
      <c r="G149" s="211"/>
      <c r="H149" s="211"/>
      <c r="I149" s="211"/>
      <c r="J149" s="232"/>
      <c r="K149" s="227" t="e">
        <f>BB62</f>
        <v>#REF!</v>
      </c>
      <c r="L149" s="226" t="e">
        <f>+IF(K149="n.b.","n.b.",+IF(K149&lt;80%,"C",+IF(K149&lt;90%,"B","A")))</f>
        <v>#REF!</v>
      </c>
      <c r="M149" s="264" t="s">
        <v>253</v>
      </c>
      <c r="N149" s="264"/>
      <c r="O149" s="264"/>
      <c r="P149" s="264"/>
      <c r="Q149" s="264"/>
      <c r="R149" s="264"/>
      <c r="S149" s="264"/>
      <c r="T149" s="264"/>
      <c r="U149" s="211"/>
      <c r="V149" s="232"/>
      <c r="Z149" s="23" t="s">
        <v>241</v>
      </c>
      <c r="AA149" s="23" t="s">
        <v>269</v>
      </c>
      <c r="AB149" s="159" t="e">
        <f>+AB48</f>
        <v>#REF!</v>
      </c>
    </row>
    <row r="150" spans="2:31">
      <c r="B150"/>
      <c r="C150"/>
      <c r="D150"/>
      <c r="E150"/>
      <c r="F150"/>
      <c r="G150"/>
      <c r="H150" s="211"/>
      <c r="I150" s="211"/>
      <c r="J150" s="232"/>
      <c r="K150" s="228"/>
      <c r="L150" s="221" t="str">
        <f>+E146</f>
        <v>A</v>
      </c>
      <c r="M150" s="264" t="s">
        <v>254</v>
      </c>
      <c r="N150" s="264"/>
      <c r="O150" s="264"/>
      <c r="P150" s="264"/>
      <c r="Q150" s="264"/>
      <c r="R150" s="264"/>
      <c r="S150" s="264"/>
      <c r="T150" s="264"/>
      <c r="U150" s="211"/>
      <c r="V150" s="232"/>
      <c r="Z150" s="23" t="s">
        <v>242</v>
      </c>
      <c r="AA150" s="23" t="s">
        <v>270</v>
      </c>
      <c r="AB150" s="159" t="e">
        <f>+AG48</f>
        <v>#REF!</v>
      </c>
    </row>
    <row r="151" spans="2:31">
      <c r="B151"/>
      <c r="C151"/>
      <c r="D151"/>
      <c r="E151"/>
      <c r="F151"/>
      <c r="G151"/>
      <c r="H151" s="234"/>
      <c r="I151" s="211"/>
      <c r="J151" s="232"/>
      <c r="K151" s="228"/>
      <c r="L151" s="221" t="str">
        <f>IF(COUNT((A8:A52)=0),"n.b.",+IF(COUNTIF((A8:A52),"C")&gt;=1,"C",+IF(+COUNTIF((A8:A52),"B")&gt;=1,"B","A")))</f>
        <v>A</v>
      </c>
      <c r="M151" s="264" t="s">
        <v>257</v>
      </c>
      <c r="N151" s="264"/>
      <c r="O151" s="264"/>
      <c r="P151" s="264"/>
      <c r="Q151" s="264"/>
      <c r="R151" s="264"/>
      <c r="S151" s="264"/>
      <c r="T151" s="264"/>
      <c r="U151" s="211"/>
      <c r="V151" s="232"/>
      <c r="Z151" s="23" t="s">
        <v>243</v>
      </c>
      <c r="AA151" s="23" t="s">
        <v>271</v>
      </c>
      <c r="AB151" s="159" t="e">
        <f>+BD48</f>
        <v>#REF!</v>
      </c>
    </row>
    <row r="152" spans="2:31">
      <c r="B152"/>
      <c r="C152"/>
      <c r="D152"/>
      <c r="E152"/>
      <c r="F152"/>
      <c r="G152"/>
      <c r="H152" s="211"/>
      <c r="I152" s="211"/>
      <c r="J152" s="232"/>
      <c r="K152" s="228"/>
      <c r="L152" s="221" t="e">
        <f>+AD152</f>
        <v>#REF!</v>
      </c>
      <c r="M152" s="264" t="s">
        <v>638</v>
      </c>
      <c r="N152" s="264"/>
      <c r="O152" s="264"/>
      <c r="P152" s="264"/>
      <c r="Q152" s="264"/>
      <c r="R152" s="264"/>
      <c r="S152" s="264"/>
      <c r="T152" s="264"/>
      <c r="U152" s="211"/>
      <c r="V152" s="232"/>
      <c r="AB152" s="23">
        <f>+COUNTIF(AB145:AB151,"n.b.")</f>
        <v>0</v>
      </c>
      <c r="AD152" s="272" t="e">
        <f>+IF(AB152=7,$BL$35,+IF(MIN(G48,M48,Q48,W48,AB48,AG48,BD48)&lt;80%,"B","A"))</f>
        <v>#REF!</v>
      </c>
      <c r="AE152" s="23">
        <f>+COUNTIF((AB145:AB151),"=&lt;80")</f>
        <v>0</v>
      </c>
    </row>
    <row r="153" spans="2:31">
      <c r="B153"/>
      <c r="C153"/>
      <c r="D153"/>
      <c r="E153"/>
      <c r="F153"/>
      <c r="G153"/>
      <c r="H153" s="211"/>
      <c r="I153" s="211"/>
      <c r="J153" s="232"/>
      <c r="K153" s="228"/>
      <c r="L153" s="221" t="e">
        <f>+AD167</f>
        <v>#REF!</v>
      </c>
      <c r="M153" s="264" t="s">
        <v>214</v>
      </c>
      <c r="N153" s="264"/>
      <c r="O153" s="264"/>
      <c r="P153" s="264"/>
      <c r="Q153" s="264"/>
      <c r="R153" s="264"/>
      <c r="S153" s="264"/>
      <c r="T153" s="264"/>
      <c r="U153" s="211"/>
      <c r="V153" s="232"/>
    </row>
    <row r="154" spans="2:31" ht="15" thickBot="1">
      <c r="B154"/>
      <c r="C154"/>
      <c r="D154"/>
      <c r="E154"/>
      <c r="F154"/>
      <c r="G154"/>
      <c r="H154" s="211"/>
      <c r="I154" s="211"/>
      <c r="J154" s="232"/>
      <c r="K154" s="33"/>
      <c r="L154" s="221" t="e">
        <f>++IF(K149="n.b.","n.b.",+IF(MIN(epm,ede,epe,elm,ek,epg)&lt;70%,"C",+IF(MIN(epm,ede,epe,elm,ek,epg)&lt;80%,"B","kA")))</f>
        <v>#REF!</v>
      </c>
      <c r="M154" s="265" t="s">
        <v>272</v>
      </c>
      <c r="N154" s="264"/>
      <c r="O154" s="264"/>
      <c r="P154" s="264"/>
      <c r="Q154" s="264"/>
      <c r="R154" s="264"/>
      <c r="S154" s="264"/>
      <c r="T154" s="264"/>
      <c r="U154" s="211"/>
      <c r="V154" s="232"/>
    </row>
    <row r="155" spans="2:31" ht="15" thickBot="1">
      <c r="B155"/>
      <c r="C155"/>
      <c r="D155"/>
      <c r="E155"/>
      <c r="F155"/>
      <c r="G155"/>
      <c r="H155" s="211"/>
      <c r="I155" s="211"/>
      <c r="J155" s="232"/>
      <c r="K155" s="228"/>
      <c r="L155" s="235" t="str">
        <f>IF(COUNTIF(L149:L154,"n.b.")=6,"n.b.",IF(COUNTIF(L149:L154,"C")&gt;=1,"C",IF(COUNTIF(L149:L154,"B")&gt;=1,"B","A")))</f>
        <v>A</v>
      </c>
      <c r="M155" s="266" t="s">
        <v>215</v>
      </c>
      <c r="N155" s="266"/>
      <c r="O155" s="267"/>
      <c r="P155" s="264"/>
      <c r="Q155" s="264"/>
      <c r="R155" s="264"/>
      <c r="S155" s="264"/>
      <c r="T155" s="264"/>
      <c r="U155" s="211"/>
      <c r="V155" s="232"/>
    </row>
    <row r="156" spans="2:31">
      <c r="B156"/>
      <c r="C156"/>
      <c r="D156"/>
      <c r="E156"/>
      <c r="F156"/>
      <c r="G156"/>
      <c r="H156" s="211"/>
      <c r="I156" s="211"/>
      <c r="J156" s="232"/>
      <c r="K156" s="228"/>
      <c r="L156" s="158"/>
      <c r="M156" s="264"/>
      <c r="N156" s="264"/>
      <c r="O156" s="264"/>
      <c r="P156" s="264"/>
      <c r="Q156" s="264"/>
      <c r="R156" s="264"/>
      <c r="S156" s="264"/>
      <c r="T156" s="264"/>
      <c r="U156" s="211"/>
      <c r="V156" s="232"/>
      <c r="Z156" s="23" t="s">
        <v>267</v>
      </c>
    </row>
    <row r="157" spans="2:31">
      <c r="B157"/>
      <c r="C157"/>
      <c r="D157"/>
      <c r="E157"/>
      <c r="F157"/>
      <c r="G157"/>
      <c r="H157" s="211"/>
      <c r="I157" s="211"/>
      <c r="J157" s="232"/>
      <c r="K157" s="228"/>
      <c r="L157" s="158"/>
      <c r="M157" s="264"/>
      <c r="N157" s="264"/>
      <c r="O157" s="264"/>
      <c r="P157" s="264"/>
      <c r="Q157" s="264"/>
      <c r="R157" s="264"/>
      <c r="S157" s="264"/>
      <c r="T157" s="264"/>
      <c r="U157" s="211"/>
      <c r="V157" s="232"/>
      <c r="Y157" s="193"/>
      <c r="Z157" s="23" t="s">
        <v>30</v>
      </c>
      <c r="AA157" s="23" t="s">
        <v>244</v>
      </c>
      <c r="AB157" s="159" t="e">
        <f>+AS36</f>
        <v>#REF!</v>
      </c>
    </row>
    <row r="158" spans="2:31">
      <c r="B158"/>
      <c r="C158"/>
      <c r="D158"/>
      <c r="E158"/>
      <c r="F158"/>
      <c r="G158"/>
      <c r="H158" s="211"/>
      <c r="I158" s="211"/>
      <c r="J158" s="232"/>
      <c r="K158" s="227" t="str">
        <f>+IF(ISERROR(+AVERAGE(epm,ede,epe)),"n.b.",+ROUND((+AVERAGE(epm,ede,epe)),2))</f>
        <v>n.b.</v>
      </c>
      <c r="L158" s="226" t="str">
        <f>+IF(K158="n.b.","n.b.",(+IF(K158&lt;80%,"C",+IF(K158&lt;90%,"B","A"))))</f>
        <v>n.b.</v>
      </c>
      <c r="M158" s="264" t="s">
        <v>219</v>
      </c>
      <c r="N158" s="264"/>
      <c r="O158" s="264"/>
      <c r="P158" s="264"/>
      <c r="Q158" s="264"/>
      <c r="R158" s="264"/>
      <c r="S158" s="264"/>
      <c r="T158" s="264"/>
      <c r="U158" s="211"/>
      <c r="V158" s="232"/>
      <c r="Y158" s="193"/>
      <c r="Z158" s="23" t="s">
        <v>31</v>
      </c>
      <c r="AA158" s="23" t="s">
        <v>245</v>
      </c>
      <c r="AB158" s="159" t="e">
        <f>+AS38</f>
        <v>#REF!</v>
      </c>
    </row>
    <row r="159" spans="2:31">
      <c r="B159"/>
      <c r="C159"/>
      <c r="D159"/>
      <c r="E159"/>
      <c r="F159"/>
      <c r="G159"/>
      <c r="H159" s="211"/>
      <c r="I159" s="211"/>
      <c r="J159" s="232"/>
      <c r="K159" s="228"/>
      <c r="L159" s="221" t="str">
        <f>+IF(COUNTIF(H82:H97,"n.b.")=3,"n.b.",+IF(COUNTIF((H82:H97),"C")&gt;=1,"C",+IF(+COUNTIF((H82:H97),"B")&gt;=1,"B","A")))</f>
        <v>n.b.</v>
      </c>
      <c r="M159" s="264" t="s">
        <v>256</v>
      </c>
      <c r="N159" s="264"/>
      <c r="O159" s="264"/>
      <c r="P159" s="264"/>
      <c r="Q159" s="264"/>
      <c r="R159" s="264"/>
      <c r="S159" s="264"/>
      <c r="T159" s="264"/>
      <c r="U159" s="211"/>
      <c r="V159" s="232"/>
      <c r="Y159" s="193"/>
      <c r="Z159" s="23" t="s">
        <v>32</v>
      </c>
      <c r="AA159" s="23" t="s">
        <v>246</v>
      </c>
      <c r="AB159" s="159" t="e">
        <f>+AS40</f>
        <v>#REF!</v>
      </c>
    </row>
    <row r="160" spans="2:31">
      <c r="B160"/>
      <c r="C160"/>
      <c r="D160"/>
      <c r="E160"/>
      <c r="F160"/>
      <c r="G160"/>
      <c r="H160" s="211"/>
      <c r="I160" s="211"/>
      <c r="J160" s="232"/>
      <c r="K160" s="33"/>
      <c r="L160" s="221" t="str">
        <f>++IF(K158="n.b.","n.b.",+IF(MIN(epm,ede,epe)&lt;70%,"C",+IF(MIN(epm,ede,epe)&lt;80%,"B","kA")))</f>
        <v>n.b.</v>
      </c>
      <c r="M160" s="265" t="s">
        <v>265</v>
      </c>
      <c r="N160" s="264"/>
      <c r="O160" s="264"/>
      <c r="P160" s="211"/>
      <c r="Q160" s="264"/>
      <c r="R160" s="264"/>
      <c r="S160" s="264"/>
      <c r="T160" s="264"/>
      <c r="U160" s="211"/>
      <c r="V160" s="232"/>
      <c r="Y160" s="193"/>
      <c r="AB160" s="159"/>
    </row>
    <row r="161" spans="2:30" ht="15" thickBot="1">
      <c r="B161"/>
      <c r="C161"/>
      <c r="D161"/>
      <c r="E161"/>
      <c r="F161"/>
      <c r="G161"/>
      <c r="H161" s="211"/>
      <c r="I161" s="211"/>
      <c r="J161" s="232"/>
      <c r="K161" s="33"/>
      <c r="L161" s="221" t="str">
        <f>IF(COUNT((A8:A22)=0),"n.b.",+IF(+COUNTIF((A8:A22),"C")&gt;=1,"C",+IF(+COUNTIF((A8:A22),"B")&gt;=1,"B","A")))</f>
        <v>A</v>
      </c>
      <c r="M161" s="265" t="s">
        <v>252</v>
      </c>
      <c r="N161" s="264"/>
      <c r="O161" s="264"/>
      <c r="P161" s="211"/>
      <c r="Q161" s="264"/>
      <c r="R161" s="264"/>
      <c r="S161" s="264"/>
      <c r="T161" s="264"/>
      <c r="U161" s="211"/>
      <c r="V161" s="232"/>
      <c r="Y161" s="193"/>
      <c r="AB161" s="159"/>
    </row>
    <row r="162" spans="2:30" ht="15" thickBot="1">
      <c r="B162"/>
      <c r="C162"/>
      <c r="D162"/>
      <c r="E162"/>
      <c r="F162"/>
      <c r="G162"/>
      <c r="H162" s="211"/>
      <c r="I162" s="211"/>
      <c r="J162" s="232"/>
      <c r="K162" s="228"/>
      <c r="L162" s="235" t="str">
        <f>+IF(L158="n.b.","n.b.",+IF(COUNTIF(L158:L161,"C")&gt;=1,"C",+IF(COUNTIF(L158:L161,"B")&gt;=1,"B","A")))</f>
        <v>n.b.</v>
      </c>
      <c r="M162" s="266" t="s">
        <v>220</v>
      </c>
      <c r="N162" s="267"/>
      <c r="O162" s="264"/>
      <c r="P162" s="264"/>
      <c r="Q162" s="264"/>
      <c r="R162" s="264"/>
      <c r="S162" s="264"/>
      <c r="T162" s="264"/>
      <c r="U162" s="211"/>
      <c r="V162" s="232"/>
      <c r="Y162" s="193"/>
      <c r="AB162" s="159"/>
    </row>
    <row r="163" spans="2:30">
      <c r="B163"/>
      <c r="C163"/>
      <c r="D163"/>
      <c r="E163"/>
      <c r="F163"/>
      <c r="G163"/>
      <c r="H163" s="211"/>
      <c r="I163" s="211"/>
      <c r="J163" s="232"/>
      <c r="K163" s="228"/>
      <c r="L163" s="158"/>
      <c r="M163" s="264"/>
      <c r="N163" s="264"/>
      <c r="O163" s="264"/>
      <c r="P163" s="264"/>
      <c r="Q163" s="264"/>
      <c r="R163" s="264"/>
      <c r="S163" s="264"/>
      <c r="T163" s="264"/>
      <c r="U163" s="211"/>
      <c r="V163" s="232"/>
      <c r="Y163" s="193"/>
      <c r="AB163" s="159"/>
    </row>
    <row r="164" spans="2:30">
      <c r="B164"/>
      <c r="C164"/>
      <c r="D164"/>
      <c r="E164"/>
      <c r="F164"/>
      <c r="G164"/>
      <c r="H164" s="211"/>
      <c r="I164" s="211"/>
      <c r="J164" s="232"/>
      <c r="K164" s="227" t="str">
        <f>++IF(ISERROR(AVERAGE(ez,epg,ek)),"n.b.",+ROUND((+AVERAGE(ez,epg,ek)),2))</f>
        <v>n.b.</v>
      </c>
      <c r="L164" s="226" t="str">
        <f>+IF(K164="n.b.","n.b.",+IF(K164&lt;80%,"C",+IF(K164&lt;90%,"B","A")))</f>
        <v>n.b.</v>
      </c>
      <c r="M164" s="264" t="s">
        <v>221</v>
      </c>
      <c r="N164" s="264"/>
      <c r="O164" s="264"/>
      <c r="P164" s="264"/>
      <c r="Q164" s="264"/>
      <c r="R164" s="264"/>
      <c r="S164" s="264"/>
      <c r="T164" s="264"/>
      <c r="U164" s="211"/>
      <c r="V164" s="232"/>
      <c r="Y164" s="193"/>
      <c r="AB164" s="159"/>
    </row>
    <row r="165" spans="2:30">
      <c r="B165"/>
      <c r="C165"/>
      <c r="D165"/>
      <c r="E165"/>
      <c r="F165"/>
      <c r="G165"/>
      <c r="H165" s="211"/>
      <c r="I165" s="211"/>
      <c r="J165" s="232"/>
      <c r="K165" s="228"/>
      <c r="L165" s="221" t="str">
        <f>+IF(K164="n.b.","n.b.",+IF(MIN(elm,epg,ek,AS36:AS40,G48,M48,Q48,W48,AB48,AG48,BD48)&lt;70%,"C",IF(MIN(elm,epg,ek,AS36:AS40,G48,M48,Q48,W48,AB48,AG48,BD48)&lt;80%,"B","A")))</f>
        <v>n.b.</v>
      </c>
      <c r="M165" s="264" t="s">
        <v>273</v>
      </c>
      <c r="N165" s="264"/>
      <c r="O165" s="264"/>
      <c r="P165" s="264"/>
      <c r="Q165" s="264"/>
      <c r="R165" s="264"/>
      <c r="S165" s="264"/>
      <c r="T165" s="264"/>
      <c r="U165" s="211"/>
      <c r="V165" s="232"/>
      <c r="Y165" s="159"/>
      <c r="AB165" s="159"/>
    </row>
    <row r="166" spans="2:30">
      <c r="B166"/>
      <c r="C166"/>
      <c r="D166"/>
      <c r="E166"/>
      <c r="F166"/>
      <c r="G166"/>
      <c r="H166" s="211"/>
      <c r="I166" s="211"/>
      <c r="J166" s="232"/>
      <c r="K166" s="33"/>
      <c r="L166" s="221" t="str">
        <f>IF(COUNT((A29:A52)=0),"n.b.",+IF(+COUNTIF((A29:A52),"C")&gt;=1,"C",+IF(+COUNTIF((A29:A52),"B")&gt;=1,"B","A")))</f>
        <v>A</v>
      </c>
      <c r="M166" s="265" t="s">
        <v>251</v>
      </c>
      <c r="N166" s="264"/>
      <c r="O166" s="264"/>
      <c r="P166" s="264"/>
      <c r="Q166" s="264"/>
      <c r="R166" s="264"/>
      <c r="S166" s="264"/>
      <c r="T166" s="264"/>
      <c r="U166" s="211"/>
      <c r="V166" s="232"/>
      <c r="Y166" s="159"/>
      <c r="AB166" s="159"/>
    </row>
    <row r="167" spans="2:30" ht="15" thickBot="1">
      <c r="B167"/>
      <c r="C167"/>
      <c r="D167"/>
      <c r="E167"/>
      <c r="F167"/>
      <c r="G167"/>
      <c r="H167" s="211"/>
      <c r="I167" s="211"/>
      <c r="J167" s="232"/>
      <c r="K167" s="228"/>
      <c r="L167" s="221" t="str">
        <f>+IF(K164="n.b.","n.b.",+IF(COUNTIF((H104:H144),"C")&gt;=1,"C",+IF(+COUNTIF((H104:H144),"B")&gt;=1,"B","A")))</f>
        <v>n.b.</v>
      </c>
      <c r="M167" s="264" t="s">
        <v>250</v>
      </c>
      <c r="N167" s="264"/>
      <c r="O167" s="264"/>
      <c r="P167" s="264"/>
      <c r="Q167" s="264"/>
      <c r="R167" s="264"/>
      <c r="S167" s="264"/>
      <c r="T167" s="264"/>
      <c r="U167" s="211"/>
      <c r="V167" s="232"/>
      <c r="AB167" s="23">
        <f>+COUNTIF(AB157:AB166,"n.b.")</f>
        <v>0</v>
      </c>
      <c r="AD167" s="272" t="e">
        <f>+IF(AB167=3,"n.b.",+IF(MIN(AB157:AB159)&lt;70%,"C",+IF(MIN(AB157:AB159)&lt;80%,"B","A")))</f>
        <v>#REF!</v>
      </c>
    </row>
    <row r="168" spans="2:30" ht="15" thickBot="1">
      <c r="B168"/>
      <c r="C168"/>
      <c r="D168"/>
      <c r="E168"/>
      <c r="F168"/>
      <c r="G168"/>
      <c r="H168" s="211"/>
      <c r="I168" s="211"/>
      <c r="J168" s="232"/>
      <c r="K168" s="229"/>
      <c r="L168" s="235" t="str">
        <f>++IF(K164="n.b.","n.b.",+IF(ISERROR(K164),"n.b.",+IF(COUNTIF(L164:L167,"C")&gt;=1,"C",+IF(COUNTIF(L164:L167,"B")&gt;=1,"B","A"))))</f>
        <v>n.b.</v>
      </c>
      <c r="M168" s="266" t="s">
        <v>258</v>
      </c>
      <c r="N168" s="267"/>
      <c r="O168" s="268"/>
      <c r="P168" s="268"/>
      <c r="Q168" s="268"/>
      <c r="R168" s="268"/>
      <c r="S168" s="268"/>
      <c r="T168" s="268"/>
      <c r="U168" s="273"/>
      <c r="V168" s="269"/>
    </row>
    <row r="169" spans="2:30">
      <c r="B169"/>
      <c r="C169"/>
      <c r="D169"/>
      <c r="E169"/>
      <c r="F169"/>
      <c r="G169"/>
      <c r="K169" s="158"/>
      <c r="L169" s="158"/>
      <c r="M169" s="158"/>
      <c r="N169" s="158"/>
      <c r="O169" s="158"/>
      <c r="P169" s="158"/>
      <c r="Q169" s="158"/>
      <c r="R169" s="158"/>
      <c r="S169" s="158"/>
      <c r="T169" s="158"/>
    </row>
    <row r="171" spans="2:30">
      <c r="K171" s="240" t="s">
        <v>248</v>
      </c>
      <c r="L171" s="241"/>
      <c r="M171" s="241"/>
      <c r="N171" s="241"/>
      <c r="O171" s="241"/>
      <c r="P171" s="242"/>
    </row>
    <row r="172" spans="2:30">
      <c r="K172" s="243" t="s">
        <v>247</v>
      </c>
      <c r="L172" s="244"/>
      <c r="M172" s="244"/>
      <c r="N172" s="244"/>
      <c r="O172" s="244"/>
      <c r="P172" s="245"/>
      <c r="R172" s="158"/>
      <c r="S172" s="23" t="s">
        <v>222</v>
      </c>
      <c r="T172" s="158"/>
    </row>
    <row r="173" spans="2:30">
      <c r="K173" s="246" t="s">
        <v>249</v>
      </c>
      <c r="L173" s="247"/>
      <c r="M173" s="247"/>
      <c r="N173" s="247"/>
      <c r="O173" s="247"/>
      <c r="P173" s="248"/>
      <c r="S173" s="23">
        <v>1</v>
      </c>
      <c r="T173" s="23">
        <v>2</v>
      </c>
      <c r="U173" s="23">
        <v>3</v>
      </c>
    </row>
    <row r="174" spans="2:30">
      <c r="P174" s="23" t="s">
        <v>223</v>
      </c>
      <c r="S174" s="23" t="str">
        <f>+J138</f>
        <v>A</v>
      </c>
      <c r="T174" s="23" t="str">
        <f>+K138</f>
        <v>A</v>
      </c>
      <c r="U174" s="23" t="str">
        <f>+L138</f>
        <v>A</v>
      </c>
    </row>
    <row r="175" spans="2:30">
      <c r="R175" s="23" t="s">
        <v>47</v>
      </c>
      <c r="S175" s="23" t="str">
        <f>+IF(ISERROR(AVERAGE(D36:H36)),"n.b.",(+IF(AVERAGE(D36:H36)&lt;70%,"C",+IF(AVERAGE(D36:H36)&lt;80%,"B","A"))))</f>
        <v>n.b.</v>
      </c>
      <c r="T175" s="23" t="str">
        <f>+IF(ISERROR(AVERAGE(D38:H38)),"n.b.",(+IF(AVERAGE(D38:H38)&lt;70%,"C",+IF(AVERAGE(D38:H38)&lt;80%,"B","A"))))</f>
        <v>n.b.</v>
      </c>
      <c r="U175" s="23" t="str">
        <f>+IF(ISERROR(AVERAGE(D40:H40)),"n.b.",(+IF(AVERAGE(D40:H40)&lt;70%,"C",+IF(AVERAGE(D40:H40)&lt;80%,"B","A"))))</f>
        <v>n.b.</v>
      </c>
    </row>
    <row r="176" spans="2:30">
      <c r="R176" s="23" t="s">
        <v>48</v>
      </c>
      <c r="S176" s="23" t="str">
        <f>+IF(ISERROR(AVERAGE(J36:O36)),"n.b.",(+IF(AVERAGE(J36:O36)&lt;70%,"C",+IF(AVERAGE(J36:O36)&lt;80%,"B","A"))))</f>
        <v>n.b.</v>
      </c>
      <c r="T176" s="23" t="str">
        <f>+IF(ISERROR(AVERAGE(J38:O38)),"n.b.",(+IF(AVERAGE(J38:O38)&lt;70%,"C",+IF(AVERAGE(J38:O38)&lt;80%,"B","A"))))</f>
        <v>n.b.</v>
      </c>
      <c r="U176" s="23" t="str">
        <f>+IF(ISERROR(AVERAGE(J40:O40)),"n.b.",(+IF(AVERAGE(J40:O40)&lt;70%,"C",+IF(AVERAGE(J40:O40)&lt;80%,"B","A"))))</f>
        <v>n.b.</v>
      </c>
    </row>
    <row r="177" spans="1:62">
      <c r="R177" s="23" t="s">
        <v>49</v>
      </c>
      <c r="S177" s="23" t="str">
        <f>+IF(ISERROR(AVERAGE(P36:R36)),"n.b.",(+IF(AVERAGE(P36:R36)&lt;70%,"C",+IF(AVERAGE(P36:R36)&lt;80%,"B","A"))))</f>
        <v>n.b.</v>
      </c>
      <c r="T177" s="23" t="str">
        <f>+IF(ISERROR(AVERAGE(P38:R38)),"n.b.",(+IF(AVERAGE(P38:R38)&lt;70%,"C",+IF(AVERAGE(P38:R38)&lt;80%,"B","A"))))</f>
        <v>n.b.</v>
      </c>
      <c r="U177" s="23" t="str">
        <f>+IF(ISERROR(AVERAGE(P40:R40)),"n.b.",(+IF(AVERAGE(P40:R40)&lt;70%,"C",+IF(AVERAGE(P40:R40)&lt;80%,"B","A"))))</f>
        <v>n.b.</v>
      </c>
    </row>
    <row r="178" spans="1:62">
      <c r="R178" s="23" t="s">
        <v>50</v>
      </c>
      <c r="S178" s="23" t="str">
        <f>+IF(ISERROR(AVERAGE($T36:$V36)),"n.b.",(+IF(AVERAGE($T36:$V36)&lt;70%,"C",+IF(AVERAGE($T36:$V36)&lt;80%,"B","A"))))</f>
        <v>n.b.</v>
      </c>
      <c r="T178" s="23" t="str">
        <f>+IF(ISERROR(AVERAGE($T38:$V38)),"n.b.",(+IF(AVERAGE($T38:$V38)&lt;70%,"C",+IF(AVERAGE($T38:$V38)&lt;80%,"B","A"))))</f>
        <v>n.b.</v>
      </c>
      <c r="U178" s="23" t="str">
        <f>+IF(ISERROR(AVERAGE($T40:$V40)),"n.b.",(+IF(AVERAGE($T40:$V40)&lt;70%,"C",+IF(AVERAGE($T40:$V40)&lt;80%,"B","A"))))</f>
        <v>n.b.</v>
      </c>
    </row>
    <row r="179" spans="1:62">
      <c r="R179" s="23" t="s">
        <v>144</v>
      </c>
      <c r="S179" s="23" t="str">
        <f>+IF(ISERROR(AVERAGE($Z36:$AC36)),"n.b.",(+IF(AVERAGE($Z36:$AC36)&lt;70%,"C",+IF(AVERAGE($Z36:$AC36)&lt;80%,"B","A"))))</f>
        <v>n.b.</v>
      </c>
      <c r="T179" s="23" t="str">
        <f>+IF(ISERROR(AVERAGE($Z38:$AC38)),"n.b.",(+IF(AVERAGE($Z38:$AC38)&lt;70%,"C",+IF(AVERAGE($Z38:$AC38)&lt;80%,"B","A"))))</f>
        <v>n.b.</v>
      </c>
      <c r="U179" s="23" t="str">
        <f>+IF(ISERROR(AVERAGE($Z40:$AC40)),"n.b.",(+IF(AVERAGE($Z40:$AC40)&lt;70%,"C",+IF(AVERAGE($Z40:$AC40)&lt;80%,"B","A"))))</f>
        <v>n.b.</v>
      </c>
    </row>
    <row r="180" spans="1:62">
      <c r="R180" s="23" t="s">
        <v>145</v>
      </c>
      <c r="S180" s="23" t="str">
        <f>+IF(ISERROR(AVERAGE($AE36:$AH36)),"n.b.",(+IF(AVERAGE($AE36:$AH36)&lt;70%,"C",+IF(AVERAGE($AE36:$AH36)&lt;80%,"B","A"))))</f>
        <v>n.b.</v>
      </c>
      <c r="T180" s="23" t="str">
        <f>+IF(ISERROR(AVERAGE($AE38:$AH38)),"n.b.",(+IF(AVERAGE($AE38:$AH38)&lt;70%,"C",+IF(AVERAGE($AE38:$AH38)&lt;80%,"B","A"))))</f>
        <v>n.b.</v>
      </c>
      <c r="U180" s="23" t="str">
        <f>+IF(ISERROR(AVERAGE($AE40:$AH40)),"n.b.",(+IF(AVERAGE($AE40:$AH40)&lt;70%,"C",+IF(AVERAGE($AE40:$AH40)&lt;80%,"B","A"))))</f>
        <v>n.b.</v>
      </c>
    </row>
    <row r="181" spans="1:62">
      <c r="R181" s="23" t="s">
        <v>200</v>
      </c>
      <c r="S181" s="23" t="str">
        <f>+IF(ISERROR(AVERAGE($AX36:$BE36)),"n.b.",(+IF(AVERAGE($AX36:$BE36)&lt;70%,"C",+IF(AVERAGE($AX36:$BE36)&lt;80%,"B","A"))))</f>
        <v>n.b.</v>
      </c>
      <c r="T181" s="23" t="str">
        <f>+IF(ISERROR(AVERAGE($AX38:$BE38)),"n.b.",(+IF(AVERAGE($AX38:$BE38)&lt;70%,"C",+IF(AVERAGE($AX38:$BE38)&lt;80%,"B","A"))))</f>
        <v>n.b.</v>
      </c>
      <c r="U181" s="23" t="str">
        <f>+IF(ISERROR(AVERAGE($AX40:$BE40)),"n.b.",(+IF(AVERAGE($AX40:$BE40)&lt;70%,"C",+IF(AVERAGE($AX40:$BE40)&lt;80%,"B","A"))))</f>
        <v>n.b.</v>
      </c>
    </row>
    <row r="183" spans="1:62">
      <c r="K183" s="193"/>
    </row>
    <row r="184" spans="1:62">
      <c r="K184" s="193"/>
      <c r="L184" s="158"/>
    </row>
    <row r="185" spans="1:62">
      <c r="B185" s="33"/>
      <c r="C185" s="22"/>
      <c r="D185" s="22"/>
      <c r="E185" s="22"/>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c r="AD185" s="22"/>
      <c r="AE185" s="22"/>
      <c r="AF185" s="22"/>
      <c r="AG185" s="22"/>
      <c r="AH185" s="22"/>
      <c r="AI185" s="22"/>
      <c r="AJ185" s="22"/>
      <c r="AK185" s="22"/>
      <c r="AL185" s="22"/>
      <c r="AM185" s="22"/>
      <c r="AN185" s="22"/>
      <c r="AO185" s="22"/>
      <c r="AP185" s="22"/>
      <c r="AQ185" s="22"/>
      <c r="AR185" s="22"/>
      <c r="AS185" s="22"/>
      <c r="AT185" s="22"/>
      <c r="AU185" s="22"/>
      <c r="AV185" s="22"/>
      <c r="AW185" s="22"/>
      <c r="AX185" s="22"/>
      <c r="AY185" s="22"/>
      <c r="AZ185" s="22"/>
      <c r="BA185" s="22"/>
      <c r="BB185" s="22"/>
      <c r="BC185" s="22"/>
      <c r="BD185" s="22"/>
      <c r="BE185"/>
      <c r="BF185"/>
      <c r="BG185"/>
      <c r="BH185"/>
      <c r="BI185" s="34"/>
      <c r="BJ185" s="22"/>
    </row>
    <row r="186" spans="1:62">
      <c r="A186" s="199"/>
      <c r="B186" s="33"/>
      <c r="C186" s="213"/>
      <c r="D186" s="210"/>
      <c r="E186" s="210"/>
      <c r="F186" s="210"/>
      <c r="G186" s="210"/>
      <c r="H186" s="210"/>
      <c r="I186" s="210"/>
      <c r="J186" s="210"/>
      <c r="K186" s="210"/>
      <c r="L186" s="210"/>
      <c r="M186" s="210"/>
      <c r="N186" s="210"/>
      <c r="O186" s="210"/>
      <c r="P186" s="210"/>
      <c r="Q186" s="210"/>
      <c r="R186" s="210"/>
      <c r="S186" s="210"/>
      <c r="T186" s="210"/>
      <c r="U186" s="210"/>
      <c r="V186" s="210"/>
      <c r="W186" s="210"/>
      <c r="X186" s="210"/>
      <c r="Y186" s="210"/>
      <c r="Z186" s="210"/>
      <c r="AA186" s="210"/>
      <c r="AB186" s="210"/>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s="36"/>
      <c r="BJ186"/>
    </row>
    <row r="187" spans="1:62">
      <c r="B187" s="33"/>
      <c r="C187" s="210"/>
      <c r="D187" s="210"/>
      <c r="E187" s="210"/>
      <c r="F187" s="210"/>
      <c r="G187" s="210"/>
      <c r="H187" s="210"/>
      <c r="I187" s="210"/>
      <c r="J187" s="210"/>
      <c r="K187" s="210"/>
      <c r="L187" s="210"/>
      <c r="M187" s="210"/>
      <c r="N187" s="210"/>
      <c r="O187" s="210"/>
      <c r="P187" s="210"/>
      <c r="Q187" s="210"/>
      <c r="R187" s="210"/>
      <c r="S187" s="210"/>
      <c r="T187" s="210"/>
      <c r="U187" s="210"/>
      <c r="V187" s="210"/>
      <c r="W187" s="210"/>
      <c r="X187" s="210"/>
      <c r="Y187" s="210"/>
      <c r="Z187" s="210"/>
      <c r="AA187" s="210"/>
      <c r="AB187" s="210"/>
      <c r="AC187"/>
      <c r="AD187"/>
      <c r="AE187"/>
      <c r="AF187"/>
      <c r="AG187"/>
      <c r="AH187"/>
      <c r="AI187"/>
      <c r="AJ187"/>
      <c r="AK187"/>
      <c r="AL187"/>
      <c r="AM187"/>
      <c r="AN187"/>
      <c r="AO187"/>
      <c r="AP187"/>
      <c r="AQ187"/>
      <c r="AR187"/>
      <c r="AS187"/>
      <c r="AT187"/>
      <c r="AU187"/>
      <c r="AV187"/>
      <c r="BE187"/>
      <c r="BF187"/>
      <c r="BG187"/>
      <c r="BH187"/>
      <c r="BI187" s="36"/>
      <c r="BJ187"/>
    </row>
    <row r="188" spans="1:62" s="183" customFormat="1" ht="28.5">
      <c r="A188" s="197" t="s">
        <v>216</v>
      </c>
      <c r="B188" s="33"/>
      <c r="C188" s="214"/>
      <c r="D188" s="1236"/>
      <c r="E188" s="1236"/>
      <c r="F188" s="1236"/>
      <c r="G188" s="1236"/>
      <c r="H188" s="1236"/>
      <c r="I188" s="1238"/>
      <c r="J188" s="1238"/>
      <c r="K188" s="1238"/>
      <c r="L188" s="1238"/>
      <c r="M188" s="1238"/>
      <c r="N188" s="1238"/>
      <c r="O188" s="1238"/>
      <c r="P188" s="1238"/>
      <c r="Q188" s="1238"/>
      <c r="R188" s="1238"/>
      <c r="S188" s="1238"/>
      <c r="T188" s="1238"/>
      <c r="U188" s="1238"/>
      <c r="V188" s="1238"/>
      <c r="W188" s="1238"/>
      <c r="X188" s="1238"/>
      <c r="Y188" s="215"/>
      <c r="Z188" s="215"/>
      <c r="AA188" s="215"/>
      <c r="AB188" s="566"/>
      <c r="AC188" s="167"/>
      <c r="AD188" s="167"/>
      <c r="AE188" s="1223"/>
      <c r="AF188" s="1223"/>
      <c r="AG188" s="1223"/>
      <c r="AH188" s="1223"/>
      <c r="AI188" s="1223"/>
      <c r="AJ188" s="1223"/>
      <c r="AK188" s="1223"/>
      <c r="AL188" s="1223"/>
      <c r="AM188" s="1223"/>
      <c r="AN188" s="1223"/>
      <c r="AO188" s="1223"/>
      <c r="AP188" s="1223"/>
      <c r="AQ188" s="1223"/>
      <c r="AR188" s="1223"/>
      <c r="AS188" s="1223"/>
      <c r="AT188" s="1223"/>
      <c r="AU188" s="168"/>
      <c r="AV188" s="168"/>
      <c r="AW188" s="1235"/>
      <c r="AX188" s="1235"/>
      <c r="AY188" s="1235"/>
      <c r="AZ188" s="1235"/>
      <c r="BA188" s="1235"/>
      <c r="BB188" s="1235"/>
      <c r="BC188" s="1235"/>
      <c r="BD188" s="186"/>
      <c r="BE188"/>
      <c r="BF188"/>
      <c r="BG188"/>
      <c r="BH188"/>
      <c r="BI188" s="32"/>
      <c r="BJ188" s="31"/>
    </row>
    <row r="189" spans="1:62" ht="21" customHeight="1">
      <c r="A189" s="198" t="e">
        <f>IF(COUNTIF(G48,"n.b.")+COUNTIF(M48,"n.b.")+COUNTIF(M48,"n.b.")+COUNTIF(Q48,"n.b.")+COUNTIF(W48,"n.b.")+COUNTIF(AB48,"n.b.")+COUNTIF(AG48,"n.b.")+COUNTIF(BD48,"n.b.")=7,"n.b.",IF(MIN(G48,M48,Q48,W48,AB48,AG48,BD48)&lt;70%,"C",IF(MIN(G48,M48,Q48,W48,AB48,AG48,BD48)&lt;80%,"B","A")))</f>
        <v>#REF!</v>
      </c>
      <c r="B189" s="33"/>
      <c r="C189" s="210"/>
      <c r="D189" s="1236"/>
      <c r="E189" s="1236"/>
      <c r="F189" s="1236"/>
      <c r="G189" s="1236"/>
      <c r="H189" s="1236"/>
      <c r="I189" s="1237"/>
      <c r="J189" s="1237"/>
      <c r="K189" s="1237"/>
      <c r="L189" s="1237"/>
      <c r="M189" s="1237"/>
      <c r="N189" s="1237"/>
      <c r="O189" s="1237"/>
      <c r="P189" s="1237"/>
      <c r="Q189" s="1237"/>
      <c r="R189" s="1237"/>
      <c r="S189" s="1237"/>
      <c r="T189" s="1237"/>
      <c r="U189" s="1237"/>
      <c r="V189" s="1237"/>
      <c r="W189" s="1237"/>
      <c r="X189" s="1237"/>
      <c r="Y189" s="216"/>
      <c r="Z189" s="216"/>
      <c r="AA189" s="216"/>
      <c r="AB189" s="567"/>
      <c r="AC189" s="169"/>
      <c r="AD189" s="169"/>
      <c r="AE189" s="1223"/>
      <c r="AF189" s="1223"/>
      <c r="AG189" s="1223"/>
      <c r="AH189" s="1223"/>
      <c r="AI189" s="1223"/>
      <c r="AJ189" s="1223"/>
      <c r="AK189" s="1223"/>
      <c r="AL189" s="1223"/>
      <c r="AM189" s="1223"/>
      <c r="AN189" s="1223"/>
      <c r="AO189" s="1223"/>
      <c r="AP189" s="1223"/>
      <c r="AQ189" s="1223"/>
      <c r="AR189" s="1223"/>
      <c r="AS189" s="1223"/>
      <c r="AT189" s="1223"/>
      <c r="AW189" s="1235"/>
      <c r="AX189" s="1235"/>
      <c r="AY189" s="1235"/>
      <c r="AZ189" s="1235"/>
      <c r="BA189" s="1235"/>
      <c r="BB189" s="1235"/>
      <c r="BC189" s="1235"/>
      <c r="BD189" s="186"/>
      <c r="BE189"/>
      <c r="BF189"/>
      <c r="BG189"/>
      <c r="BH189"/>
      <c r="BI189" s="36"/>
      <c r="BJ189"/>
    </row>
    <row r="190" spans="1:62" ht="5.0999999999999996" customHeight="1">
      <c r="B190" s="33"/>
      <c r="C190" s="210"/>
      <c r="D190" s="210"/>
      <c r="E190" s="210"/>
      <c r="F190" s="210"/>
      <c r="G190" s="210"/>
      <c r="H190" s="210"/>
      <c r="I190" s="210"/>
      <c r="J190" s="210"/>
      <c r="K190" s="210"/>
      <c r="L190" s="210"/>
      <c r="M190" s="210"/>
      <c r="N190" s="210"/>
      <c r="O190" s="210"/>
      <c r="P190" s="210"/>
      <c r="Q190" s="210"/>
      <c r="R190" s="210"/>
      <c r="S190" s="210"/>
      <c r="T190" s="210"/>
      <c r="U190" s="210"/>
      <c r="V190" s="210"/>
      <c r="W190" s="210"/>
      <c r="X190" s="210"/>
      <c r="Y190" s="210"/>
      <c r="Z190" s="210"/>
      <c r="AA190" s="210"/>
      <c r="AB190" s="210"/>
      <c r="AC190"/>
      <c r="AD190"/>
      <c r="AE190" s="1223"/>
      <c r="AF190" s="1223"/>
      <c r="AG190" s="1223"/>
      <c r="AH190" s="1223"/>
      <c r="AI190" s="1223"/>
      <c r="AJ190" s="1223"/>
      <c r="AK190" s="1223"/>
      <c r="AL190" s="1223"/>
      <c r="AM190" s="1223"/>
      <c r="AN190" s="1223"/>
      <c r="AO190" s="1223"/>
      <c r="AP190" s="1223"/>
      <c r="AQ190" s="1223"/>
      <c r="AR190" s="1223"/>
      <c r="AS190" s="1223"/>
      <c r="AT190" s="1223"/>
      <c r="AU190"/>
      <c r="AV190"/>
      <c r="AW190" s="1235"/>
      <c r="AX190" s="1235"/>
      <c r="AY190" s="1235"/>
      <c r="AZ190" s="1235"/>
      <c r="BA190" s="1235"/>
      <c r="BB190" s="1235"/>
      <c r="BC190" s="1235"/>
      <c r="BD190" s="186"/>
      <c r="BE190"/>
      <c r="BF190"/>
      <c r="BG190"/>
      <c r="BH190"/>
      <c r="BI190" s="36"/>
      <c r="BJ190"/>
    </row>
    <row r="191" spans="1:62" ht="13.5" customHeight="1">
      <c r="B191" s="33"/>
      <c r="C191" s="210"/>
      <c r="D191" s="217"/>
      <c r="E191" s="210"/>
      <c r="F191" s="210"/>
      <c r="G191" s="210"/>
      <c r="H191" s="210"/>
      <c r="I191" s="210"/>
      <c r="J191" s="1260"/>
      <c r="K191" s="1260"/>
      <c r="L191" s="210"/>
      <c r="M191" s="210"/>
      <c r="N191" s="1260"/>
      <c r="O191" s="1260"/>
      <c r="P191" s="210"/>
      <c r="Q191" s="210"/>
      <c r="R191" s="1260"/>
      <c r="S191" s="1260"/>
      <c r="T191" s="210"/>
      <c r="U191" s="210"/>
      <c r="V191" s="1260"/>
      <c r="W191" s="1260"/>
      <c r="X191" s="209"/>
      <c r="Y191" s="1260"/>
      <c r="Z191" s="1260"/>
      <c r="AA191" s="209"/>
      <c r="AB191" s="209"/>
      <c r="AC191" s="171"/>
      <c r="AD191" s="171"/>
      <c r="AE191" s="209"/>
      <c r="AF191" s="210"/>
      <c r="AG191" s="210"/>
      <c r="AH191" s="211"/>
      <c r="AI191" s="211"/>
      <c r="AJ191" s="211"/>
      <c r="AK191" s="211"/>
      <c r="AL191" s="211"/>
      <c r="AM191" s="210"/>
      <c r="AN191" s="210"/>
      <c r="AO191" s="210"/>
      <c r="AP191" s="210"/>
      <c r="AQ191" s="210"/>
      <c r="AR191" s="212"/>
      <c r="AS191" s="212"/>
      <c r="AT191" s="210"/>
      <c r="AU191"/>
      <c r="AV191"/>
      <c r="AW191"/>
      <c r="AX191"/>
      <c r="AY191"/>
      <c r="AZ191"/>
      <c r="BA191"/>
      <c r="BB191"/>
      <c r="BC191"/>
      <c r="BD191"/>
      <c r="BE191" s="208"/>
      <c r="BF191"/>
      <c r="BG191"/>
      <c r="BH191"/>
      <c r="BI191" s="36"/>
      <c r="BJ191"/>
    </row>
    <row r="192" spans="1:62" ht="21" customHeight="1">
      <c r="A192" s="197" t="s">
        <v>209</v>
      </c>
      <c r="B192" s="33"/>
      <c r="C192"/>
      <c r="D192"/>
      <c r="E192"/>
      <c r="F192"/>
      <c r="G192"/>
      <c r="H192"/>
      <c r="I192"/>
      <c r="J192"/>
      <c r="K192"/>
      <c r="L192"/>
      <c r="M192"/>
      <c r="N192"/>
      <c r="O192"/>
      <c r="P192"/>
      <c r="Q192"/>
      <c r="R192"/>
      <c r="S192"/>
      <c r="T192"/>
      <c r="U192"/>
      <c r="V192"/>
      <c r="W192"/>
      <c r="X192"/>
      <c r="Y192"/>
      <c r="Z192"/>
      <c r="AA192"/>
      <c r="AB192"/>
      <c r="AC192"/>
      <c r="AD192"/>
      <c r="AE192" s="1239"/>
      <c r="AF192" s="1240"/>
      <c r="AG192" s="1240"/>
      <c r="AH192" s="1240"/>
      <c r="AI192" s="1239"/>
      <c r="AJ192" s="1239"/>
      <c r="AK192" s="1239"/>
      <c r="AL192" s="1239"/>
      <c r="AM192" s="1239"/>
      <c r="AN192" s="1239"/>
      <c r="AO192" s="1239"/>
      <c r="AP192" s="1239"/>
      <c r="AQ192" s="1239"/>
      <c r="AR192"/>
      <c r="AS192"/>
      <c r="AT192"/>
      <c r="AU192"/>
      <c r="AV192"/>
      <c r="AW192"/>
      <c r="AX192"/>
      <c r="AY192"/>
      <c r="AZ192"/>
      <c r="BA192"/>
      <c r="BB192"/>
      <c r="BC192"/>
      <c r="BD192"/>
      <c r="BE192"/>
      <c r="BF192"/>
      <c r="BG192"/>
      <c r="BH192"/>
      <c r="BI192"/>
      <c r="BJ192"/>
    </row>
    <row r="193" spans="1:62" ht="15.2" customHeight="1" thickBot="1">
      <c r="A193" s="198" t="str">
        <f>IF(MIN(AT36:AT40)&lt;70%,"C",IF(MIN(AT36:AT40)&lt;80%,"B","A"))</f>
        <v>C</v>
      </c>
      <c r="B193" s="33"/>
      <c r="D193"/>
      <c r="E193"/>
      <c r="F193"/>
      <c r="G193"/>
      <c r="H193"/>
      <c r="I193"/>
      <c r="J193"/>
      <c r="K193"/>
      <c r="L193"/>
      <c r="M193"/>
      <c r="N193"/>
      <c r="O193"/>
      <c r="P193"/>
      <c r="Q193"/>
      <c r="R193"/>
      <c r="S193"/>
      <c r="T193"/>
      <c r="U193"/>
      <c r="V193" s="3"/>
      <c r="W193"/>
      <c r="X193"/>
      <c r="Y193" s="3" t="s">
        <v>77</v>
      </c>
      <c r="Z193"/>
      <c r="AB193" s="179" t="s">
        <v>97</v>
      </c>
      <c r="AC193"/>
      <c r="AD193"/>
      <c r="AE193" s="1240"/>
      <c r="AF193" s="1240"/>
      <c r="AG193" s="1240"/>
      <c r="AH193" s="1240"/>
      <c r="AI193" s="1240"/>
      <c r="AJ193" s="1240"/>
      <c r="AK193" s="1240"/>
      <c r="AL193" s="1240"/>
      <c r="AM193" s="1240"/>
      <c r="AN193" s="1240"/>
      <c r="AO193" s="1240"/>
      <c r="AP193" s="1240"/>
      <c r="AQ193" s="1240"/>
      <c r="AR193"/>
      <c r="AS193"/>
      <c r="AT193"/>
      <c r="AU193"/>
      <c r="AV193"/>
      <c r="AW193"/>
      <c r="AX193"/>
      <c r="AY193"/>
      <c r="AZ193"/>
      <c r="BA193"/>
      <c r="BB193"/>
      <c r="BC193"/>
      <c r="BD193"/>
      <c r="BE193"/>
      <c r="BF193"/>
      <c r="BG193"/>
      <c r="BH193"/>
      <c r="BI193"/>
      <c r="BJ193"/>
    </row>
    <row r="194" spans="1:62" ht="15" customHeight="1">
      <c r="B194" s="33"/>
      <c r="C194"/>
      <c r="D194"/>
      <c r="E194"/>
      <c r="F194"/>
      <c r="G194"/>
      <c r="H194"/>
      <c r="I194"/>
      <c r="J194"/>
      <c r="K194"/>
      <c r="L194"/>
      <c r="M194"/>
      <c r="N194"/>
      <c r="O194"/>
      <c r="P194"/>
      <c r="Q194"/>
      <c r="R194"/>
      <c r="S194"/>
      <c r="T194"/>
      <c r="U194"/>
      <c r="V194" s="1241" t="s">
        <v>104</v>
      </c>
      <c r="W194" s="1242"/>
      <c r="X194" s="1243"/>
      <c r="Y194" s="1247" t="str">
        <f>IF(ISERROR(AVERAGE(epm,epp,epr)),"n.b.",ROUND(AVERAGE(D8:J8,D14:H14,O14:S14,D22:K22,Q22:X22)/10,2))</f>
        <v>n.b.</v>
      </c>
      <c r="Z194" s="1248"/>
      <c r="AA194" s="1249"/>
      <c r="AB194" s="1253" t="str">
        <f>+L162</f>
        <v>n.b.</v>
      </c>
      <c r="AC194" s="1254"/>
      <c r="AD194"/>
      <c r="AE194" s="1257"/>
      <c r="AF194" s="1258"/>
      <c r="AG194" s="1258"/>
      <c r="AH194" s="1258"/>
      <c r="AI194" s="1228"/>
      <c r="AJ194" s="1228"/>
      <c r="AK194" s="1228"/>
      <c r="AL194" s="1228"/>
      <c r="AM194" s="1228"/>
      <c r="AN194" s="1228"/>
      <c r="AO194" s="1228"/>
      <c r="AP194" s="1228"/>
      <c r="AQ194" s="1259"/>
      <c r="AR194"/>
      <c r="AS194"/>
      <c r="AT194"/>
      <c r="AU194"/>
      <c r="AV194"/>
      <c r="AW194"/>
      <c r="AX194"/>
      <c r="AY194"/>
      <c r="AZ194"/>
      <c r="BA194"/>
      <c r="BB194"/>
      <c r="BC194"/>
      <c r="BD194"/>
      <c r="BE194"/>
      <c r="BF194"/>
      <c r="BG194"/>
      <c r="BH194"/>
      <c r="BI194"/>
      <c r="BJ194"/>
    </row>
    <row r="195" spans="1:62" ht="19.5" customHeight="1" thickBot="1">
      <c r="B195" s="33"/>
      <c r="C195"/>
      <c r="D195"/>
      <c r="E195"/>
      <c r="F195" s="55"/>
      <c r="G195"/>
      <c r="I195"/>
      <c r="J195" s="187"/>
      <c r="K195" s="166"/>
      <c r="L195"/>
      <c r="M195"/>
      <c r="N195"/>
      <c r="O195"/>
      <c r="P195"/>
      <c r="Q195"/>
      <c r="R195"/>
      <c r="S195"/>
      <c r="T195"/>
      <c r="U195"/>
      <c r="V195" s="1244"/>
      <c r="W195" s="1245"/>
      <c r="X195" s="1246"/>
      <c r="Y195" s="1250"/>
      <c r="Z195" s="1251"/>
      <c r="AA195" s="1252"/>
      <c r="AB195" s="1255"/>
      <c r="AC195" s="1256"/>
      <c r="AD195"/>
      <c r="AE195" s="1257"/>
      <c r="AF195" s="1258"/>
      <c r="AG195" s="1258"/>
      <c r="AH195" s="1258"/>
      <c r="AI195" s="1228"/>
      <c r="AJ195" s="1228"/>
      <c r="AK195" s="1228"/>
      <c r="AL195" s="1228"/>
      <c r="AM195" s="1228"/>
      <c r="AN195" s="1228"/>
      <c r="AO195" s="1228"/>
      <c r="AP195" s="1228"/>
      <c r="AQ195" s="1259"/>
      <c r="AR195"/>
      <c r="AS195"/>
      <c r="AT195"/>
      <c r="AU195"/>
      <c r="AV195"/>
      <c r="AW195"/>
      <c r="AX195"/>
      <c r="AY195"/>
      <c r="AZ195"/>
      <c r="BA195"/>
      <c r="BB195"/>
      <c r="BC195"/>
      <c r="BD195"/>
      <c r="BE195"/>
      <c r="BF195"/>
      <c r="BG195"/>
      <c r="BH195"/>
      <c r="BI195"/>
      <c r="BJ195"/>
    </row>
    <row r="196" spans="1:62" ht="15" customHeight="1" thickBot="1">
      <c r="B196" s="33"/>
      <c r="C196"/>
      <c r="D196"/>
      <c r="E196"/>
      <c r="F196"/>
      <c r="G196"/>
      <c r="H196"/>
      <c r="I196"/>
      <c r="J196"/>
      <c r="K196" s="166"/>
      <c r="L196"/>
      <c r="M196"/>
      <c r="N196"/>
      <c r="O196"/>
      <c r="P196"/>
      <c r="Q196"/>
      <c r="R196"/>
      <c r="S196"/>
      <c r="T196"/>
      <c r="U196"/>
      <c r="V196"/>
      <c r="W196"/>
      <c r="X196"/>
      <c r="Y196" s="208"/>
      <c r="Z196"/>
      <c r="AA196"/>
      <c r="AB196"/>
      <c r="AC196"/>
      <c r="AD196"/>
      <c r="AE196" s="1257"/>
      <c r="AF196" s="1258"/>
      <c r="AG196" s="1258"/>
      <c r="AH196" s="1258"/>
      <c r="AI196" s="1228"/>
      <c r="AJ196" s="1228"/>
      <c r="AK196" s="1228"/>
      <c r="AL196" s="1228"/>
      <c r="AM196" s="1228"/>
      <c r="AN196" s="1228"/>
      <c r="AO196" s="1228"/>
      <c r="AP196" s="1228"/>
      <c r="AQ196" s="1259"/>
      <c r="AR196"/>
      <c r="AS196"/>
      <c r="AT196"/>
      <c r="AU196"/>
      <c r="AV196"/>
      <c r="AW196"/>
      <c r="AX196"/>
      <c r="AY196"/>
      <c r="AZ196"/>
      <c r="BA196"/>
      <c r="BB196"/>
      <c r="BC196"/>
      <c r="BD196"/>
      <c r="BE196"/>
      <c r="BF196"/>
      <c r="BG196"/>
      <c r="BH196"/>
      <c r="BI196"/>
      <c r="BJ196"/>
    </row>
    <row r="197" spans="1:62" ht="19.5" customHeight="1">
      <c r="B197" s="33"/>
      <c r="C197"/>
      <c r="D197"/>
      <c r="E197"/>
      <c r="F197" s="55"/>
      <c r="G197"/>
      <c r="H197"/>
      <c r="I197"/>
      <c r="J197" s="187"/>
      <c r="K197" s="166"/>
      <c r="L197"/>
      <c r="M197"/>
      <c r="N197"/>
      <c r="O197"/>
      <c r="P197"/>
      <c r="Q197"/>
      <c r="R197"/>
      <c r="S197"/>
      <c r="T197"/>
      <c r="U197"/>
      <c r="V197" s="1241" t="s">
        <v>105</v>
      </c>
      <c r="W197" s="1242"/>
      <c r="X197" s="1243"/>
      <c r="Y197" s="1247" t="str">
        <f>IF(ISERROR(AVERAGE(ez,epg,ek)),"n.b.",ROUND(AVERAGE(L29:R29,D36:AH40,U52:Y52)/10,2))</f>
        <v>n.b.</v>
      </c>
      <c r="Z197" s="1248"/>
      <c r="AA197" s="1249"/>
      <c r="AB197" s="1253" t="str">
        <f>+L168</f>
        <v>n.b.</v>
      </c>
      <c r="AC197" s="1254"/>
      <c r="AD197"/>
      <c r="AE197" s="1257"/>
      <c r="AF197" s="1258"/>
      <c r="AG197" s="1258"/>
      <c r="AH197" s="1258"/>
      <c r="AI197" s="1228"/>
      <c r="AJ197" s="1228"/>
      <c r="AK197" s="1228"/>
      <c r="AL197" s="1228"/>
      <c r="AM197" s="1228"/>
      <c r="AN197" s="1228"/>
      <c r="AO197" s="1228"/>
      <c r="AP197" s="1228"/>
      <c r="AQ197" s="1259"/>
      <c r="AR197"/>
      <c r="AS197"/>
      <c r="AT197"/>
      <c r="AU197"/>
      <c r="AV197"/>
      <c r="AW197"/>
      <c r="AX197"/>
      <c r="AY197"/>
      <c r="AZ197"/>
      <c r="BA197"/>
      <c r="BB197"/>
      <c r="BC197"/>
      <c r="BD197"/>
      <c r="BE197"/>
      <c r="BF197"/>
      <c r="BG197"/>
      <c r="BH197"/>
      <c r="BI197"/>
      <c r="BJ197"/>
    </row>
    <row r="198" spans="1:62" ht="15" customHeight="1" thickBot="1">
      <c r="B198" s="33"/>
      <c r="C198" s="22"/>
      <c r="D198" s="22"/>
      <c r="E198" s="22"/>
      <c r="F198" s="22"/>
      <c r="G198" s="22"/>
      <c r="H198" s="22"/>
      <c r="I198" s="22"/>
      <c r="J198" s="22"/>
      <c r="K198" s="22"/>
      <c r="L198" s="22"/>
      <c r="M198" s="22"/>
      <c r="N198" s="22"/>
      <c r="O198" s="25"/>
      <c r="P198" s="22"/>
      <c r="Q198" s="22"/>
      <c r="R198" s="22"/>
      <c r="S198" s="22"/>
      <c r="T198" s="22"/>
      <c r="U198" s="22"/>
      <c r="V198" s="1244"/>
      <c r="W198" s="1245"/>
      <c r="X198" s="1246"/>
      <c r="Y198" s="1250"/>
      <c r="Z198" s="1251"/>
      <c r="AA198" s="1252"/>
      <c r="AB198" s="1255"/>
      <c r="AC198" s="1256"/>
      <c r="AD198" s="22"/>
      <c r="AE198" s="1261"/>
      <c r="AF198" s="1259"/>
      <c r="AG198" s="1259"/>
      <c r="AH198" s="1259"/>
      <c r="AI198" s="1228"/>
      <c r="AJ198" s="1228"/>
      <c r="AK198" s="1228"/>
      <c r="AL198" s="1228"/>
      <c r="AM198" s="1228"/>
      <c r="AN198" s="1228"/>
      <c r="AO198" s="1228"/>
      <c r="AP198" s="1228"/>
      <c r="AQ198" s="1259"/>
      <c r="AR198"/>
      <c r="AS198"/>
      <c r="AT198"/>
      <c r="AU198"/>
      <c r="AV198"/>
      <c r="AW198"/>
      <c r="AX198"/>
      <c r="AY198"/>
      <c r="AZ198"/>
      <c r="BA198"/>
      <c r="BB198"/>
      <c r="BC198"/>
      <c r="BD198"/>
      <c r="BE198"/>
      <c r="BF198"/>
      <c r="BG198"/>
      <c r="BH198"/>
      <c r="BI198"/>
      <c r="BJ198" s="22"/>
    </row>
    <row r="199" spans="1:62" ht="7.5" customHeight="1">
      <c r="B199" s="33"/>
      <c r="C199" s="22"/>
      <c r="D199" s="22"/>
      <c r="E199" s="22"/>
      <c r="F199" s="22"/>
      <c r="G199" s="22"/>
      <c r="H199" s="22"/>
      <c r="I199" s="22"/>
      <c r="J199" s="22"/>
      <c r="K199" s="22"/>
      <c r="L199" s="22"/>
      <c r="M199" s="22"/>
      <c r="N199" s="22"/>
      <c r="O199" s="25"/>
      <c r="P199" s="22"/>
      <c r="Q199" s="22"/>
      <c r="R199" s="22"/>
      <c r="S199" s="22"/>
      <c r="T199" s="22"/>
      <c r="U199" s="22"/>
      <c r="V199" s="756"/>
      <c r="W199" s="756"/>
      <c r="X199" s="756"/>
      <c r="Y199" s="208"/>
      <c r="Z199" s="174"/>
      <c r="AA199" s="174"/>
      <c r="AB199" s="22"/>
      <c r="AC199" s="22"/>
      <c r="AD199" s="22"/>
      <c r="AE199" s="170"/>
      <c r="AF199" s="31"/>
      <c r="AG199" s="31"/>
      <c r="AH199" s="31"/>
      <c r="AI199" s="175"/>
      <c r="AJ199" s="175"/>
      <c r="AK199" s="175"/>
      <c r="AL199" s="175"/>
      <c r="AM199" s="175"/>
      <c r="AN199" s="175"/>
      <c r="AO199" s="175"/>
      <c r="AP199" s="175"/>
      <c r="AQ199" s="31"/>
      <c r="AR199" s="174"/>
      <c r="AS199" s="174"/>
      <c r="AT199" s="756"/>
      <c r="AX199" s="172"/>
      <c r="AY199" s="172"/>
      <c r="BF199" s="172"/>
      <c r="BG199" s="172"/>
      <c r="BH199" s="172"/>
      <c r="BI199" s="173"/>
      <c r="BJ199" s="22"/>
    </row>
    <row r="200" spans="1:62" ht="15" customHeight="1">
      <c r="B200" s="33"/>
      <c r="C200" s="478" t="s">
        <v>449</v>
      </c>
      <c r="D200"/>
      <c r="E200"/>
      <c r="F200"/>
      <c r="G200"/>
      <c r="H200"/>
      <c r="I200" s="22"/>
      <c r="J200"/>
      <c r="K200"/>
      <c r="L200"/>
      <c r="M200"/>
      <c r="N200" s="210"/>
      <c r="O200" s="275"/>
      <c r="P200" s="274"/>
      <c r="Q200" s="210"/>
      <c r="R200" s="210"/>
      <c r="S200" s="218"/>
      <c r="T200" s="218"/>
      <c r="U200" s="210"/>
      <c r="V200" s="210"/>
      <c r="W200" s="210"/>
      <c r="X200" s="210"/>
      <c r="Y200" s="210"/>
      <c r="Z200" s="210"/>
      <c r="AA200"/>
      <c r="AB200"/>
      <c r="AC200"/>
      <c r="AD200"/>
      <c r="AH200" s="23" t="s">
        <v>274</v>
      </c>
      <c r="AX200" s="172"/>
      <c r="AY200" s="172"/>
      <c r="AZ200" s="172"/>
      <c r="BA200" s="172"/>
      <c r="BB200" s="172"/>
      <c r="BC200" s="172"/>
      <c r="BD200" s="172"/>
      <c r="BE200" s="172"/>
      <c r="BF200" s="172"/>
      <c r="BG200" s="172"/>
      <c r="BH200" s="172"/>
      <c r="BI200" s="36"/>
      <c r="BJ200"/>
    </row>
    <row r="201" spans="1:62" ht="7.15" customHeight="1" thickBot="1">
      <c r="B201" s="79"/>
      <c r="C201" s="80"/>
      <c r="D201" s="81"/>
      <c r="E201" s="81"/>
      <c r="F201" s="81"/>
      <c r="G201" s="81"/>
      <c r="H201" s="81"/>
      <c r="I201" s="81"/>
      <c r="J201" s="81"/>
      <c r="K201" s="81"/>
      <c r="L201" s="81"/>
      <c r="M201" s="81"/>
      <c r="N201" s="81"/>
      <c r="O201" s="81"/>
      <c r="P201" s="81"/>
      <c r="Q201" s="81"/>
      <c r="R201" s="81"/>
      <c r="S201" s="81"/>
      <c r="T201" s="81"/>
      <c r="U201" s="81"/>
      <c r="V201" s="81"/>
      <c r="W201" s="81"/>
      <c r="X201" s="81"/>
      <c r="Y201" s="81"/>
      <c r="Z201" s="81"/>
      <c r="AA201" s="81"/>
      <c r="AB201" s="81"/>
      <c r="AC201" s="81"/>
      <c r="AD201" s="81"/>
      <c r="AE201" s="81"/>
      <c r="AF201" s="81"/>
      <c r="AG201" s="81"/>
      <c r="AH201" s="81"/>
      <c r="AI201" s="81"/>
      <c r="AJ201" s="81"/>
      <c r="AK201" s="81"/>
      <c r="AL201" s="81"/>
      <c r="AM201" s="81"/>
      <c r="AN201" s="81"/>
      <c r="AO201" s="81"/>
      <c r="AP201" s="81"/>
      <c r="AQ201" s="81"/>
      <c r="AR201" s="81"/>
      <c r="AS201" s="81"/>
      <c r="AT201" s="81"/>
      <c r="AU201" s="81"/>
      <c r="AV201" s="81"/>
      <c r="AW201" s="81"/>
      <c r="AX201" s="81"/>
      <c r="AY201" s="81"/>
      <c r="AZ201" s="81"/>
      <c r="BA201" s="81"/>
      <c r="BB201" s="81"/>
      <c r="BC201" s="81"/>
      <c r="BD201" s="81"/>
      <c r="BE201" s="81"/>
      <c r="BF201" s="81"/>
      <c r="BG201" s="81"/>
      <c r="BH201" s="81"/>
      <c r="BI201" s="82"/>
      <c r="BJ201"/>
    </row>
    <row r="202" spans="1:62">
      <c r="K202" s="193"/>
      <c r="L202" s="158"/>
    </row>
    <row r="212" spans="11:12">
      <c r="K212" s="193"/>
      <c r="L212" s="158"/>
    </row>
    <row r="213" spans="11:12">
      <c r="L213" s="158"/>
    </row>
    <row r="224" spans="11:12">
      <c r="K224" s="193"/>
      <c r="L224" s="158"/>
    </row>
    <row r="225" spans="11:12">
      <c r="L225" s="158"/>
    </row>
    <row r="236" spans="11:12">
      <c r="K236" s="193"/>
      <c r="L236" s="158"/>
    </row>
    <row r="237" spans="11:12">
      <c r="L237" s="158"/>
    </row>
  </sheetData>
  <sheetProtection formatColumns="0" formatRows="0" selectLockedCells="1" selectUnlockedCells="1"/>
  <mergeCells count="105">
    <mergeCell ref="AE196:AH196"/>
    <mergeCell ref="AI196:AQ196"/>
    <mergeCell ref="V197:X198"/>
    <mergeCell ref="Y197:AA198"/>
    <mergeCell ref="AB197:AC198"/>
    <mergeCell ref="AE197:AH197"/>
    <mergeCell ref="AI197:AQ197"/>
    <mergeCell ref="AE198:AH198"/>
    <mergeCell ref="AI198:AQ198"/>
    <mergeCell ref="AI192:AQ193"/>
    <mergeCell ref="V194:X195"/>
    <mergeCell ref="Y194:AA195"/>
    <mergeCell ref="AB194:AC195"/>
    <mergeCell ref="AE194:AH194"/>
    <mergeCell ref="AI194:AQ194"/>
    <mergeCell ref="AE195:AH195"/>
    <mergeCell ref="AI195:AQ195"/>
    <mergeCell ref="J191:K191"/>
    <mergeCell ref="N191:O191"/>
    <mergeCell ref="R191:S191"/>
    <mergeCell ref="V191:W191"/>
    <mergeCell ref="Y191:Z191"/>
    <mergeCell ref="AE192:AH193"/>
    <mergeCell ref="AW188:BC190"/>
    <mergeCell ref="D189:H189"/>
    <mergeCell ref="I189:L189"/>
    <mergeCell ref="M189:P189"/>
    <mergeCell ref="Q189:T189"/>
    <mergeCell ref="U189:X189"/>
    <mergeCell ref="D188:H188"/>
    <mergeCell ref="I188:L188"/>
    <mergeCell ref="M188:P188"/>
    <mergeCell ref="Q188:T188"/>
    <mergeCell ref="U188:X188"/>
    <mergeCell ref="AE188:AT190"/>
    <mergeCell ref="U91:AV92"/>
    <mergeCell ref="AW91:BI92"/>
    <mergeCell ref="U93:AV94"/>
    <mergeCell ref="AW93:BI94"/>
    <mergeCell ref="U96:AV96"/>
    <mergeCell ref="AW96:BI96"/>
    <mergeCell ref="W85:AV86"/>
    <mergeCell ref="AW85:BI86"/>
    <mergeCell ref="U87:AV88"/>
    <mergeCell ref="AW87:BI88"/>
    <mergeCell ref="U89:AV90"/>
    <mergeCell ref="AW89:BI90"/>
    <mergeCell ref="W80:AV81"/>
    <mergeCell ref="AW80:BI81"/>
    <mergeCell ref="W82:AV82"/>
    <mergeCell ref="AW82:BI82"/>
    <mergeCell ref="W83:AV84"/>
    <mergeCell ref="AW83:BI84"/>
    <mergeCell ref="AI67:AQ67"/>
    <mergeCell ref="AW72:BI73"/>
    <mergeCell ref="AW74:BI75"/>
    <mergeCell ref="AW76:BI77"/>
    <mergeCell ref="W78:AV79"/>
    <mergeCell ref="AW78:BI79"/>
    <mergeCell ref="M57:P57"/>
    <mergeCell ref="D58:H58"/>
    <mergeCell ref="I58:L58"/>
    <mergeCell ref="M58:P58"/>
    <mergeCell ref="BB61:BD61"/>
    <mergeCell ref="BE61:BF61"/>
    <mergeCell ref="BB62:BD64"/>
    <mergeCell ref="BE62:BF64"/>
    <mergeCell ref="AL61:AX62"/>
    <mergeCell ref="AY61:AZ62"/>
    <mergeCell ref="AL64:AX65"/>
    <mergeCell ref="AY64:AZ65"/>
    <mergeCell ref="AN57:AT57"/>
    <mergeCell ref="AS45:AT45"/>
    <mergeCell ref="G48:H48"/>
    <mergeCell ref="M48:N48"/>
    <mergeCell ref="Q48:R48"/>
    <mergeCell ref="W48:X48"/>
    <mergeCell ref="AB48:AC48"/>
    <mergeCell ref="AG48:AH48"/>
    <mergeCell ref="BD48:BE48"/>
    <mergeCell ref="AS52:AT52"/>
    <mergeCell ref="AS36:AT36"/>
    <mergeCell ref="AS38:AT38"/>
    <mergeCell ref="AS40:AT40"/>
    <mergeCell ref="AQ29:AR29"/>
    <mergeCell ref="AS29:AT29"/>
    <mergeCell ref="J33:O33"/>
    <mergeCell ref="P33:R33"/>
    <mergeCell ref="T33:X33"/>
    <mergeCell ref="Z33:AC33"/>
    <mergeCell ref="AE33:AH33"/>
    <mergeCell ref="AQ33:AT33"/>
    <mergeCell ref="L16:M16"/>
    <mergeCell ref="W16:X16"/>
    <mergeCell ref="AQ22:AR22"/>
    <mergeCell ref="AS22:AT22"/>
    <mergeCell ref="O24:P24"/>
    <mergeCell ref="AB24:AC24"/>
    <mergeCell ref="B1:H2"/>
    <mergeCell ref="I1:BC2"/>
    <mergeCell ref="BF1:BI1"/>
    <mergeCell ref="AQ8:AR8"/>
    <mergeCell ref="AS8:AT8"/>
    <mergeCell ref="AQ14:AR14"/>
    <mergeCell ref="AS14:AT14"/>
  </mergeCells>
  <conditionalFormatting sqref="L164:L168 L158:L162 L149:L155">
    <cfRule type="cellIs" dxfId="26" priority="4" stopIfTrue="1" operator="equal">
      <formula>"A"</formula>
    </cfRule>
    <cfRule type="cellIs" dxfId="25" priority="5" stopIfTrue="1" operator="equal">
      <formula>"B"</formula>
    </cfRule>
    <cfRule type="cellIs" dxfId="24" priority="6" stopIfTrue="1" operator="equal">
      <formula>"C"</formula>
    </cfRule>
  </conditionalFormatting>
  <conditionalFormatting sqref="D59:D65">
    <cfRule type="cellIs" dxfId="23" priority="1" stopIfTrue="1" operator="equal">
      <formula>"A"</formula>
    </cfRule>
    <cfRule type="cellIs" dxfId="22" priority="2" stopIfTrue="1" operator="equal">
      <formula>"B"</formula>
    </cfRule>
    <cfRule type="cellIs" dxfId="21" priority="3" stopIfTrue="1" operator="equal">
      <formula>"C"</formula>
    </cfRule>
  </conditionalFormatting>
  <pageMargins left="0.59055118110236227" right="0.39370078740157483" top="0.59055118110236227" bottom="0.39370078740157483" header="0.19685039370078741" footer="0.19685039370078741"/>
  <pageSetup paperSize="9" scale="40" orientation="landscape" r:id="rId1"/>
  <headerFooter scaleWithDoc="0">
    <oddFooter>Page &amp;P of &amp;N</oddFooter>
  </headerFooter>
  <drawing r:id="rId2"/>
  <legacyDrawingHF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tabColor indexed="17"/>
    <pageSetUpPr fitToPage="1"/>
  </sheetPr>
  <dimension ref="A1:CB249"/>
  <sheetViews>
    <sheetView showGridLines="0" topLeftCell="B22" zoomScale="80" zoomScaleNormal="80" zoomScaleSheetLayoutView="100" workbookViewId="0">
      <selection activeCell="S217" sqref="S217"/>
    </sheetView>
  </sheetViews>
  <sheetFormatPr baseColWidth="10" defaultColWidth="11.42578125" defaultRowHeight="14.25"/>
  <cols>
    <col min="1" max="1" width="14.7109375" style="197" hidden="1" customWidth="1"/>
    <col min="2" max="2" width="14.7109375" style="23" customWidth="1"/>
    <col min="3" max="3" width="3.42578125" style="23" customWidth="1"/>
    <col min="4" max="27" width="5.7109375" style="23" customWidth="1"/>
    <col min="28" max="28" width="6.85546875" style="23" customWidth="1"/>
    <col min="29" max="41" width="5.7109375" style="23" customWidth="1"/>
    <col min="42" max="42" width="7.140625" style="23" customWidth="1"/>
    <col min="43" max="43" width="3" style="23" customWidth="1"/>
    <col min="44" max="44" width="4.5703125" style="23" customWidth="1"/>
    <col min="45" max="45" width="3.140625" style="23" customWidth="1"/>
    <col min="46" max="46" width="10.42578125" style="23" customWidth="1"/>
    <col min="47" max="47" width="2.85546875" style="23" customWidth="1"/>
    <col min="48" max="48" width="2.5703125" style="23" customWidth="1"/>
    <col min="49" max="49" width="2" style="23" customWidth="1"/>
    <col min="50" max="56" width="5.42578125" style="23" customWidth="1"/>
    <col min="57" max="57" width="6" style="23" customWidth="1"/>
    <col min="58" max="58" width="8.42578125" style="23" customWidth="1"/>
    <col min="59" max="59" width="3.28515625" style="23" customWidth="1"/>
    <col min="60" max="60" width="1.42578125" style="23" customWidth="1"/>
    <col min="61" max="61" width="3" style="23" customWidth="1"/>
    <col min="62" max="63" width="11.42578125" style="23" customWidth="1"/>
    <col min="64" max="80" width="9.7109375" style="23" customWidth="1"/>
    <col min="81" max="16383" width="11.42578125" style="23"/>
    <col min="16384" max="16384" width="22.7109375" style="23" customWidth="1"/>
  </cols>
  <sheetData>
    <row r="1" spans="1:80" ht="19.5" customHeight="1">
      <c r="B1" s="1181"/>
      <c r="C1" s="1182"/>
      <c r="D1" s="1182"/>
      <c r="E1" s="1182"/>
      <c r="F1" s="1182"/>
      <c r="G1" s="1182"/>
      <c r="H1" s="1183"/>
      <c r="I1" s="1187" t="s">
        <v>564</v>
      </c>
      <c r="J1" s="1188" t="e">
        <v>#N/A</v>
      </c>
      <c r="K1" s="1188" t="e">
        <v>#N/A</v>
      </c>
      <c r="L1" s="1188" t="e">
        <v>#N/A</v>
      </c>
      <c r="M1" s="1188" t="e">
        <v>#N/A</v>
      </c>
      <c r="N1" s="1188" t="e">
        <v>#N/A</v>
      </c>
      <c r="O1" s="1188" t="e">
        <v>#N/A</v>
      </c>
      <c r="P1" s="1188" t="e">
        <v>#N/A</v>
      </c>
      <c r="Q1" s="1188" t="e">
        <v>#N/A</v>
      </c>
      <c r="R1" s="1188" t="e">
        <v>#N/A</v>
      </c>
      <c r="S1" s="1188" t="e">
        <v>#N/A</v>
      </c>
      <c r="T1" s="1188" t="e">
        <v>#N/A</v>
      </c>
      <c r="U1" s="1188" t="e">
        <v>#N/A</v>
      </c>
      <c r="V1" s="1188" t="e">
        <v>#N/A</v>
      </c>
      <c r="W1" s="1188" t="e">
        <v>#N/A</v>
      </c>
      <c r="X1" s="1188" t="e">
        <v>#N/A</v>
      </c>
      <c r="Y1" s="1188" t="e">
        <v>#N/A</v>
      </c>
      <c r="Z1" s="1188" t="e">
        <v>#N/A</v>
      </c>
      <c r="AA1" s="1188" t="e">
        <v>#N/A</v>
      </c>
      <c r="AB1" s="1188" t="e">
        <v>#N/A</v>
      </c>
      <c r="AC1" s="1188" t="e">
        <v>#N/A</v>
      </c>
      <c r="AD1" s="1188" t="e">
        <v>#N/A</v>
      </c>
      <c r="AE1" s="1188" t="e">
        <v>#N/A</v>
      </c>
      <c r="AF1" s="1188" t="e">
        <v>#N/A</v>
      </c>
      <c r="AG1" s="1188" t="e">
        <v>#N/A</v>
      </c>
      <c r="AH1" s="1188" t="e">
        <v>#N/A</v>
      </c>
      <c r="AI1" s="1188" t="e">
        <v>#N/A</v>
      </c>
      <c r="AJ1" s="1188" t="e">
        <v>#N/A</v>
      </c>
      <c r="AK1" s="1188" t="e">
        <v>#N/A</v>
      </c>
      <c r="AL1" s="1188" t="e">
        <v>#N/A</v>
      </c>
      <c r="AM1" s="1188" t="e">
        <v>#N/A</v>
      </c>
      <c r="AN1" s="1188" t="e">
        <v>#N/A</v>
      </c>
      <c r="AO1" s="1188" t="e">
        <v>#N/A</v>
      </c>
      <c r="AP1" s="1188" t="e">
        <v>#N/A</v>
      </c>
      <c r="AQ1" s="1188" t="e">
        <v>#N/A</v>
      </c>
      <c r="AR1" s="1188" t="e">
        <v>#N/A</v>
      </c>
      <c r="AS1" s="1188" t="e">
        <v>#N/A</v>
      </c>
      <c r="AT1" s="1188" t="e">
        <v>#N/A</v>
      </c>
      <c r="AU1" s="1188" t="e">
        <v>#N/A</v>
      </c>
      <c r="AV1" s="1188" t="e">
        <v>#N/A</v>
      </c>
      <c r="AW1" s="1188" t="e">
        <v>#N/A</v>
      </c>
      <c r="AX1" s="1188" t="e">
        <v>#N/A</v>
      </c>
      <c r="AY1" s="1188" t="e">
        <v>#N/A</v>
      </c>
      <c r="AZ1" s="1188" t="e">
        <v>#N/A</v>
      </c>
      <c r="BA1" s="1188" t="e">
        <v>#N/A</v>
      </c>
      <c r="BB1" s="1188" t="e">
        <v>#N/A</v>
      </c>
      <c r="BC1" s="1189" t="e">
        <v>#N/A</v>
      </c>
      <c r="BD1" s="320" t="s">
        <v>665</v>
      </c>
      <c r="BE1" s="1042"/>
      <c r="BF1" s="1315">
        <f>DATA!A3</f>
        <v>29885</v>
      </c>
      <c r="BG1" s="1315"/>
      <c r="BH1" s="1316"/>
      <c r="BI1" s="19"/>
    </row>
    <row r="2" spans="1:80" ht="11.25" customHeight="1" thickBot="1">
      <c r="B2" s="1184"/>
      <c r="C2" s="1185"/>
      <c r="D2" s="1185"/>
      <c r="E2" s="1185"/>
      <c r="F2" s="1185"/>
      <c r="G2" s="1185"/>
      <c r="H2" s="1186"/>
      <c r="I2" s="1190" t="e">
        <v>#N/A</v>
      </c>
      <c r="J2" s="1191" t="e">
        <v>#N/A</v>
      </c>
      <c r="K2" s="1191" t="e">
        <v>#N/A</v>
      </c>
      <c r="L2" s="1191" t="e">
        <v>#N/A</v>
      </c>
      <c r="M2" s="1191" t="e">
        <v>#N/A</v>
      </c>
      <c r="N2" s="1191" t="e">
        <v>#N/A</v>
      </c>
      <c r="O2" s="1191" t="e">
        <v>#N/A</v>
      </c>
      <c r="P2" s="1191" t="e">
        <v>#N/A</v>
      </c>
      <c r="Q2" s="1191" t="e">
        <v>#N/A</v>
      </c>
      <c r="R2" s="1191" t="e">
        <v>#N/A</v>
      </c>
      <c r="S2" s="1191" t="e">
        <v>#N/A</v>
      </c>
      <c r="T2" s="1191" t="e">
        <v>#N/A</v>
      </c>
      <c r="U2" s="1191" t="e">
        <v>#N/A</v>
      </c>
      <c r="V2" s="1191" t="e">
        <v>#N/A</v>
      </c>
      <c r="W2" s="1191" t="e">
        <v>#N/A</v>
      </c>
      <c r="X2" s="1191" t="e">
        <v>#N/A</v>
      </c>
      <c r="Y2" s="1191" t="e">
        <v>#N/A</v>
      </c>
      <c r="Z2" s="1191" t="e">
        <v>#N/A</v>
      </c>
      <c r="AA2" s="1191" t="e">
        <v>#N/A</v>
      </c>
      <c r="AB2" s="1191" t="e">
        <v>#N/A</v>
      </c>
      <c r="AC2" s="1191" t="e">
        <v>#N/A</v>
      </c>
      <c r="AD2" s="1191" t="e">
        <v>#N/A</v>
      </c>
      <c r="AE2" s="1191" t="e">
        <v>#N/A</v>
      </c>
      <c r="AF2" s="1191" t="e">
        <v>#N/A</v>
      </c>
      <c r="AG2" s="1191" t="e">
        <v>#N/A</v>
      </c>
      <c r="AH2" s="1191" t="e">
        <v>#N/A</v>
      </c>
      <c r="AI2" s="1191" t="e">
        <v>#N/A</v>
      </c>
      <c r="AJ2" s="1191" t="e">
        <v>#N/A</v>
      </c>
      <c r="AK2" s="1191" t="e">
        <v>#N/A</v>
      </c>
      <c r="AL2" s="1191" t="e">
        <v>#N/A</v>
      </c>
      <c r="AM2" s="1191" t="e">
        <v>#N/A</v>
      </c>
      <c r="AN2" s="1191" t="e">
        <v>#N/A</v>
      </c>
      <c r="AO2" s="1191" t="e">
        <v>#N/A</v>
      </c>
      <c r="AP2" s="1191" t="e">
        <v>#N/A</v>
      </c>
      <c r="AQ2" s="1191" t="e">
        <v>#N/A</v>
      </c>
      <c r="AR2" s="1191" t="e">
        <v>#N/A</v>
      </c>
      <c r="AS2" s="1191" t="e">
        <v>#N/A</v>
      </c>
      <c r="AT2" s="1191" t="e">
        <v>#N/A</v>
      </c>
      <c r="AU2" s="1191" t="e">
        <v>#N/A</v>
      </c>
      <c r="AV2" s="1191" t="e">
        <v>#N/A</v>
      </c>
      <c r="AW2" s="1191" t="e">
        <v>#N/A</v>
      </c>
      <c r="AX2" s="1191" t="e">
        <v>#N/A</v>
      </c>
      <c r="AY2" s="1191" t="e">
        <v>#N/A</v>
      </c>
      <c r="AZ2" s="1191" t="e">
        <v>#N/A</v>
      </c>
      <c r="BA2" s="1191" t="e">
        <v>#N/A</v>
      </c>
      <c r="BB2" s="1191" t="e">
        <v>#N/A</v>
      </c>
      <c r="BC2" s="1192" t="e">
        <v>#N/A</v>
      </c>
      <c r="BD2" s="143"/>
      <c r="BE2" s="144"/>
      <c r="BF2" s="144"/>
      <c r="BG2" s="144"/>
      <c r="BH2" s="145"/>
      <c r="BI2" s="19"/>
    </row>
    <row r="3" spans="1:80" ht="21.75" customHeight="1">
      <c r="A3" s="200" t="s">
        <v>208</v>
      </c>
      <c r="B3" s="33"/>
      <c r="C3" s="1043" t="s">
        <v>24</v>
      </c>
      <c r="D3" s="22"/>
      <c r="E3" s="1044" t="s">
        <v>550</v>
      </c>
      <c r="F3" s="22"/>
      <c r="G3" s="22"/>
      <c r="H3" s="22"/>
      <c r="I3" s="22"/>
      <c r="J3" s="22"/>
      <c r="K3" s="22"/>
      <c r="L3" s="22"/>
      <c r="M3" s="22"/>
      <c r="N3" s="22"/>
      <c r="O3" s="149"/>
      <c r="P3" s="22"/>
      <c r="Q3" s="22"/>
      <c r="R3" s="22"/>
      <c r="S3" s="22"/>
      <c r="T3" s="22"/>
      <c r="U3" s="22"/>
      <c r="V3" s="22"/>
      <c r="W3" s="22"/>
      <c r="X3" s="22"/>
      <c r="Y3" s="22"/>
      <c r="Z3" s="22"/>
      <c r="AA3" s="22"/>
      <c r="AB3" s="22"/>
      <c r="AC3" s="22"/>
      <c r="AD3" s="22"/>
      <c r="AE3" s="22"/>
      <c r="AF3" s="22"/>
      <c r="AG3" s="22"/>
      <c r="AH3" s="22"/>
      <c r="AI3" s="22"/>
      <c r="AJ3" s="22"/>
      <c r="AK3" s="22"/>
      <c r="AL3" s="22"/>
      <c r="AM3" s="22"/>
      <c r="AN3" s="22"/>
      <c r="AO3" s="22"/>
      <c r="AP3" s="22"/>
      <c r="AQ3" s="22"/>
      <c r="AR3" s="22"/>
      <c r="AS3" s="22"/>
      <c r="AT3" s="22"/>
      <c r="AU3" s="22"/>
      <c r="AV3" s="22"/>
      <c r="AW3" s="22"/>
      <c r="AX3" s="22"/>
      <c r="AY3" s="22"/>
      <c r="AZ3" s="22"/>
      <c r="BA3" s="22"/>
      <c r="BB3" s="22"/>
      <c r="BC3" s="22"/>
      <c r="BD3" s="22"/>
      <c r="BE3" s="22"/>
      <c r="BF3" s="22"/>
      <c r="BG3" s="22"/>
      <c r="BH3" s="34"/>
      <c r="BI3" s="22"/>
    </row>
    <row r="4" spans="1:80" ht="8.25" customHeight="1">
      <c r="B4" s="33"/>
      <c r="C4" s="22"/>
      <c r="D4" s="22"/>
      <c r="E4" s="22"/>
      <c r="F4" s="148"/>
      <c r="G4" s="22"/>
      <c r="H4" s="22"/>
      <c r="I4" s="22"/>
      <c r="J4" s="22"/>
      <c r="K4" s="22"/>
      <c r="L4" s="22"/>
      <c r="M4" s="22"/>
      <c r="N4" s="22"/>
      <c r="O4" s="149"/>
      <c r="P4" s="22"/>
      <c r="Q4" s="22"/>
      <c r="R4" s="22"/>
      <c r="S4" s="22"/>
      <c r="T4" s="22"/>
      <c r="U4" s="22"/>
      <c r="V4" s="22"/>
      <c r="W4" s="22"/>
      <c r="X4" s="22"/>
      <c r="Y4" s="22"/>
      <c r="Z4" s="22"/>
      <c r="AA4" s="22"/>
      <c r="AB4" s="22"/>
      <c r="AC4" s="22"/>
      <c r="AD4" s="22"/>
      <c r="AE4" s="22"/>
      <c r="AF4" s="22"/>
      <c r="AG4" s="22"/>
      <c r="AI4" s="22"/>
      <c r="AJ4" s="22"/>
      <c r="AK4" s="22"/>
      <c r="AL4" s="22"/>
      <c r="AM4" s="22"/>
      <c r="AN4" s="22"/>
      <c r="AO4" s="22"/>
      <c r="AP4" s="22"/>
      <c r="AQ4" s="22"/>
      <c r="AR4" s="22"/>
      <c r="AS4" s="22"/>
      <c r="AT4" s="22"/>
      <c r="AU4" s="22"/>
      <c r="AV4" s="22"/>
      <c r="AW4" s="22"/>
      <c r="AX4" s="22"/>
      <c r="AY4" s="22"/>
      <c r="AZ4" s="22"/>
      <c r="BA4" s="22"/>
      <c r="BB4" s="22"/>
      <c r="BC4" s="22"/>
      <c r="BD4" s="22"/>
      <c r="BE4" s="1045"/>
      <c r="BF4" s="1045"/>
      <c r="BG4" s="1045"/>
      <c r="BH4" s="34"/>
      <c r="BI4" s="22"/>
    </row>
    <row r="5" spans="1:80" ht="16.149999999999999" customHeight="1">
      <c r="A5" s="757" t="b">
        <v>1</v>
      </c>
      <c r="B5" s="33"/>
      <c r="C5" s="1046" t="s">
        <v>138</v>
      </c>
      <c r="D5" s="54" t="s">
        <v>599</v>
      </c>
      <c r="F5" s="22"/>
      <c r="G5" s="22"/>
      <c r="H5" s="22"/>
      <c r="I5" s="22"/>
      <c r="J5" s="22"/>
      <c r="K5" s="22"/>
      <c r="L5" s="22"/>
      <c r="M5" s="22"/>
      <c r="N5" s="22"/>
      <c r="O5" s="149"/>
      <c r="P5" s="22"/>
      <c r="Q5" s="22"/>
      <c r="R5" s="22"/>
      <c r="S5" s="22"/>
      <c r="T5" s="22"/>
      <c r="U5" s="22"/>
      <c r="V5" s="22"/>
      <c r="W5" s="22"/>
      <c r="X5" s="22"/>
      <c r="Y5" s="22"/>
      <c r="Z5" s="22"/>
      <c r="AA5" s="22"/>
      <c r="AB5" s="22"/>
      <c r="AC5" s="22"/>
      <c r="AD5" s="22"/>
      <c r="AE5" s="22"/>
      <c r="AF5" s="22"/>
      <c r="AG5" s="22"/>
      <c r="AM5" s="22"/>
      <c r="AN5" s="22"/>
      <c r="AO5" s="22"/>
      <c r="AP5" s="22"/>
      <c r="AQ5" s="1047" t="s">
        <v>562</v>
      </c>
      <c r="AR5" s="22"/>
      <c r="AS5" s="22"/>
      <c r="AT5" s="22"/>
      <c r="AU5" s="22"/>
      <c r="AV5" s="22"/>
      <c r="AW5" s="22"/>
      <c r="AX5" s="22"/>
      <c r="AY5" s="22"/>
      <c r="AZ5" s="22"/>
      <c r="BA5" s="22"/>
      <c r="BB5" s="22"/>
      <c r="BC5" s="22"/>
      <c r="BD5" s="22"/>
      <c r="BE5" s="1045"/>
      <c r="BF5" s="1045"/>
      <c r="BG5" s="1045"/>
      <c r="BH5" s="34"/>
      <c r="BI5" s="22"/>
    </row>
    <row r="6" spans="1:80" ht="6.75" customHeight="1">
      <c r="B6" s="33"/>
      <c r="C6" s="1048"/>
      <c r="D6" s="22"/>
      <c r="E6" s="149"/>
      <c r="F6" s="22"/>
      <c r="G6" s="22"/>
      <c r="H6" s="22"/>
      <c r="I6" s="22"/>
      <c r="J6" s="22"/>
      <c r="K6" s="22"/>
      <c r="L6" s="22"/>
      <c r="M6" s="22"/>
      <c r="N6" s="22"/>
      <c r="O6" s="149"/>
      <c r="P6" s="22"/>
      <c r="Q6" s="22"/>
      <c r="R6" s="22"/>
      <c r="S6" s="22"/>
      <c r="T6" s="22"/>
      <c r="U6" s="22"/>
      <c r="V6" s="22"/>
      <c r="W6" s="22"/>
      <c r="X6" s="22"/>
      <c r="Y6" s="22"/>
      <c r="Z6" s="22"/>
      <c r="AA6" s="22"/>
      <c r="AB6" s="22"/>
      <c r="AC6" s="22"/>
      <c r="AD6" s="22"/>
      <c r="AE6" s="22"/>
      <c r="AF6" s="22"/>
      <c r="AG6" s="22"/>
      <c r="AH6" s="1045"/>
      <c r="AI6" s="22"/>
      <c r="AJ6" s="22"/>
      <c r="AK6" s="22"/>
      <c r="AL6" s="22"/>
      <c r="AM6" s="22"/>
      <c r="AN6" s="22"/>
      <c r="AO6" s="22"/>
      <c r="AP6" s="22"/>
      <c r="AQ6" s="22"/>
      <c r="AR6" s="22"/>
      <c r="AS6" s="22"/>
      <c r="AT6" s="22"/>
      <c r="AU6" s="22"/>
      <c r="AV6" s="22"/>
      <c r="AW6" s="22"/>
      <c r="AX6" s="22"/>
      <c r="AY6" s="22"/>
      <c r="AZ6" s="22"/>
      <c r="BA6" s="22"/>
      <c r="BB6" s="22"/>
      <c r="BC6" s="22"/>
      <c r="BD6" s="22"/>
      <c r="BE6" s="1045"/>
      <c r="BF6" s="1045"/>
      <c r="BG6" s="1045"/>
      <c r="BH6" s="34"/>
      <c r="BI6" s="22"/>
    </row>
    <row r="7" spans="1:80" ht="15" customHeight="1" thickBot="1">
      <c r="A7" s="197" t="s">
        <v>385</v>
      </c>
      <c r="B7" s="33"/>
      <c r="C7" s="1048"/>
      <c r="D7" s="321" t="s">
        <v>56</v>
      </c>
      <c r="E7" s="321" t="s">
        <v>186</v>
      </c>
      <c r="F7" s="321" t="s">
        <v>188</v>
      </c>
      <c r="G7" s="321" t="s">
        <v>106</v>
      </c>
      <c r="H7" s="465" t="s">
        <v>304</v>
      </c>
      <c r="I7" s="465" t="s">
        <v>315</v>
      </c>
      <c r="J7" s="321" t="s">
        <v>192</v>
      </c>
      <c r="Q7" s="21"/>
      <c r="R7" s="21"/>
      <c r="S7" s="22"/>
      <c r="T7" s="22"/>
      <c r="U7" s="22"/>
      <c r="V7" s="22"/>
      <c r="W7" s="22"/>
      <c r="X7" s="22"/>
      <c r="Y7" s="22"/>
      <c r="Z7" s="22"/>
      <c r="AA7" s="22"/>
      <c r="AB7" s="22"/>
      <c r="AC7" s="22"/>
      <c r="AD7" s="22"/>
      <c r="AE7" s="22"/>
      <c r="AF7" s="22"/>
      <c r="AG7" s="22"/>
      <c r="AH7" s="1045"/>
      <c r="AI7" s="22"/>
      <c r="AJ7" s="22"/>
      <c r="AK7" s="22"/>
      <c r="AL7" s="22"/>
      <c r="AM7" s="22"/>
      <c r="AN7" s="22"/>
      <c r="AO7" s="22"/>
      <c r="AP7" s="22"/>
      <c r="AQ7" s="22"/>
      <c r="AR7" s="22"/>
      <c r="AS7" s="22"/>
      <c r="AT7" s="22"/>
      <c r="AU7" s="22"/>
      <c r="AV7" s="22"/>
      <c r="AW7" s="22"/>
      <c r="AX7" s="22"/>
      <c r="AY7" s="22"/>
      <c r="AZ7" s="22"/>
      <c r="BA7" s="22"/>
      <c r="BB7" s="22"/>
      <c r="BC7" s="22"/>
      <c r="BD7" s="22"/>
      <c r="BE7" s="1045"/>
      <c r="BF7" s="1045"/>
      <c r="BG7" s="1045"/>
      <c r="BH7" s="34"/>
      <c r="BI7" s="22"/>
      <c r="BL7" s="554" t="s">
        <v>740</v>
      </c>
      <c r="BM7" s="477" t="s">
        <v>712</v>
      </c>
      <c r="BN7" s="477" t="s">
        <v>711</v>
      </c>
      <c r="BO7" s="477" t="s">
        <v>710</v>
      </c>
      <c r="BP7" s="477" t="str">
        <f>$BM$7</f>
        <v>Act.</v>
      </c>
    </row>
    <row r="8" spans="1:80" ht="15" customHeight="1" thickBot="1">
      <c r="A8" s="198" t="str">
        <f>IF(COUNT(D8:J8)=0,$BL$35,IF(MIN(D8:J8)=0,"B","A"))</f>
        <v>A</v>
      </c>
      <c r="B8" s="33"/>
      <c r="C8" s="1048"/>
      <c r="D8" s="189">
        <f>IF(A5=FALSE,$BL$7,IF(ISBLANK(Questions!D13),"--",Questions!D13))</f>
        <v>8</v>
      </c>
      <c r="E8" s="189">
        <f>IF(A5=FALSE,$BL$7,IF(ISBLANK(Questions!D14),"--",Questions!D14))</f>
        <v>8</v>
      </c>
      <c r="F8" s="189">
        <f>IF(A5=FALSE,$BL$7,IF(ISBLANK(Questions!D15),"--",Questions!D15))</f>
        <v>8</v>
      </c>
      <c r="G8" s="189">
        <f>IF(A5=FALSE,$BL$7,IF(ISBLANK(Questions!D16),"--",Questions!D16))</f>
        <v>8</v>
      </c>
      <c r="H8" s="470">
        <f>IF(A5=FALSE,$BL$7,IF(ISBLANK(Questions!D17),"--",Questions!D17))</f>
        <v>8</v>
      </c>
      <c r="I8" s="470">
        <f>IF(A5=FALSE,$BL$7,IF(ISBLANK(Questions!D18),"--",Questions!D18))</f>
        <v>8</v>
      </c>
      <c r="J8" s="189">
        <f>IF(A5=FALSE,$BL$7,IF(ISBLANK(Questions!D19),"--",Questions!D19))</f>
        <v>10</v>
      </c>
      <c r="Q8" s="22"/>
      <c r="R8" s="22"/>
      <c r="S8" s="22"/>
      <c r="T8" s="22"/>
      <c r="U8" s="22"/>
      <c r="V8" s="22"/>
      <c r="W8" s="22"/>
      <c r="X8" s="22"/>
      <c r="Y8" s="22"/>
      <c r="Z8" s="22"/>
      <c r="AA8" s="22"/>
      <c r="AB8" s="22"/>
      <c r="AC8" s="22"/>
      <c r="AD8" s="22"/>
      <c r="AE8" s="22"/>
      <c r="AF8" s="22"/>
      <c r="AG8" s="22"/>
      <c r="AH8" s="1045"/>
      <c r="AI8" s="22"/>
      <c r="AJ8" s="22"/>
      <c r="AK8" s="22"/>
      <c r="AL8" s="22"/>
      <c r="AM8" s="22"/>
      <c r="AN8" s="22"/>
      <c r="AO8" s="22"/>
      <c r="AP8" s="22"/>
      <c r="AQ8" s="1179" t="s">
        <v>494</v>
      </c>
      <c r="AR8" s="1180"/>
      <c r="AS8" s="1195">
        <f>IF(AND(A5,BM8&gt;=BN8),ROUND(BP8/BO8,2),BL7)</f>
        <v>0.83</v>
      </c>
      <c r="AT8" s="1196"/>
      <c r="AU8" s="1045"/>
      <c r="AV8" s="22"/>
      <c r="AW8" s="22"/>
      <c r="AX8" s="22"/>
      <c r="AY8" s="22"/>
      <c r="AZ8" s="22"/>
      <c r="BA8" s="22"/>
      <c r="BB8" s="22"/>
      <c r="BC8" s="22"/>
      <c r="BD8" s="22"/>
      <c r="BE8" s="1045"/>
      <c r="BF8" s="1045"/>
      <c r="BG8" s="1045"/>
      <c r="BH8" s="34"/>
      <c r="BI8" s="22"/>
      <c r="BL8" s="575">
        <f>COUNTIF(D8:J8,"&gt;-")</f>
        <v>0</v>
      </c>
      <c r="BM8" s="575">
        <f>COUNT(D8:J8)</f>
        <v>7</v>
      </c>
      <c r="BN8" s="575">
        <v>5</v>
      </c>
      <c r="BO8" s="575">
        <f>IF(AND($A5,BM8&gt;=BN8),BM8*10,"--")</f>
        <v>70</v>
      </c>
      <c r="BP8" s="575">
        <f>IF(AND($A5,BM8&gt;=BN8),SUM(D8:J8),"--")</f>
        <v>58</v>
      </c>
    </row>
    <row r="9" spans="1:80" ht="6.75" customHeight="1">
      <c r="B9" s="817"/>
      <c r="C9" s="22"/>
      <c r="D9" s="22"/>
      <c r="E9" s="22"/>
      <c r="F9" s="22"/>
      <c r="G9" s="22"/>
      <c r="H9" s="22"/>
      <c r="I9" s="22"/>
      <c r="J9" s="22"/>
      <c r="K9" s="22"/>
      <c r="L9" s="22"/>
      <c r="M9" s="22"/>
      <c r="N9" s="22"/>
      <c r="O9" s="149"/>
      <c r="P9" s="22"/>
      <c r="Q9" s="22"/>
      <c r="R9" s="22"/>
      <c r="S9" s="22"/>
      <c r="T9" s="22"/>
      <c r="U9" s="22"/>
      <c r="V9" s="22"/>
      <c r="W9" s="22"/>
      <c r="X9" s="22"/>
      <c r="Y9" s="22"/>
      <c r="Z9" s="22"/>
      <c r="AA9" s="22"/>
      <c r="AB9" s="22"/>
      <c r="AC9" s="22"/>
      <c r="AD9" s="22"/>
      <c r="AE9" s="22"/>
      <c r="AF9" s="22"/>
      <c r="AG9" s="22"/>
      <c r="AI9" s="22"/>
      <c r="AJ9" s="22"/>
      <c r="AK9" s="22"/>
      <c r="AL9" s="22"/>
      <c r="AM9" s="22"/>
      <c r="AN9" s="22"/>
      <c r="AO9" s="22"/>
      <c r="AP9" s="22"/>
      <c r="AQ9" s="22"/>
      <c r="AR9" s="22"/>
      <c r="AS9" s="22"/>
      <c r="AT9" s="22"/>
      <c r="AU9" s="22"/>
      <c r="AV9" s="22"/>
      <c r="AW9" s="22"/>
      <c r="AX9" s="22"/>
      <c r="AY9" s="22"/>
      <c r="AZ9" s="22"/>
      <c r="BA9" s="22"/>
      <c r="BB9" s="22"/>
      <c r="BC9" s="22"/>
      <c r="BD9" s="22"/>
      <c r="BE9" s="1045"/>
      <c r="BF9" s="1045"/>
      <c r="BG9" s="1045"/>
      <c r="BH9" s="34"/>
      <c r="BI9" s="22"/>
    </row>
    <row r="10" spans="1:80" ht="18" customHeight="1">
      <c r="A10" s="758" t="b">
        <v>1</v>
      </c>
      <c r="B10" s="33"/>
      <c r="C10" s="488" t="s">
        <v>139</v>
      </c>
      <c r="D10" s="488" t="s">
        <v>608</v>
      </c>
      <c r="E10" s="489"/>
      <c r="F10" s="489"/>
      <c r="G10" s="489"/>
      <c r="H10" s="489"/>
      <c r="I10" s="489"/>
      <c r="J10" s="489"/>
      <c r="K10" s="489"/>
      <c r="L10" s="489"/>
      <c r="M10" s="489"/>
      <c r="N10" s="489"/>
      <c r="O10" s="1049"/>
      <c r="P10" s="489"/>
      <c r="Q10" s="489"/>
      <c r="R10" s="489"/>
      <c r="S10" s="489"/>
      <c r="T10" s="489"/>
      <c r="U10" s="489"/>
      <c r="V10" s="489"/>
      <c r="W10" s="489"/>
      <c r="X10" s="489"/>
      <c r="Y10" s="489"/>
      <c r="Z10" s="489"/>
      <c r="AA10" s="489"/>
      <c r="AB10" s="489"/>
      <c r="AC10" s="489"/>
      <c r="AD10" s="489"/>
      <c r="AE10" s="489"/>
      <c r="AF10" s="489"/>
      <c r="AG10" s="489"/>
      <c r="AH10" s="489"/>
      <c r="AI10" s="489"/>
      <c r="AJ10" s="489"/>
      <c r="AK10" s="489"/>
      <c r="AL10" s="489"/>
      <c r="AM10" s="489"/>
      <c r="AN10" s="489"/>
      <c r="AO10" s="489"/>
      <c r="AP10" s="489"/>
      <c r="AQ10" s="489"/>
      <c r="AR10" s="489"/>
      <c r="AS10" s="489"/>
      <c r="AT10" s="489"/>
      <c r="AU10" s="489"/>
      <c r="AV10" s="489"/>
      <c r="AW10" s="489"/>
      <c r="AX10" s="489"/>
      <c r="AY10" s="489"/>
      <c r="AZ10" s="489"/>
      <c r="BA10" s="489"/>
      <c r="BB10" s="489"/>
      <c r="BC10" s="489"/>
      <c r="BD10" s="489"/>
      <c r="BE10" s="1050"/>
      <c r="BF10" s="1050"/>
      <c r="BG10" s="1050"/>
      <c r="BH10" s="491"/>
      <c r="BI10" s="22"/>
    </row>
    <row r="11" spans="1:80" ht="6" customHeight="1">
      <c r="B11" s="33"/>
      <c r="C11" s="149"/>
      <c r="D11" s="149"/>
      <c r="E11" s="22"/>
      <c r="F11" s="22"/>
      <c r="G11" s="22"/>
      <c r="H11" s="22"/>
      <c r="I11" s="22"/>
      <c r="J11" s="22"/>
      <c r="K11" s="22"/>
      <c r="L11" s="22"/>
      <c r="M11" s="22"/>
      <c r="N11" s="22"/>
      <c r="O11" s="149"/>
      <c r="P11" s="22"/>
      <c r="Q11" s="22"/>
      <c r="R11" s="22"/>
      <c r="S11" s="22"/>
      <c r="T11" s="22"/>
      <c r="U11" s="22"/>
      <c r="V11" s="22"/>
      <c r="W11" s="22"/>
      <c r="X11" s="22"/>
      <c r="Y11" s="22"/>
      <c r="Z11" s="22"/>
      <c r="AA11" s="22"/>
      <c r="AB11" s="22"/>
      <c r="AF11" s="22"/>
      <c r="AG11" s="22"/>
      <c r="AH11" s="22"/>
      <c r="AI11" s="22"/>
      <c r="AJ11" s="22"/>
      <c r="AK11" s="22"/>
      <c r="AL11" s="22"/>
      <c r="AM11" s="22"/>
      <c r="AN11" s="22"/>
      <c r="AO11" s="22"/>
      <c r="AP11" s="22"/>
      <c r="AQ11" s="22"/>
      <c r="AR11" s="22"/>
      <c r="AS11" s="22"/>
      <c r="AT11" s="22"/>
      <c r="AU11" s="22"/>
      <c r="AV11" s="22"/>
      <c r="AW11" s="22"/>
      <c r="AX11" s="22"/>
      <c r="AY11" s="22"/>
      <c r="AZ11" s="22"/>
      <c r="BA11" s="22"/>
      <c r="BB11" s="22"/>
      <c r="BC11" s="22"/>
      <c r="BD11" s="22"/>
      <c r="BE11" s="1045"/>
      <c r="BF11" s="1045"/>
      <c r="BG11" s="1045"/>
      <c r="BH11" s="34"/>
      <c r="BI11" s="22"/>
    </row>
    <row r="12" spans="1:80" ht="14.1" customHeight="1">
      <c r="B12" s="33"/>
      <c r="C12" s="149"/>
      <c r="D12" s="150" t="s">
        <v>1099</v>
      </c>
      <c r="F12" s="22"/>
      <c r="G12" s="22"/>
      <c r="H12" s="22"/>
      <c r="I12" s="22"/>
      <c r="K12" s="22"/>
      <c r="L12" s="22"/>
      <c r="M12" s="22"/>
      <c r="N12" s="22"/>
      <c r="O12" s="150" t="s">
        <v>1100</v>
      </c>
      <c r="P12" s="22"/>
      <c r="R12" s="150"/>
      <c r="S12" s="150"/>
      <c r="T12" s="150"/>
      <c r="U12" s="150"/>
      <c r="V12" s="150"/>
      <c r="W12" s="150"/>
      <c r="X12" s="150"/>
      <c r="AM12" s="22"/>
      <c r="AN12" s="22"/>
      <c r="AO12" s="22"/>
      <c r="AP12" s="22"/>
      <c r="AQ12" s="22"/>
      <c r="AR12" s="22"/>
      <c r="AS12" s="22"/>
      <c r="AT12" s="22"/>
      <c r="AU12" s="22"/>
      <c r="AV12" s="22"/>
      <c r="AW12" s="22"/>
      <c r="AX12" s="22"/>
      <c r="AY12" s="22"/>
      <c r="AZ12" s="22"/>
      <c r="BA12" s="22"/>
      <c r="BB12" s="22"/>
      <c r="BC12" s="22"/>
      <c r="BD12" s="22"/>
      <c r="BE12" s="1045"/>
      <c r="BF12" s="1045"/>
      <c r="BG12" s="1045"/>
      <c r="BH12" s="34"/>
      <c r="BI12" s="22"/>
    </row>
    <row r="13" spans="1:80" ht="16.5" customHeight="1" thickBot="1">
      <c r="A13" s="197" t="s">
        <v>386</v>
      </c>
      <c r="B13" s="33"/>
      <c r="C13" s="22"/>
      <c r="D13" s="808" t="s">
        <v>112</v>
      </c>
      <c r="E13" s="809" t="s">
        <v>307</v>
      </c>
      <c r="F13" s="808" t="s">
        <v>114</v>
      </c>
      <c r="G13" s="808" t="s">
        <v>115</v>
      </c>
      <c r="H13" s="808" t="s">
        <v>116</v>
      </c>
      <c r="N13" s="811"/>
      <c r="O13" s="808" t="s">
        <v>112</v>
      </c>
      <c r="P13" s="809" t="s">
        <v>307</v>
      </c>
      <c r="Q13" s="808" t="s">
        <v>114</v>
      </c>
      <c r="R13" s="808" t="s">
        <v>115</v>
      </c>
      <c r="S13" s="808" t="s">
        <v>116</v>
      </c>
      <c r="Z13" s="808" t="s">
        <v>112</v>
      </c>
      <c r="AA13" s="809" t="s">
        <v>307</v>
      </c>
      <c r="AB13" s="808" t="s">
        <v>114</v>
      </c>
      <c r="AC13" s="808" t="s">
        <v>115</v>
      </c>
      <c r="AD13" s="808" t="s">
        <v>116</v>
      </c>
      <c r="AJ13" s="22"/>
      <c r="AM13" s="22"/>
      <c r="AN13" s="22"/>
      <c r="AO13" s="22"/>
      <c r="AP13" s="22"/>
      <c r="AQ13" s="22"/>
      <c r="AR13" s="22"/>
      <c r="AS13" s="22"/>
      <c r="AT13" s="22"/>
      <c r="AU13" s="22"/>
      <c r="AV13" s="22"/>
      <c r="AW13" s="22"/>
      <c r="AX13" s="22"/>
      <c r="AY13" s="22"/>
      <c r="AZ13" s="22"/>
      <c r="BA13" s="22"/>
      <c r="BB13" s="22"/>
      <c r="BC13" s="22"/>
      <c r="BD13" s="22"/>
      <c r="BE13" s="1045"/>
      <c r="BF13" s="1045"/>
      <c r="BG13" s="1045"/>
      <c r="BH13" s="34"/>
      <c r="BI13" s="22"/>
      <c r="BL13" s="477" t="str">
        <f>$BL$7</f>
        <v>n.e.</v>
      </c>
      <c r="BM13" s="477" t="str">
        <f>$BM$7</f>
        <v>Act.</v>
      </c>
      <c r="BN13" s="477" t="str">
        <f>$BN$7</f>
        <v>Target</v>
      </c>
      <c r="BO13" s="477" t="str">
        <f>+BO7</f>
        <v>Max.</v>
      </c>
      <c r="BP13" s="477" t="str">
        <f>$BP$7</f>
        <v>Act.</v>
      </c>
      <c r="BR13" s="477" t="str">
        <f>$BL$7</f>
        <v>n.e.</v>
      </c>
      <c r="BS13" s="477" t="str">
        <f>$BM$7</f>
        <v>Act.</v>
      </c>
      <c r="BT13" s="477" t="str">
        <f>$BN$7</f>
        <v>Target</v>
      </c>
      <c r="BU13" s="477" t="str">
        <f>$BO$7</f>
        <v>Max.</v>
      </c>
      <c r="BV13" s="477" t="str">
        <f>$BP$7</f>
        <v>Act.</v>
      </c>
      <c r="BX13" s="477" t="str">
        <f>$BL$7</f>
        <v>n.e.</v>
      </c>
      <c r="BY13" s="477" t="str">
        <f>$BM$7</f>
        <v>Act.</v>
      </c>
      <c r="BZ13" s="477" t="str">
        <f>$BN$7</f>
        <v>Target</v>
      </c>
      <c r="CA13" s="477" t="str">
        <f>$BO$7</f>
        <v>Max.</v>
      </c>
      <c r="CB13" s="477" t="str">
        <f>$BP$7</f>
        <v>Act.</v>
      </c>
    </row>
    <row r="14" spans="1:80" s="815" customFormat="1" ht="18.75" customHeight="1" thickBot="1">
      <c r="A14" s="812" t="str">
        <f>IF(COUNT(D14:H14)+COUNT(O14:S14)=0,$BL$35,IF(MIN(D14:H14,O14:S14)=0,"B","A"))</f>
        <v>A</v>
      </c>
      <c r="B14" s="813"/>
      <c r="C14" s="149"/>
      <c r="D14" s="189">
        <f>IF($A$10=FALSE,$BL$13,IF(ISBLANK(Questions!$D23),"--",Questions!$D23))</f>
        <v>8</v>
      </c>
      <c r="E14" s="470">
        <f>IF($A$10=FALSE,$BL$13,IF(ISBLANK(Questions!$D26),"--",Questions!$D26))</f>
        <v>10</v>
      </c>
      <c r="F14" s="189">
        <f>IF($A$10=FALSE,$BL$13,IF(ISBLANK(Questions!$D29),"--",Questions!$D29))</f>
        <v>8</v>
      </c>
      <c r="G14" s="189">
        <f>IF($A$10=FALSE,$BL$13,IF(ISBLANK(Questions!$D32),"--",Questions!$D32))</f>
        <v>10</v>
      </c>
      <c r="H14" s="189">
        <f>IF($A$10=FALSE,$BL$13,IF(ISBLANK(Questions!$D35),"--",Questions!$D35))</f>
        <v>10</v>
      </c>
      <c r="O14" s="189">
        <f>IF($A$10=FALSE,$BR$13,IF(ISBLANK(Questions!$D24),"--",Questions!$D24))</f>
        <v>8</v>
      </c>
      <c r="P14" s="470">
        <f>IF($A$10=FALSE,$BR$13,IF(ISBLANK(Questions!$D27),"--",Questions!$D27))</f>
        <v>10</v>
      </c>
      <c r="Q14" s="189">
        <f>IF($A$10=FALSE,$BR$13,IF(ISBLANK(Questions!$D30),"--",Questions!$D30))</f>
        <v>8</v>
      </c>
      <c r="R14" s="189">
        <f>IF($A$10=FALSE,$BR$13,IF(ISBLANK(Questions!$D33),"--",Questions!$D33))</f>
        <v>6</v>
      </c>
      <c r="S14" s="189">
        <f>IF($A$10=FALSE,$BR$13,IF(ISBLANK(Questions!$D36),"--",Questions!$D36))</f>
        <v>10</v>
      </c>
      <c r="Z14" s="748">
        <f>IF(AND(D14=$BL$13,O14=$BR$13),$BX$13,IF(AND(D14="--",O14="--"),"--",IF(COUNT(D14,O14)&gt;0,ROUND(AVERAGE(D14,O14),2),"/")))</f>
        <v>8</v>
      </c>
      <c r="AA14" s="749">
        <f>IF(AND(E14=$BL$13,P14=$BR$13),$BX$13,IF(AND(E14="--",P14="--"),"--",IF(COUNT(E14,P14)&gt;0,ROUND(AVERAGE(E14,P14),2),"/")))</f>
        <v>10</v>
      </c>
      <c r="AB14" s="748">
        <f>IF(AND(F14=$BL$13,Q14=$BR$13),$BX$13,IF(AND(F14="--",Q14="--"),"--",IF(COUNT(F14,Q14)&gt;0,ROUND(AVERAGE(F14,Q14),2),"/")))</f>
        <v>8</v>
      </c>
      <c r="AC14" s="748">
        <f>IF(AND(G14=$BL$13,R14=$BR$13),$BX$13,IF(AND(G14="--",R14="--"),"--",IF(COUNT(G14,R14)&gt;0,ROUND(AVERAGE(G14,R14),2),"/")))</f>
        <v>8</v>
      </c>
      <c r="AD14" s="748">
        <f>IF(AND(H14=$BL$13,S14=$BR$13),$BX$13,IF(AND(H14="--",S14="--"),"--",IF(COUNT(H14,S14)&gt;0,ROUND(AVERAGE(H14,S14),2),"/")))</f>
        <v>10</v>
      </c>
      <c r="AJ14" s="22"/>
      <c r="AM14" s="1051"/>
      <c r="AN14" s="1051"/>
      <c r="AO14" s="1051"/>
      <c r="AP14" s="1051"/>
      <c r="AQ14" s="1317" t="s">
        <v>645</v>
      </c>
      <c r="AR14" s="1318"/>
      <c r="AS14" s="1312">
        <f>IF(AND(L16=BL13,W16=BR13),BL13,ROUND(CB14/CA14,2))</f>
        <v>0.88</v>
      </c>
      <c r="AT14" s="1313"/>
      <c r="AU14" s="1051"/>
      <c r="AV14" s="816"/>
      <c r="AW14" s="816"/>
      <c r="AX14" s="816"/>
      <c r="AY14" s="816"/>
      <c r="AZ14" s="816"/>
      <c r="BA14" s="816"/>
      <c r="BB14" s="816"/>
      <c r="BC14" s="816"/>
      <c r="BD14" s="816"/>
      <c r="BE14" s="1051"/>
      <c r="BF14" s="1051"/>
      <c r="BG14" s="1051"/>
      <c r="BH14" s="1052"/>
      <c r="BI14" s="1051"/>
      <c r="BL14" s="814">
        <f>COUNTIF(D14:H14,"&gt;-")</f>
        <v>0</v>
      </c>
      <c r="BM14" s="814">
        <f>COUNT(D14:H14)</f>
        <v>5</v>
      </c>
      <c r="BN14" s="814">
        <v>4</v>
      </c>
      <c r="BO14" s="814">
        <f>IF(AND($A10,BM14&gt;=BN14),BM14*10,"--")</f>
        <v>50</v>
      </c>
      <c r="BP14" s="814">
        <f>IF(AND($A10,BM14&gt;=BN14),SUM(D14:H14),"--")</f>
        <v>46</v>
      </c>
      <c r="BR14" s="814">
        <f>COUNTIF(O14:S14,"&gt;-")</f>
        <v>0</v>
      </c>
      <c r="BS14" s="814">
        <f>COUNT(O14:S14)</f>
        <v>5</v>
      </c>
      <c r="BT14" s="814">
        <v>4</v>
      </c>
      <c r="BU14" s="814">
        <f>IF(AND($A10,BS14&gt;=BT14),BS14*10,"--")</f>
        <v>50</v>
      </c>
      <c r="BV14" s="814">
        <f>IF(AND($A10,BS14&gt;=BT14),SUM(O14:S14),"--")</f>
        <v>42</v>
      </c>
      <c r="BX14" s="814">
        <f>COUNTIF(Z14:AD14,"&gt;-")</f>
        <v>0</v>
      </c>
      <c r="BY14" s="814">
        <f>COUNT(Z14:AD14)</f>
        <v>5</v>
      </c>
      <c r="BZ14" s="814">
        <v>4</v>
      </c>
      <c r="CA14" s="814">
        <f>IF(AND($A10,BY14&gt;=BZ14),BY14*10,"--")</f>
        <v>50</v>
      </c>
      <c r="CB14" s="814">
        <f>IF(AND($A10,BY14&gt;=BZ14),SUM(Z14:AD14),"--")</f>
        <v>44</v>
      </c>
    </row>
    <row r="15" spans="1:80" ht="15" thickBot="1">
      <c r="B15" s="33"/>
      <c r="C15" s="22"/>
      <c r="N15" s="150"/>
      <c r="O15" s="22"/>
      <c r="P15" s="22"/>
      <c r="T15" s="22"/>
      <c r="V15" s="22"/>
      <c r="W15" s="22"/>
      <c r="X15" s="1045"/>
      <c r="Y15" s="1045"/>
      <c r="Z15" s="1045"/>
      <c r="AA15" s="1045"/>
      <c r="AB15" s="1045"/>
      <c r="AC15" s="1045"/>
      <c r="AD15" s="1045"/>
      <c r="AE15" s="1045"/>
      <c r="AF15" s="1045"/>
      <c r="AJ15" s="1045"/>
      <c r="AK15" s="1045"/>
      <c r="AL15" s="1045"/>
      <c r="AM15" s="1045"/>
      <c r="AN15" s="1045"/>
      <c r="AO15" s="1045"/>
      <c r="AP15" s="1045"/>
      <c r="AQ15" s="1045"/>
      <c r="AR15" s="22"/>
      <c r="AS15" s="22"/>
      <c r="AT15" s="22"/>
      <c r="AU15" s="1045"/>
      <c r="AV15" s="1045"/>
      <c r="AW15" s="1045"/>
      <c r="AX15" s="1045"/>
      <c r="AY15" s="1045"/>
      <c r="AZ15" s="1045"/>
      <c r="BA15" s="1045"/>
      <c r="BB15" s="1045"/>
      <c r="BC15" s="1045"/>
      <c r="BD15" s="1045"/>
      <c r="BE15" s="1045"/>
      <c r="BF15" s="1045"/>
      <c r="BG15" s="1045"/>
      <c r="BH15" s="1053"/>
      <c r="BI15" s="1045"/>
    </row>
    <row r="16" spans="1:80" ht="15.75" thickBot="1">
      <c r="B16" s="33"/>
      <c r="C16" s="22"/>
      <c r="K16" s="152" t="s">
        <v>98</v>
      </c>
      <c r="L16" s="1312">
        <f>IF(AND(A10,BM14&gt;=BN14),ROUND(BP14/BO14,2),BL13)</f>
        <v>0.92</v>
      </c>
      <c r="M16" s="1313"/>
      <c r="N16" s="20"/>
      <c r="T16" s="1054"/>
      <c r="V16" s="152" t="s">
        <v>91</v>
      </c>
      <c r="W16" s="1312">
        <f>IF(AND(A10,BS14&gt;=BT14),ROUND(BV14/BU14,2),BR13)</f>
        <v>0.84</v>
      </c>
      <c r="X16" s="1313"/>
      <c r="Y16" s="1045"/>
      <c r="Z16" s="1045"/>
      <c r="AA16" s="1045"/>
      <c r="AB16" s="1045"/>
      <c r="AC16" s="1045"/>
      <c r="AD16" s="1045"/>
      <c r="AE16" s="1045"/>
      <c r="AF16" s="1045"/>
      <c r="AJ16" s="1045"/>
      <c r="AK16" s="1045"/>
      <c r="AL16" s="1045"/>
      <c r="AM16" s="1045"/>
      <c r="AN16" s="1045"/>
      <c r="AO16" s="1045"/>
      <c r="AP16" s="1045"/>
      <c r="AQ16" s="1045"/>
      <c r="AS16" s="1054"/>
      <c r="AT16" s="1054"/>
      <c r="AU16" s="1045"/>
      <c r="AV16" s="1045"/>
      <c r="AW16" s="1045"/>
      <c r="AX16" s="1045"/>
      <c r="AY16" s="1045"/>
      <c r="AZ16" s="1045"/>
      <c r="BA16" s="1045"/>
      <c r="BB16" s="1045"/>
      <c r="BC16" s="1045"/>
      <c r="BD16" s="1045"/>
      <c r="BE16" s="1045"/>
      <c r="BF16" s="1045"/>
      <c r="BG16" s="1045"/>
      <c r="BH16" s="1053"/>
      <c r="BI16" s="1045"/>
    </row>
    <row r="17" spans="1:80" ht="15">
      <c r="B17" s="33"/>
      <c r="C17" s="22"/>
      <c r="D17" s="22"/>
      <c r="E17" s="22"/>
      <c r="F17" s="22"/>
      <c r="G17" s="22"/>
      <c r="H17" s="22"/>
      <c r="I17" s="22"/>
      <c r="J17" s="22"/>
      <c r="K17" s="22"/>
      <c r="L17" s="22"/>
      <c r="M17" s="22"/>
      <c r="N17" s="22"/>
      <c r="O17" s="149"/>
      <c r="P17" s="22"/>
      <c r="Q17" s="22"/>
      <c r="V17" s="22"/>
      <c r="W17" s="22"/>
      <c r="X17" s="1045"/>
      <c r="Y17" s="1045"/>
      <c r="Z17" s="1045"/>
      <c r="AA17" s="1045"/>
      <c r="AB17" s="1045"/>
      <c r="AC17" s="1045"/>
      <c r="AD17" s="1045"/>
      <c r="AE17" s="1045"/>
      <c r="AF17" s="1045"/>
      <c r="AJ17" s="1045"/>
      <c r="AK17" s="1045"/>
      <c r="AL17" s="1045"/>
      <c r="AM17" s="1045"/>
      <c r="AN17" s="1045"/>
      <c r="AO17" s="1045"/>
      <c r="AP17" s="1045"/>
      <c r="AQ17" s="1045"/>
      <c r="AR17" s="1045"/>
      <c r="AS17" s="1045"/>
      <c r="AT17" s="1045"/>
      <c r="AU17" s="1045"/>
      <c r="AV17" s="1045"/>
      <c r="AW17" s="1045"/>
      <c r="AX17" s="1045"/>
      <c r="AY17" s="1045"/>
      <c r="AZ17" s="1045"/>
      <c r="BA17" s="1045"/>
      <c r="BB17" s="1045"/>
      <c r="BC17" s="1045"/>
      <c r="BD17" s="1045"/>
      <c r="BE17" s="1045"/>
      <c r="BF17" s="1045"/>
      <c r="BG17" s="1045"/>
      <c r="BH17" s="1053"/>
      <c r="BI17" s="1045"/>
    </row>
    <row r="18" spans="1:80" ht="15.75">
      <c r="A18" s="758" t="b">
        <v>1</v>
      </c>
      <c r="B18" s="487"/>
      <c r="C18" s="488" t="s">
        <v>140</v>
      </c>
      <c r="D18" s="488" t="s">
        <v>612</v>
      </c>
      <c r="E18" s="489"/>
      <c r="F18" s="489"/>
      <c r="G18" s="489"/>
      <c r="H18" s="489"/>
      <c r="I18" s="489"/>
      <c r="J18" s="489"/>
      <c r="K18" s="489"/>
      <c r="L18" s="489"/>
      <c r="M18" s="489"/>
      <c r="N18" s="489"/>
      <c r="O18" s="1049"/>
      <c r="P18" s="489"/>
      <c r="Q18" s="489"/>
      <c r="R18" s="492"/>
      <c r="S18" s="492"/>
      <c r="T18" s="492"/>
      <c r="U18" s="492"/>
      <c r="V18" s="489"/>
      <c r="W18" s="489"/>
      <c r="X18" s="1050"/>
      <c r="Y18" s="1050"/>
      <c r="Z18" s="1050"/>
      <c r="AA18" s="1050"/>
      <c r="AB18" s="1050"/>
      <c r="AC18" s="1050"/>
      <c r="AD18" s="1050"/>
      <c r="AE18" s="1050"/>
      <c r="AF18" s="1050"/>
      <c r="AG18" s="492"/>
      <c r="AH18" s="492"/>
      <c r="AI18" s="492"/>
      <c r="AJ18" s="1050"/>
      <c r="AK18" s="1050"/>
      <c r="AL18" s="1050"/>
      <c r="AM18" s="1050"/>
      <c r="AN18" s="1050"/>
      <c r="AO18" s="1050"/>
      <c r="AP18" s="1050"/>
      <c r="AQ18" s="1050"/>
      <c r="AR18" s="1050"/>
      <c r="AS18" s="1050"/>
      <c r="AT18" s="1050"/>
      <c r="AU18" s="1050"/>
      <c r="AV18" s="1050"/>
      <c r="AW18" s="1050"/>
      <c r="AX18" s="1050"/>
      <c r="AY18" s="1050"/>
      <c r="AZ18" s="1050"/>
      <c r="BA18" s="1050"/>
      <c r="BB18" s="1050"/>
      <c r="BC18" s="1050"/>
      <c r="BD18" s="1050"/>
      <c r="BE18" s="1050"/>
      <c r="BF18" s="1050"/>
      <c r="BG18" s="1050"/>
      <c r="BH18" s="1055"/>
      <c r="BI18" s="1045"/>
    </row>
    <row r="19" spans="1:80" ht="6.75" customHeight="1">
      <c r="B19" s="33"/>
      <c r="C19" s="149"/>
      <c r="D19" s="149"/>
      <c r="E19" s="22"/>
      <c r="F19" s="22"/>
      <c r="G19" s="22"/>
      <c r="H19" s="22"/>
      <c r="I19" s="22"/>
      <c r="J19" s="22"/>
      <c r="K19" s="22"/>
      <c r="L19" s="22"/>
      <c r="M19" s="22"/>
      <c r="N19" s="22"/>
      <c r="O19" s="149"/>
      <c r="P19" s="22"/>
      <c r="Q19" s="22"/>
      <c r="V19" s="22"/>
      <c r="W19" s="22"/>
      <c r="X19" s="1045"/>
      <c r="Y19" s="1045"/>
      <c r="Z19" s="1045"/>
      <c r="AA19" s="1045"/>
      <c r="AB19" s="1045"/>
      <c r="AC19" s="1045"/>
      <c r="AD19" s="1045"/>
      <c r="AE19" s="1045"/>
      <c r="AF19" s="1045"/>
      <c r="AJ19" s="1045"/>
      <c r="AK19" s="1045"/>
      <c r="AL19" s="1045"/>
      <c r="AM19" s="1045"/>
      <c r="AN19" s="1045"/>
      <c r="AO19" s="1045"/>
      <c r="AP19" s="1045"/>
      <c r="AQ19" s="1045"/>
      <c r="AR19" s="1045"/>
      <c r="AS19" s="1045"/>
      <c r="AT19" s="1045"/>
      <c r="AU19" s="1045"/>
      <c r="AV19" s="1045"/>
      <c r="AW19" s="1045"/>
      <c r="AX19" s="1045"/>
      <c r="AY19" s="1045"/>
      <c r="AZ19" s="1045"/>
      <c r="BA19" s="1045"/>
      <c r="BB19" s="1045"/>
      <c r="BC19" s="1045"/>
      <c r="BD19" s="1045"/>
      <c r="BE19" s="1045"/>
      <c r="BF19" s="1045"/>
      <c r="BG19" s="1045"/>
      <c r="BH19" s="1053"/>
      <c r="BI19" s="1045"/>
    </row>
    <row r="20" spans="1:80" ht="14.1" customHeight="1">
      <c r="B20" s="33"/>
      <c r="C20" s="149"/>
      <c r="D20" s="150" t="str">
        <f>D12</f>
        <v>Product</v>
      </c>
      <c r="E20" s="22"/>
      <c r="F20" s="22"/>
      <c r="G20" s="22"/>
      <c r="H20" s="22"/>
      <c r="I20" s="22"/>
      <c r="K20" s="22"/>
      <c r="L20" s="22"/>
      <c r="M20" s="22"/>
      <c r="O20" s="149"/>
      <c r="P20" s="34"/>
      <c r="Q20" s="150" t="str">
        <f>O12</f>
        <v>Process</v>
      </c>
      <c r="R20" s="22"/>
      <c r="T20" s="1045"/>
      <c r="U20" s="1045"/>
      <c r="V20" s="1045"/>
      <c r="W20" s="1045"/>
      <c r="X20" s="1045"/>
      <c r="Y20" s="1045"/>
      <c r="Z20" s="1045"/>
      <c r="AA20" s="1045"/>
      <c r="AC20" s="39"/>
      <c r="AK20" s="1045"/>
      <c r="AL20" s="1045"/>
      <c r="AM20" s="1045"/>
      <c r="AN20" s="1045"/>
      <c r="AO20" s="1045"/>
      <c r="AP20" s="1045"/>
      <c r="AQ20" s="1045"/>
      <c r="AR20" s="1045"/>
      <c r="AS20" s="1045"/>
      <c r="AT20" s="1045"/>
      <c r="AU20" s="1045"/>
      <c r="AV20" s="1045"/>
      <c r="AW20" s="1045"/>
      <c r="AX20" s="1045"/>
      <c r="AY20" s="1045"/>
      <c r="AZ20" s="1045"/>
      <c r="BA20" s="1045"/>
      <c r="BB20" s="1045"/>
      <c r="BC20" s="1045"/>
      <c r="BD20" s="1045"/>
      <c r="BE20" s="1045"/>
      <c r="BF20" s="1045"/>
      <c r="BG20" s="1045"/>
      <c r="BH20" s="1053"/>
      <c r="BI20" s="1045"/>
    </row>
    <row r="21" spans="1:80" ht="16.5" customHeight="1" thickBot="1">
      <c r="A21" s="197" t="s">
        <v>387</v>
      </c>
      <c r="B21" s="33"/>
      <c r="C21" s="22"/>
      <c r="D21" s="809" t="s">
        <v>318</v>
      </c>
      <c r="E21" s="808" t="s">
        <v>194</v>
      </c>
      <c r="F21" s="808" t="s">
        <v>195</v>
      </c>
      <c r="G21" s="809" t="s">
        <v>319</v>
      </c>
      <c r="H21" s="808" t="s">
        <v>197</v>
      </c>
      <c r="I21" s="808" t="s">
        <v>198</v>
      </c>
      <c r="J21" s="808" t="s">
        <v>199</v>
      </c>
      <c r="K21" s="808" t="s">
        <v>644</v>
      </c>
      <c r="P21" s="39"/>
      <c r="Q21" s="809" t="s">
        <v>318</v>
      </c>
      <c r="R21" s="808" t="s">
        <v>194</v>
      </c>
      <c r="S21" s="808" t="s">
        <v>195</v>
      </c>
      <c r="T21" s="809" t="s">
        <v>319</v>
      </c>
      <c r="U21" s="808" t="s">
        <v>197</v>
      </c>
      <c r="V21" s="808" t="s">
        <v>198</v>
      </c>
      <c r="W21" s="808" t="s">
        <v>199</v>
      </c>
      <c r="X21" s="809" t="s">
        <v>644</v>
      </c>
      <c r="AC21" s="39"/>
      <c r="AD21" s="809" t="s">
        <v>318</v>
      </c>
      <c r="AE21" s="808" t="s">
        <v>194</v>
      </c>
      <c r="AF21" s="808" t="s">
        <v>195</v>
      </c>
      <c r="AG21" s="809" t="s">
        <v>319</v>
      </c>
      <c r="AH21" s="808" t="s">
        <v>197</v>
      </c>
      <c r="AI21" s="808" t="s">
        <v>198</v>
      </c>
      <c r="AJ21" s="808" t="s">
        <v>199</v>
      </c>
      <c r="AK21" s="809" t="s">
        <v>644</v>
      </c>
      <c r="AQ21" s="1045"/>
      <c r="AR21" s="1045"/>
      <c r="AS21" s="1045"/>
      <c r="AT21" s="1045"/>
      <c r="AU21" s="1045"/>
      <c r="AV21" s="1045"/>
      <c r="AW21" s="1045"/>
      <c r="AX21" s="1045"/>
      <c r="AY21" s="1045"/>
      <c r="AZ21" s="1045"/>
      <c r="BA21" s="1045"/>
      <c r="BB21" s="1045"/>
      <c r="BC21" s="1045"/>
      <c r="BD21" s="1045"/>
      <c r="BE21" s="1045"/>
      <c r="BF21" s="1045"/>
      <c r="BG21" s="1045"/>
      <c r="BH21" s="1053"/>
      <c r="BI21" s="1045"/>
      <c r="BL21" s="477" t="str">
        <f>$BL$7</f>
        <v>n.e.</v>
      </c>
      <c r="BM21" s="477" t="str">
        <f>$BM$7</f>
        <v>Act.</v>
      </c>
      <c r="BN21" s="477" t="str">
        <f>$BN$7</f>
        <v>Target</v>
      </c>
      <c r="BO21" s="477" t="str">
        <f>$BO$7</f>
        <v>Max.</v>
      </c>
      <c r="BP21" s="580" t="str">
        <f>$BP$7</f>
        <v>Act.</v>
      </c>
      <c r="BR21" s="477" t="str">
        <f>$BL$7</f>
        <v>n.e.</v>
      </c>
      <c r="BS21" s="477" t="str">
        <f>$BM$7</f>
        <v>Act.</v>
      </c>
      <c r="BT21" s="477" t="str">
        <f>$BN$7</f>
        <v>Target</v>
      </c>
      <c r="BU21" s="477" t="str">
        <f>$BO$7</f>
        <v>Max.</v>
      </c>
      <c r="BV21" s="580" t="str">
        <f>$BP$7</f>
        <v>Act.</v>
      </c>
      <c r="BX21" s="477" t="str">
        <f>$BL$7</f>
        <v>n.e.</v>
      </c>
      <c r="BY21" s="477" t="str">
        <f>$BM$7</f>
        <v>Act.</v>
      </c>
      <c r="BZ21" s="477" t="str">
        <f>$BN$7</f>
        <v>Target</v>
      </c>
      <c r="CA21" s="477" t="str">
        <f>$BO$7</f>
        <v>Max.</v>
      </c>
      <c r="CB21" s="477" t="str">
        <f>$BP$7</f>
        <v>Act.</v>
      </c>
    </row>
    <row r="22" spans="1:80" s="26" customFormat="1" ht="15" customHeight="1" thickBot="1">
      <c r="A22" s="198" t="str">
        <f>IF(COUNT(D22:K22)+COUNT(Q22:X22)=0,$BL$35,IF(MIN(D22:K22,Q22:X22)=0,"B","A"))</f>
        <v>A</v>
      </c>
      <c r="B22" s="35"/>
      <c r="C22" s="150"/>
      <c r="D22" s="470">
        <f>IF($A$18=FALSE,$BL$21,IF(ISBLANK(Questions!$D40),"--",Questions!$D40))</f>
        <v>8</v>
      </c>
      <c r="E22" s="189">
        <f>IF($A$18=FALSE,$BL$21,IF(ISBLANK(Questions!$D43),"--",Questions!$D43))</f>
        <v>8</v>
      </c>
      <c r="F22" s="189">
        <f>IF($A$18=FALSE,$BL$21,IF(ISBLANK(Questions!$D46),"--",Questions!$D46))</f>
        <v>10</v>
      </c>
      <c r="G22" s="470">
        <f>IF($A$18=FALSE,$BL$21,IF(ISBLANK(Questions!$D49),"--",Questions!$D49))</f>
        <v>10</v>
      </c>
      <c r="H22" s="189">
        <f>IF($A$18=FALSE,$BL$21,IF(ISBLANK(Questions!$D52),"--",Questions!$D52))</f>
        <v>10</v>
      </c>
      <c r="I22" s="908" t="str">
        <f>BL21</f>
        <v>n.e.</v>
      </c>
      <c r="J22" s="908" t="str">
        <f>BL21</f>
        <v>n.e.</v>
      </c>
      <c r="K22" s="189">
        <f>IF($A$18=FALSE,$BL$21,IF(ISBLANK(Questions!$D59),"--",Questions!$D59))</f>
        <v>10</v>
      </c>
      <c r="P22" s="897"/>
      <c r="Q22" s="806">
        <f>IF($A$18=FALSE,$BR$21,IF(ISBLANK(Questions!$D41),"--",Questions!$D41))</f>
        <v>8</v>
      </c>
      <c r="R22" s="189">
        <f>IF($A$18=FALSE,$BR$21,IF(ISBLANK(Questions!$D44),"--",Questions!$D44))</f>
        <v>8</v>
      </c>
      <c r="S22" s="189">
        <f>IF($A$18=FALSE,$BR$21,IF(ISBLANK(Questions!$D47),"--",Questions!$D47))</f>
        <v>10</v>
      </c>
      <c r="T22" s="470">
        <f>IF($A$18=FALSE,$BR$21,IF(ISBLANK(Questions!$D50),"--",Questions!$D50))</f>
        <v>6</v>
      </c>
      <c r="U22" s="189">
        <f>IF($A$18=FALSE,$BR$21,IF(ISBLANK(Questions!$D53),"--",Questions!$D53))</f>
        <v>10</v>
      </c>
      <c r="V22" s="189">
        <f>IF($A$18=FALSE,$BR$21,IF(ISBLANK(Questions!$D55),"--",Questions!$D55))</f>
        <v>8</v>
      </c>
      <c r="W22" s="189">
        <f>IF($A$18=FALSE,$BR$21,IF(ISBLANK(Questions!$D57),"--",Questions!$D57))</f>
        <v>6</v>
      </c>
      <c r="X22" s="470">
        <f>IF($A$18=FALSE,$BR$21,IF(ISBLANK(Questions!$D60),"--",Questions!$D60))</f>
        <v>10</v>
      </c>
      <c r="AC22" s="897"/>
      <c r="AD22" s="807">
        <f t="shared" ref="AD22:AK22" si="0">IF(AND(D22=$BL$21,Q22=$BR$21),$BX$21,IF(AND(D22="--",Q22="--"),"--",IF(COUNT(D22,Q22)&gt;0,ROUND(AVERAGE(D22,Q22),2),"/")))</f>
        <v>8</v>
      </c>
      <c r="AE22" s="748">
        <f t="shared" si="0"/>
        <v>8</v>
      </c>
      <c r="AF22" s="748">
        <f t="shared" si="0"/>
        <v>10</v>
      </c>
      <c r="AG22" s="749">
        <f t="shared" si="0"/>
        <v>8</v>
      </c>
      <c r="AH22" s="748">
        <f t="shared" si="0"/>
        <v>10</v>
      </c>
      <c r="AI22" s="748">
        <f t="shared" si="0"/>
        <v>8</v>
      </c>
      <c r="AJ22" s="748">
        <f t="shared" si="0"/>
        <v>6</v>
      </c>
      <c r="AK22" s="749">
        <f t="shared" si="0"/>
        <v>10</v>
      </c>
      <c r="AQ22" s="1179" t="s">
        <v>496</v>
      </c>
      <c r="AR22" s="1180"/>
      <c r="AS22" s="1312">
        <f>IF(AND(O24=BL21,AB24=BR21),BL21,ROUND(CB22/CA22,2))</f>
        <v>0.85</v>
      </c>
      <c r="AT22" s="1313"/>
      <c r="AU22" s="1045"/>
      <c r="AV22" s="153"/>
      <c r="AW22" s="153"/>
      <c r="AX22" s="153"/>
      <c r="AY22" s="153"/>
      <c r="AZ22" s="153"/>
      <c r="BA22" s="153"/>
      <c r="BB22" s="153"/>
      <c r="BC22" s="153"/>
      <c r="BD22" s="153"/>
      <c r="BE22" s="1045"/>
      <c r="BF22" s="1045"/>
      <c r="BG22" s="1045"/>
      <c r="BH22" s="1053"/>
      <c r="BI22" s="1045"/>
      <c r="BL22" s="575">
        <f>COUNTIF(D22:K22,"&gt;-")</f>
        <v>2</v>
      </c>
      <c r="BM22" s="575">
        <f>COUNT(D22:K22)</f>
        <v>6</v>
      </c>
      <c r="BN22" s="575">
        <v>4</v>
      </c>
      <c r="BO22" s="575">
        <f>IF(AND($A18,BM22&gt;=BN22),BM22*10,"--")</f>
        <v>60</v>
      </c>
      <c r="BP22" s="581">
        <f>IF(AND($A18,BM22&gt;=BN22),SUM(D22:K22),"--")</f>
        <v>56</v>
      </c>
      <c r="BR22" s="575">
        <f>COUNTIF(Q22:X22,"&gt;-")</f>
        <v>0</v>
      </c>
      <c r="BS22" s="575">
        <f>COUNT(Q22:X22)</f>
        <v>8</v>
      </c>
      <c r="BT22" s="575">
        <v>6</v>
      </c>
      <c r="BU22" s="575">
        <f>IF(AND($A18,BS22&gt;=BT22),BS22*10,"--")</f>
        <v>80</v>
      </c>
      <c r="BV22" s="581">
        <f>IF(AND($A18,BS22&gt;=BT22),SUM(Q22:X22),"--")</f>
        <v>66</v>
      </c>
      <c r="BX22" s="575">
        <f>COUNTIF(AD22:AK22,"&gt;-")</f>
        <v>0</v>
      </c>
      <c r="BY22" s="575">
        <f>COUNT(AD22:AK22)</f>
        <v>8</v>
      </c>
      <c r="BZ22" s="575">
        <v>6</v>
      </c>
      <c r="CA22" s="575">
        <f>IF(AND($A18,BY22&gt;=BZ22),BY22*10,"--")</f>
        <v>80</v>
      </c>
      <c r="CB22" s="575">
        <f>IF(AND($A18,BY22&gt;=BZ22),SUM(AD22:AK22),"--")</f>
        <v>68</v>
      </c>
    </row>
    <row r="23" spans="1:80" s="499" customFormat="1" ht="15" customHeight="1" thickBot="1">
      <c r="A23" s="495"/>
      <c r="B23" s="496"/>
      <c r="C23" s="497"/>
      <c r="D23" s="750"/>
      <c r="E23" s="750"/>
      <c r="F23" s="750"/>
      <c r="G23" s="750"/>
      <c r="H23" s="750"/>
      <c r="I23" s="750"/>
      <c r="J23" s="750"/>
      <c r="K23" s="750"/>
      <c r="L23" s="498"/>
      <c r="M23" s="498"/>
      <c r="N23" s="498"/>
      <c r="O23" s="498"/>
      <c r="P23" s="898"/>
      <c r="Q23" s="500"/>
      <c r="R23" s="1056"/>
      <c r="S23" s="1056"/>
      <c r="V23" s="750"/>
      <c r="W23" s="750"/>
      <c r="X23" s="750"/>
      <c r="Y23" s="750"/>
      <c r="Z23" s="750"/>
      <c r="AA23" s="750"/>
      <c r="AB23" s="750"/>
      <c r="AC23" s="899"/>
      <c r="AD23" s="498"/>
      <c r="AE23" s="498"/>
      <c r="AF23" s="498"/>
      <c r="AG23" s="498"/>
      <c r="AK23" s="500"/>
      <c r="AL23" s="1056"/>
      <c r="AM23" s="1056"/>
      <c r="AQ23" s="502"/>
      <c r="AR23" s="502"/>
      <c r="AS23" s="1056"/>
      <c r="AT23" s="1056"/>
      <c r="AU23" s="503"/>
      <c r="AV23" s="504"/>
      <c r="AW23" s="504"/>
      <c r="AX23" s="504"/>
      <c r="AY23" s="504"/>
      <c r="AZ23" s="504"/>
      <c r="BA23" s="504"/>
      <c r="BB23" s="504"/>
      <c r="BC23" s="504"/>
      <c r="BD23" s="504"/>
      <c r="BE23" s="1057"/>
      <c r="BF23" s="1057"/>
      <c r="BG23" s="1057"/>
      <c r="BH23" s="1058"/>
      <c r="BI23" s="1057"/>
    </row>
    <row r="24" spans="1:80" s="499" customFormat="1" ht="15" customHeight="1" thickBot="1">
      <c r="A24" s="495"/>
      <c r="B24" s="496"/>
      <c r="C24" s="497"/>
      <c r="D24" s="750"/>
      <c r="E24" s="750"/>
      <c r="F24" s="750"/>
      <c r="G24" s="750"/>
      <c r="H24" s="750"/>
      <c r="I24" s="750"/>
      <c r="J24" s="750"/>
      <c r="K24" s="750"/>
      <c r="L24" s="498"/>
      <c r="M24" s="498"/>
      <c r="N24" s="152" t="s">
        <v>99</v>
      </c>
      <c r="O24" s="1312">
        <f>IF(AND(A18,BM22&gt;=BN22),ROUND(BP22/BO22,2),BL21)</f>
        <v>0.93</v>
      </c>
      <c r="P24" s="1313"/>
      <c r="Q24" s="500"/>
      <c r="R24" s="1056"/>
      <c r="S24" s="1056"/>
      <c r="V24" s="750"/>
      <c r="W24" s="750"/>
      <c r="X24" s="750"/>
      <c r="Y24" s="750"/>
      <c r="Z24" s="750"/>
      <c r="AA24" s="152" t="s">
        <v>100</v>
      </c>
      <c r="AB24" s="1312">
        <f>IF(AND(A18,BS22&gt;=BT22),ROUND(BV22/BU22,2),BR21)</f>
        <v>0.83</v>
      </c>
      <c r="AC24" s="1313"/>
      <c r="AD24" s="498"/>
      <c r="AE24" s="498"/>
      <c r="AF24" s="498"/>
      <c r="AG24" s="498"/>
      <c r="AK24" s="500"/>
      <c r="AL24" s="1056"/>
      <c r="AM24" s="1056"/>
      <c r="AQ24" s="502"/>
      <c r="AR24" s="502"/>
      <c r="AS24" s="1056"/>
      <c r="AT24" s="1056"/>
      <c r="AU24" s="503"/>
      <c r="AV24" s="504"/>
      <c r="AW24" s="504"/>
      <c r="AX24" s="504"/>
      <c r="AY24" s="504"/>
      <c r="AZ24" s="504"/>
      <c r="BA24" s="504"/>
      <c r="BB24" s="504"/>
      <c r="BC24" s="504"/>
      <c r="BD24" s="504"/>
      <c r="BE24" s="1057"/>
      <c r="BF24" s="1057"/>
      <c r="BG24" s="1057"/>
      <c r="BH24" s="1058"/>
      <c r="BI24" s="1057"/>
    </row>
    <row r="25" spans="1:80" s="499" customFormat="1" ht="15" customHeight="1">
      <c r="A25" s="495"/>
      <c r="B25" s="496"/>
      <c r="C25" s="497"/>
      <c r="D25" s="750"/>
      <c r="E25" s="750"/>
      <c r="F25" s="750"/>
      <c r="G25" s="750"/>
      <c r="H25" s="750"/>
      <c r="I25" s="750"/>
      <c r="J25" s="750"/>
      <c r="K25" s="498"/>
      <c r="L25" s="498"/>
      <c r="M25" s="498"/>
      <c r="N25" s="498"/>
      <c r="O25" s="498"/>
      <c r="Q25" s="500"/>
      <c r="R25" s="1056"/>
      <c r="S25" s="1056"/>
      <c r="V25" s="750"/>
      <c r="W25" s="750"/>
      <c r="X25" s="750"/>
      <c r="Y25" s="750"/>
      <c r="Z25" s="750"/>
      <c r="AA25" s="750"/>
      <c r="AB25" s="750"/>
      <c r="AC25" s="498"/>
      <c r="AD25" s="498"/>
      <c r="AE25" s="498"/>
      <c r="AF25" s="498"/>
      <c r="AG25" s="498"/>
      <c r="AJ25" s="500"/>
      <c r="AK25" s="1056"/>
      <c r="AL25" s="1056"/>
      <c r="AQ25" s="502"/>
      <c r="AR25" s="502"/>
      <c r="AS25" s="1056"/>
      <c r="AT25" s="1056"/>
      <c r="AU25" s="503"/>
      <c r="AV25" s="504"/>
      <c r="AW25" s="504"/>
      <c r="AX25" s="504"/>
      <c r="AY25" s="504"/>
      <c r="AZ25" s="504"/>
      <c r="BA25" s="504"/>
      <c r="BB25" s="504"/>
      <c r="BC25" s="504"/>
      <c r="BD25" s="504"/>
      <c r="BE25" s="1057"/>
      <c r="BF25" s="1057"/>
      <c r="BG25" s="1057"/>
      <c r="BH25" s="1058"/>
      <c r="BI25" s="1057"/>
    </row>
    <row r="26" spans="1:80" ht="9.9499999999999993" customHeight="1">
      <c r="A26" s="471"/>
      <c r="B26" s="472"/>
      <c r="C26" s="225"/>
      <c r="D26" s="473"/>
      <c r="E26" s="474"/>
      <c r="F26" s="474"/>
      <c r="G26" s="474"/>
      <c r="H26" s="474"/>
      <c r="I26" s="474"/>
      <c r="J26" s="474"/>
      <c r="K26" s="1059"/>
      <c r="L26" s="473"/>
      <c r="M26" s="474"/>
      <c r="N26" s="474"/>
      <c r="O26" s="474"/>
      <c r="P26" s="474"/>
      <c r="Q26" s="474"/>
      <c r="R26" s="474"/>
      <c r="S26" s="1059"/>
      <c r="T26" s="1059"/>
      <c r="U26" s="473"/>
      <c r="V26" s="1059"/>
      <c r="W26" s="1059"/>
      <c r="X26" s="1059"/>
      <c r="Y26" s="1059"/>
      <c r="Z26" s="1059"/>
      <c r="AA26" s="1059"/>
      <c r="AB26" s="1059"/>
      <c r="AC26" s="1059"/>
      <c r="AD26" s="1059"/>
      <c r="AE26" s="1059"/>
      <c r="AF26" s="1059"/>
      <c r="AG26" s="1059"/>
      <c r="AH26" s="1059"/>
      <c r="AI26" s="1059"/>
      <c r="AJ26" s="1059"/>
      <c r="AK26" s="1059"/>
      <c r="AL26" s="1059"/>
      <c r="AM26" s="1059"/>
      <c r="AN26" s="1059"/>
      <c r="AO26" s="1059"/>
      <c r="AP26" s="1059"/>
      <c r="AQ26" s="1059"/>
      <c r="AR26" s="1059"/>
      <c r="AS26" s="1060"/>
      <c r="AT26" s="1059"/>
      <c r="AU26" s="1059"/>
      <c r="AV26" s="1059"/>
      <c r="AW26" s="1059"/>
      <c r="AX26" s="1059"/>
      <c r="AY26" s="1059"/>
      <c r="AZ26" s="1059"/>
      <c r="BA26" s="1059"/>
      <c r="BB26" s="1059"/>
      <c r="BC26" s="1059"/>
      <c r="BD26" s="1059"/>
      <c r="BE26" s="1059"/>
      <c r="BF26" s="1059"/>
      <c r="BG26" s="1059"/>
      <c r="BH26" s="1061"/>
      <c r="BI26" s="1045"/>
    </row>
    <row r="27" spans="1:80" ht="18.75" customHeight="1">
      <c r="A27" s="757" t="b">
        <v>1</v>
      </c>
      <c r="B27" s="33"/>
      <c r="C27" s="1062" t="s">
        <v>39</v>
      </c>
      <c r="D27" s="22"/>
      <c r="E27" s="1043" t="s">
        <v>551</v>
      </c>
      <c r="F27" s="22"/>
      <c r="G27" s="22"/>
      <c r="H27" s="22"/>
      <c r="I27" s="22"/>
      <c r="J27" s="22"/>
      <c r="K27" s="22"/>
      <c r="L27" s="22"/>
      <c r="M27" s="22"/>
      <c r="N27" s="22"/>
      <c r="O27" s="149"/>
      <c r="P27" s="22"/>
      <c r="Q27" s="22"/>
      <c r="R27" s="22"/>
      <c r="S27" s="22"/>
      <c r="T27" s="22"/>
      <c r="U27" s="22"/>
      <c r="V27" s="1045"/>
      <c r="W27" s="1045"/>
      <c r="X27" s="1045"/>
      <c r="Y27" s="1045"/>
      <c r="Z27" s="1045"/>
      <c r="AA27" s="1045"/>
      <c r="AB27" s="1045"/>
      <c r="AF27" s="1045"/>
      <c r="AG27" s="1045"/>
      <c r="AH27" s="1045"/>
      <c r="AI27" s="1045"/>
      <c r="AJ27" s="1045"/>
      <c r="AK27" s="1045"/>
      <c r="AL27" s="1045"/>
      <c r="AM27" s="1045"/>
      <c r="AN27" s="1045"/>
      <c r="AO27" s="1045"/>
      <c r="AP27" s="1045"/>
      <c r="AQ27" s="1045"/>
      <c r="AR27" s="1045"/>
      <c r="AS27" s="1045"/>
      <c r="AT27" s="1045"/>
      <c r="AU27" s="1045"/>
      <c r="AV27" s="1045"/>
      <c r="AW27" s="1045"/>
      <c r="AX27" s="1045"/>
      <c r="AY27" s="1045"/>
      <c r="AZ27" s="1045"/>
      <c r="BA27" s="1045"/>
      <c r="BB27" s="1045"/>
      <c r="BC27" s="1045"/>
      <c r="BD27" s="1045"/>
      <c r="BE27" s="1045"/>
      <c r="BF27" s="1045"/>
      <c r="BG27" s="1045"/>
      <c r="BH27" s="1053"/>
      <c r="BI27" s="1045"/>
    </row>
    <row r="28" spans="1:80" ht="15" thickBot="1">
      <c r="A28" s="197" t="s">
        <v>388</v>
      </c>
      <c r="B28" s="33"/>
      <c r="C28" s="22"/>
      <c r="D28" s="22"/>
      <c r="E28" s="22"/>
      <c r="F28" s="22"/>
      <c r="G28" s="22"/>
      <c r="H28" s="22"/>
      <c r="I28" s="22"/>
      <c r="J28" s="22"/>
      <c r="K28" s="22"/>
      <c r="L28" s="321" t="s">
        <v>95</v>
      </c>
      <c r="M28" s="321" t="s">
        <v>159</v>
      </c>
      <c r="N28" s="321" t="s">
        <v>160</v>
      </c>
      <c r="O28" s="465" t="s">
        <v>310</v>
      </c>
      <c r="P28" s="465" t="s">
        <v>358</v>
      </c>
      <c r="Q28" s="321" t="s">
        <v>165</v>
      </c>
      <c r="R28" s="321" t="s">
        <v>166</v>
      </c>
      <c r="X28" s="22"/>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2"/>
      <c r="BA28" s="22"/>
      <c r="BB28" s="22"/>
      <c r="BC28" s="22"/>
      <c r="BD28" s="22"/>
      <c r="BE28" s="1045"/>
      <c r="BF28" s="1045"/>
      <c r="BG28" s="1045"/>
      <c r="BH28" s="34"/>
      <c r="BI28" s="22"/>
      <c r="BL28" s="477" t="str">
        <f>$BL$7</f>
        <v>n.e.</v>
      </c>
      <c r="BM28" s="477" t="str">
        <f>$BM$7</f>
        <v>Act.</v>
      </c>
      <c r="BN28" s="477" t="str">
        <f>$BN$7</f>
        <v>Target</v>
      </c>
      <c r="BO28" s="477" t="str">
        <f>$BO$7</f>
        <v>Max.</v>
      </c>
      <c r="BP28" s="477" t="str">
        <f>$BP$7</f>
        <v>Act.</v>
      </c>
    </row>
    <row r="29" spans="1:80" ht="15" customHeight="1" thickBot="1">
      <c r="A29" s="198" t="str">
        <f>IF(COUNT(L29:R29)=0,$BL$35,IF(MIN(L29:R29)=0,"B","A"))</f>
        <v>A</v>
      </c>
      <c r="B29" s="33"/>
      <c r="C29" s="53" t="s">
        <v>141</v>
      </c>
      <c r="D29" s="54" t="s">
        <v>486</v>
      </c>
      <c r="E29" s="22"/>
      <c r="F29" s="22"/>
      <c r="G29" s="22"/>
      <c r="H29" s="22"/>
      <c r="I29" s="22"/>
      <c r="J29" s="22"/>
      <c r="K29" s="22"/>
      <c r="L29" s="189">
        <f>IF($A$27=FALSE,$BL$28,IF(ISBLANK(Questions!$D62),"--",Questions!$D62))</f>
        <v>6</v>
      </c>
      <c r="M29" s="189">
        <f>IF($A$27=FALSE,$BL$28,IF(ISBLANK(Questions!$D63),"--",Questions!$D63))</f>
        <v>10</v>
      </c>
      <c r="N29" s="189">
        <f>IF($A$27=FALSE,$BL$28,IF(ISBLANK(Questions!$D64),"--",Questions!$D64))</f>
        <v>10</v>
      </c>
      <c r="O29" s="470">
        <f>IF($A$27=FALSE,$BL$28,IF(ISBLANK(Questions!$D65),"--",Questions!$D65))</f>
        <v>10</v>
      </c>
      <c r="P29" s="470">
        <f>IF($A$27=FALSE,$BL$28,IF(ISBLANK(Questions!$D66),"--",Questions!$D66))</f>
        <v>10</v>
      </c>
      <c r="Q29" s="189">
        <f>IF($A$27=FALSE,$BL$28,IF(ISBLANK(Questions!$D67),"--",Questions!$D67))</f>
        <v>10</v>
      </c>
      <c r="R29" s="189">
        <f>IF($A$27=FALSE,$BL$28,IF(ISBLANK(Questions!$D68),"--",Questions!$D68))</f>
        <v>10</v>
      </c>
      <c r="X29" s="22"/>
      <c r="Y29" s="22"/>
      <c r="Z29" s="22"/>
      <c r="AA29" s="22"/>
      <c r="AB29" s="22"/>
      <c r="AC29" s="22"/>
      <c r="AD29" s="22"/>
      <c r="AE29" s="22"/>
      <c r="AF29" s="22"/>
      <c r="AG29" s="22"/>
      <c r="AH29" s="22"/>
      <c r="AI29" s="22"/>
      <c r="AJ29" s="22"/>
      <c r="AK29" s="22"/>
      <c r="AL29" s="22"/>
      <c r="AM29" s="22"/>
      <c r="AN29" s="22"/>
      <c r="AO29" s="22"/>
      <c r="AP29" s="22"/>
      <c r="AQ29" s="1179" t="s">
        <v>497</v>
      </c>
      <c r="AR29" s="1180"/>
      <c r="AS29" s="1195">
        <f>IF(AND(A27,BM29&gt;=BN29),ROUND(BP29/BO29,2),BL28)</f>
        <v>0.94</v>
      </c>
      <c r="AT29" s="1196"/>
      <c r="AU29" s="1045"/>
      <c r="AV29" s="153"/>
      <c r="AW29" s="153"/>
      <c r="AX29" s="153"/>
      <c r="AY29" s="153"/>
      <c r="AZ29" s="153"/>
      <c r="BA29" s="153"/>
      <c r="BB29" s="153"/>
      <c r="BC29" s="153"/>
      <c r="BD29" s="153"/>
      <c r="BE29" s="1045"/>
      <c r="BF29" s="1045"/>
      <c r="BG29" s="1045"/>
      <c r="BH29" s="34"/>
      <c r="BI29" s="22"/>
      <c r="BL29" s="575">
        <f>COUNTIF(L29:R29,"&gt;-")</f>
        <v>0</v>
      </c>
      <c r="BM29" s="575">
        <f>COUNT(L29:R29)</f>
        <v>7</v>
      </c>
      <c r="BN29" s="575">
        <v>5</v>
      </c>
      <c r="BO29" s="575">
        <f>IF(AND($A27,BM29&gt;=BN29),BM29*10,"--")</f>
        <v>70</v>
      </c>
      <c r="BP29" s="575">
        <f>IF(AND($A27,BM29&gt;=BN29),SUM(L29:R29),"--")</f>
        <v>66</v>
      </c>
    </row>
    <row r="30" spans="1:80" ht="9.9499999999999993" customHeight="1">
      <c r="B30" s="848"/>
      <c r="C30" s="849"/>
      <c r="D30" s="849"/>
      <c r="E30" s="849"/>
      <c r="F30" s="849"/>
      <c r="G30" s="849"/>
      <c r="H30" s="849"/>
      <c r="I30" s="849"/>
      <c r="J30" s="849"/>
      <c r="K30" s="849"/>
      <c r="L30" s="849"/>
      <c r="M30" s="849"/>
      <c r="N30" s="849"/>
      <c r="O30" s="849"/>
      <c r="P30" s="849"/>
      <c r="Q30" s="849"/>
      <c r="R30" s="849"/>
      <c r="S30" s="849"/>
      <c r="T30" s="849"/>
      <c r="U30" s="849"/>
      <c r="V30" s="849"/>
      <c r="W30" s="849"/>
      <c r="X30" s="849"/>
      <c r="Y30" s="849"/>
      <c r="Z30" s="849"/>
      <c r="AA30" s="849"/>
      <c r="AB30" s="849"/>
      <c r="AC30" s="849"/>
      <c r="AD30" s="849"/>
      <c r="AE30" s="849"/>
      <c r="AF30" s="849"/>
      <c r="AG30" s="849"/>
      <c r="AH30" s="849"/>
      <c r="AI30" s="1063"/>
      <c r="AJ30" s="1063"/>
      <c r="AK30" s="1063"/>
      <c r="AL30" s="1063"/>
      <c r="AM30" s="849"/>
      <c r="AN30" s="849"/>
      <c r="AO30" s="849"/>
      <c r="AP30" s="849"/>
      <c r="AQ30" s="850"/>
      <c r="AR30" s="850"/>
      <c r="AS30" s="1064"/>
      <c r="AT30" s="850"/>
      <c r="AU30" s="850"/>
      <c r="AV30" s="850"/>
      <c r="AW30" s="850"/>
      <c r="AX30" s="850"/>
      <c r="AY30" s="850"/>
      <c r="AZ30" s="850"/>
      <c r="BA30" s="850"/>
      <c r="BB30" s="850"/>
      <c r="BC30" s="850"/>
      <c r="BD30" s="850"/>
      <c r="BE30" s="1065"/>
      <c r="BF30" s="1065"/>
      <c r="BG30" s="1065"/>
      <c r="BH30" s="851"/>
      <c r="BI30" s="183"/>
    </row>
    <row r="31" spans="1:80" ht="15.75" customHeight="1">
      <c r="A31" s="757" t="b">
        <v>1</v>
      </c>
      <c r="B31" s="33"/>
      <c r="C31" s="53" t="s">
        <v>142</v>
      </c>
      <c r="D31" s="54" t="s">
        <v>525</v>
      </c>
      <c r="E31" s="149"/>
      <c r="F31" s="149"/>
      <c r="G31" s="149"/>
      <c r="H31" s="149"/>
      <c r="I31" s="149"/>
      <c r="J31" s="149"/>
      <c r="K31" s="149"/>
      <c r="L31" s="149"/>
      <c r="M31" s="149"/>
      <c r="N31" s="149"/>
      <c r="O31" s="149"/>
      <c r="P31" s="149"/>
      <c r="Q31" s="149"/>
      <c r="R31" s="149"/>
      <c r="S31" s="149"/>
      <c r="T31" s="149"/>
      <c r="U31" s="149"/>
      <c r="V31" s="149"/>
      <c r="W31" s="149"/>
      <c r="X31" s="149"/>
      <c r="Y31" s="149"/>
      <c r="Z31" s="149"/>
      <c r="AA31" s="149"/>
      <c r="AB31" s="149"/>
      <c r="AC31" s="149"/>
      <c r="AD31" s="149"/>
      <c r="AE31" s="149"/>
      <c r="AF31" s="149"/>
      <c r="AG31" s="149"/>
      <c r="AH31" s="149"/>
      <c r="AI31" s="149"/>
      <c r="AJ31" s="149"/>
      <c r="AK31" s="149"/>
      <c r="AL31" s="149"/>
      <c r="AM31" s="149"/>
      <c r="AN31" s="149"/>
      <c r="AO31" s="149"/>
      <c r="AP31" s="149"/>
      <c r="AQ31" s="1047"/>
      <c r="AR31" s="1045"/>
      <c r="AS31" s="149"/>
      <c r="AT31" s="149"/>
      <c r="AU31" s="149"/>
      <c r="AV31" s="149"/>
      <c r="AW31" s="149"/>
      <c r="AX31" s="149"/>
      <c r="AY31" s="149"/>
      <c r="AZ31" s="149"/>
      <c r="BA31" s="149"/>
      <c r="BB31" s="149"/>
      <c r="BC31" s="149"/>
      <c r="BD31" s="149"/>
      <c r="BE31" s="1045"/>
      <c r="BF31" s="1045"/>
      <c r="BG31" s="1045"/>
      <c r="BH31" s="1066"/>
      <c r="BI31" s="149"/>
    </row>
    <row r="32" spans="1:80" ht="4.5" customHeight="1">
      <c r="B32" s="33"/>
      <c r="C32" s="22"/>
      <c r="D32" s="22"/>
      <c r="E32" s="22"/>
      <c r="F32" s="22"/>
      <c r="G32" s="22"/>
      <c r="H32" s="22"/>
      <c r="I32" s="22"/>
      <c r="J32" s="22"/>
      <c r="K32" s="22"/>
      <c r="L32" s="22"/>
      <c r="M32" s="22"/>
      <c r="N32" s="22"/>
      <c r="O32" s="149"/>
      <c r="P32" s="22"/>
      <c r="Q32" s="22"/>
      <c r="R32" s="22"/>
      <c r="S32" s="22"/>
      <c r="T32" s="22"/>
      <c r="U32" s="22"/>
      <c r="V32" s="22"/>
      <c r="W32" s="22"/>
      <c r="X32" s="22"/>
      <c r="Y32" s="22"/>
      <c r="Z32" s="22"/>
      <c r="AA32" s="22"/>
      <c r="AB32" s="22"/>
      <c r="AC32" s="22"/>
      <c r="AD32" s="22"/>
      <c r="AE32" s="22"/>
      <c r="AF32" s="22"/>
      <c r="AG32" s="22"/>
      <c r="AH32" s="22"/>
      <c r="AI32" s="22"/>
      <c r="AJ32" s="22"/>
      <c r="AK32" s="22"/>
      <c r="AL32" s="22"/>
      <c r="AM32" s="22"/>
      <c r="AN32" s="22"/>
      <c r="AO32" s="22"/>
      <c r="AP32" s="22"/>
      <c r="AQ32" s="22"/>
      <c r="AR32" s="22"/>
      <c r="AS32" s="22"/>
      <c r="AT32" s="22"/>
      <c r="AU32" s="22"/>
      <c r="AV32" s="22"/>
      <c r="AW32" s="22"/>
      <c r="AX32" s="22"/>
      <c r="AY32" s="22"/>
      <c r="AZ32" s="22"/>
      <c r="BA32" s="22"/>
      <c r="BB32" s="22"/>
      <c r="BC32" s="22"/>
      <c r="BD32" s="22"/>
      <c r="BE32" s="1045"/>
      <c r="BF32" s="1045"/>
      <c r="BG32" s="1045"/>
      <c r="BH32" s="34"/>
      <c r="BI32" s="22"/>
    </row>
    <row r="33" spans="1:68" ht="30" customHeight="1">
      <c r="B33" s="33"/>
      <c r="C33" s="1045"/>
      <c r="D33" s="28" t="s">
        <v>555</v>
      </c>
      <c r="E33" s="29"/>
      <c r="F33" s="29"/>
      <c r="G33" s="29"/>
      <c r="H33" s="29"/>
      <c r="I33" s="1045"/>
      <c r="J33" s="1199" t="s">
        <v>556</v>
      </c>
      <c r="K33" s="1199" t="e">
        <v>#N/A</v>
      </c>
      <c r="L33" s="1199" t="e">
        <v>#N/A</v>
      </c>
      <c r="M33" s="1199" t="e">
        <v>#N/A</v>
      </c>
      <c r="N33" s="1199" t="e">
        <v>#N/A</v>
      </c>
      <c r="O33" s="1199" t="e">
        <v>#N/A</v>
      </c>
      <c r="P33" s="1199" t="s">
        <v>557</v>
      </c>
      <c r="Q33" s="1199" t="e">
        <v>#N/A</v>
      </c>
      <c r="R33" s="1199" t="e">
        <v>#N/A</v>
      </c>
      <c r="S33" s="29"/>
      <c r="T33" s="1199" t="s">
        <v>558</v>
      </c>
      <c r="U33" s="1199" t="e">
        <v>#N/A</v>
      </c>
      <c r="V33" s="1199" t="e">
        <v>#N/A</v>
      </c>
      <c r="W33" s="1199" t="e">
        <v>#N/A</v>
      </c>
      <c r="X33" s="1199" t="e">
        <v>#N/A</v>
      </c>
      <c r="Z33" s="1199" t="s">
        <v>559</v>
      </c>
      <c r="AA33" s="1199" t="e">
        <v>#N/A</v>
      </c>
      <c r="AB33" s="1199" t="e">
        <v>#N/A</v>
      </c>
      <c r="AC33" s="1199" t="e">
        <v>#N/A</v>
      </c>
      <c r="AD33" s="29"/>
      <c r="AE33" s="1199" t="s">
        <v>560</v>
      </c>
      <c r="AF33" s="1199" t="e">
        <v>#N/A</v>
      </c>
      <c r="AG33" s="1199" t="e">
        <v>#N/A</v>
      </c>
      <c r="AH33" s="1199" t="e">
        <v>#N/A</v>
      </c>
      <c r="AI33" s="29"/>
      <c r="AJ33" s="29"/>
      <c r="AK33" s="29"/>
      <c r="AL33" s="29"/>
      <c r="AM33" s="1045"/>
      <c r="AN33" s="1045"/>
      <c r="AO33" s="1045"/>
      <c r="AP33" s="1045"/>
      <c r="AQ33" s="1314" t="s">
        <v>563</v>
      </c>
      <c r="AR33" s="1314" t="e">
        <v>#N/A</v>
      </c>
      <c r="AS33" s="1314" t="e">
        <v>#N/A</v>
      </c>
      <c r="AT33" s="1314" t="e">
        <v>#N/A</v>
      </c>
      <c r="AU33" s="29"/>
      <c r="AX33" s="28" t="s">
        <v>561</v>
      </c>
      <c r="AY33" s="29"/>
      <c r="AZ33" s="29"/>
      <c r="BA33" s="29"/>
      <c r="BB33" s="29"/>
      <c r="BC33" s="29"/>
      <c r="BD33" s="29"/>
      <c r="BE33" s="29"/>
      <c r="BF33" s="1045"/>
      <c r="BG33" s="1045"/>
      <c r="BH33" s="157"/>
      <c r="BI33" s="29"/>
    </row>
    <row r="34" spans="1:68" ht="17.25" customHeight="1">
      <c r="B34" s="33"/>
      <c r="C34" s="20"/>
      <c r="D34" s="281" t="s">
        <v>167</v>
      </c>
      <c r="E34" s="282" t="s">
        <v>76</v>
      </c>
      <c r="F34" s="281" t="s">
        <v>62</v>
      </c>
      <c r="G34" s="281" t="s">
        <v>63</v>
      </c>
      <c r="H34" s="466" t="s">
        <v>331</v>
      </c>
      <c r="I34" s="283"/>
      <c r="J34" s="281" t="s">
        <v>169</v>
      </c>
      <c r="K34" s="282" t="s">
        <v>0</v>
      </c>
      <c r="L34" s="466" t="s">
        <v>89</v>
      </c>
      <c r="M34" s="466" t="s">
        <v>90</v>
      </c>
      <c r="N34" s="281" t="s">
        <v>65</v>
      </c>
      <c r="O34" s="1045"/>
      <c r="P34" s="466" t="s">
        <v>501</v>
      </c>
      <c r="Q34" s="281" t="s">
        <v>4</v>
      </c>
      <c r="R34" s="281" t="s">
        <v>67</v>
      </c>
      <c r="S34" s="282"/>
      <c r="T34" s="466" t="s">
        <v>342</v>
      </c>
      <c r="U34" s="281" t="s">
        <v>171</v>
      </c>
      <c r="V34" s="466" t="s">
        <v>344</v>
      </c>
      <c r="W34" s="281" t="s">
        <v>70</v>
      </c>
      <c r="X34" s="281" t="s">
        <v>345</v>
      </c>
      <c r="Z34" s="281" t="s">
        <v>71</v>
      </c>
      <c r="AA34" s="281" t="s">
        <v>72</v>
      </c>
      <c r="AB34" s="466" t="s">
        <v>646</v>
      </c>
      <c r="AC34" s="281" t="s">
        <v>176</v>
      </c>
      <c r="AD34" s="283"/>
      <c r="AE34" s="281" t="s">
        <v>179</v>
      </c>
      <c r="AF34" s="281" t="s">
        <v>73</v>
      </c>
      <c r="AG34" s="281" t="s">
        <v>74</v>
      </c>
      <c r="AH34" s="466" t="s">
        <v>348</v>
      </c>
      <c r="AI34" s="284"/>
      <c r="AJ34" s="284"/>
      <c r="AK34" s="284"/>
      <c r="AL34" s="284"/>
      <c r="AM34" s="284"/>
      <c r="AN34" s="284"/>
      <c r="AO34" s="284"/>
      <c r="AP34" s="284"/>
      <c r="AQ34" s="284"/>
      <c r="AR34" s="283"/>
      <c r="AS34" s="285"/>
      <c r="AT34" s="282"/>
      <c r="AU34" s="282"/>
      <c r="AX34" s="281" t="s">
        <v>76</v>
      </c>
      <c r="AY34" s="282" t="s">
        <v>62</v>
      </c>
      <c r="AZ34" s="282" t="s">
        <v>63</v>
      </c>
      <c r="BA34" s="282" t="s">
        <v>2</v>
      </c>
      <c r="BB34" s="282" t="s">
        <v>65</v>
      </c>
      <c r="BC34" s="282" t="s">
        <v>179</v>
      </c>
      <c r="BD34" s="282" t="s">
        <v>73</v>
      </c>
      <c r="BE34" s="282" t="s">
        <v>74</v>
      </c>
      <c r="BF34" s="1045"/>
      <c r="BG34" s="1045"/>
      <c r="BH34" s="38"/>
      <c r="BI34" s="21"/>
    </row>
    <row r="35" spans="1:68" ht="15" customHeight="1" thickBot="1">
      <c r="B35" s="33"/>
      <c r="C35" s="28"/>
      <c r="D35" s="154" t="s">
        <v>92</v>
      </c>
      <c r="E35" s="154"/>
      <c r="F35" s="21"/>
      <c r="G35" s="21"/>
      <c r="H35" s="467"/>
      <c r="I35" s="154">
        <v>0</v>
      </c>
      <c r="K35" s="21"/>
      <c r="L35" s="468"/>
      <c r="M35" s="468"/>
      <c r="N35" s="21"/>
      <c r="O35" s="1045"/>
      <c r="P35" s="468"/>
      <c r="Q35" s="21"/>
      <c r="R35" s="21"/>
      <c r="S35" s="21"/>
      <c r="T35" s="468"/>
      <c r="U35" s="21"/>
      <c r="V35" s="468"/>
      <c r="W35" s="21"/>
      <c r="X35" s="21"/>
      <c r="Z35" s="21"/>
      <c r="AA35" s="21"/>
      <c r="AB35" s="468"/>
      <c r="AC35" s="21"/>
      <c r="AD35" s="21"/>
      <c r="AE35" s="21"/>
      <c r="AF35" s="21"/>
      <c r="AG35" s="21"/>
      <c r="AH35" s="468"/>
      <c r="AN35" s="477"/>
      <c r="AO35" s="477"/>
      <c r="AP35" s="477"/>
      <c r="AQ35" s="21"/>
      <c r="AR35" s="28" t="s">
        <v>101</v>
      </c>
      <c r="AS35" s="1067"/>
      <c r="AT35" s="1068"/>
      <c r="AU35" s="1068"/>
      <c r="AX35" s="1068"/>
      <c r="AY35" s="1068"/>
      <c r="AZ35" s="1041"/>
      <c r="BA35" s="1041"/>
      <c r="BB35" s="1041"/>
      <c r="BC35" s="1041"/>
      <c r="BD35" s="1041"/>
      <c r="BE35" s="1041"/>
      <c r="BF35" s="1045"/>
      <c r="BG35" s="1045"/>
      <c r="BH35" s="1053"/>
      <c r="BI35" s="1045"/>
      <c r="BL35" s="477" t="str">
        <f>$BL$7</f>
        <v>n.e.</v>
      </c>
      <c r="BM35" s="477" t="str">
        <f>$BM$7</f>
        <v>Act.</v>
      </c>
      <c r="BN35" s="477" t="str">
        <f>$BN$7</f>
        <v>Target</v>
      </c>
      <c r="BO35" s="477" t="str">
        <f>$BO$7</f>
        <v>Max.</v>
      </c>
      <c r="BP35" s="477" t="str">
        <f>$BP$7</f>
        <v>Act.</v>
      </c>
    </row>
    <row r="36" spans="1:68" ht="15" customHeight="1" thickBot="1">
      <c r="A36" s="198" t="str">
        <f>IF(COUNT(D36:AH36)=0,$BL$35,IF(MIN(D36:H36,J36:N36,P36:R36,T36:X36,Z36:AC36,AE36:AH36)=0,"B","A"))</f>
        <v>A</v>
      </c>
      <c r="B36" s="33"/>
      <c r="C36" s="823" t="s">
        <v>1098</v>
      </c>
      <c r="D36" s="189">
        <f>IF($A$31=FALSE,$BL$35,IF($C36="X",IF(ISBLANK(Questions!$D72),"--",Questions!$D72),"xx"))</f>
        <v>10</v>
      </c>
      <c r="E36" s="189">
        <f>IF($A$31=FALSE,$BL$35,IF($C36="X",IF(ISBLANK(Questions!$D83),"--",Questions!$D83),"xx"))</f>
        <v>10</v>
      </c>
      <c r="F36" s="189">
        <f>IF($A$31=FALSE,$BL$35,IF($C36="X",IF(ISBLANK(Questions!$D94),"--",Questions!$D94),"xx"))</f>
        <v>10</v>
      </c>
      <c r="G36" s="189">
        <f>IF($A$31=FALSE,$BL$35,IF($C36="X",IF(ISBLANK(Questions!$D105),"--",Questions!$D105),"xx"))</f>
        <v>10</v>
      </c>
      <c r="H36" s="470">
        <f>IF($A$31=FALSE,$BL$35,IF($C36="X",IF(ISBLANK(Questions!$D116),"--",Questions!$D116),"xx"))</f>
        <v>10</v>
      </c>
      <c r="I36" s="183"/>
      <c r="J36" s="189">
        <f>IF($A$31=FALSE,$BL$35,IF($C36="X",IF(ISBLANK(Questions!$D128),"--",Questions!$D128),"xx"))</f>
        <v>10</v>
      </c>
      <c r="K36" s="189">
        <f>IF($A$31=FALSE,$BL$35,IF($C36="X",IF(ISBLANK(Questions!$D139),"--",Questions!$D139),"xx"))</f>
        <v>10</v>
      </c>
      <c r="L36" s="470">
        <f>IF($A$31=FALSE,$BL$35,IF($C36="X",IF(ISBLANK(Questions!$D150),"--",Questions!$D150),"xx"))</f>
        <v>10</v>
      </c>
      <c r="M36" s="470">
        <f>IF($A$31=FALSE,$BL$35,IF($C36="X",IF(ISBLANK(Questions!$D161),"--",Questions!$D161),"xx"))</f>
        <v>10</v>
      </c>
      <c r="N36" s="189">
        <f>IF($A$31=FALSE,$BL$35,IF($C36="X",IF(ISBLANK(Questions!$D172),"--",Questions!$D172),"xx"))</f>
        <v>10</v>
      </c>
      <c r="O36" s="1045"/>
      <c r="P36" s="470" t="str">
        <f>IF($A$31=FALSE,$BL$35,IF($C36="X",IF(ISBLANK(Questions!$D182),"--",Questions!$D182),"xx"))</f>
        <v>n.e.</v>
      </c>
      <c r="Q36" s="189">
        <f>IF($A$31=FALSE,$BL$35,IF($C36="X",IF(ISBLANK(Questions!$D193),"--",Questions!$D193),"xx"))</f>
        <v>10</v>
      </c>
      <c r="R36" s="189">
        <f>IF($A$31=FALSE,$BL$35,IF($C36="X",IF(ISBLANK(Questions!$D204),"--",Questions!$D204),"xx"))</f>
        <v>10</v>
      </c>
      <c r="S36" s="183"/>
      <c r="T36" s="470">
        <f>IF($A$31=FALSE,$BL$35,IF($C36="X",IF(ISBLANK(Questions!$D216),"--",Questions!$D216),"xx"))</f>
        <v>10</v>
      </c>
      <c r="U36" s="189">
        <f>IF($A$31=FALSE,$BL$35,IF($C36="X",IF(ISBLANK(Questions!$D227),"--",Questions!$D227),"xx"))</f>
        <v>10</v>
      </c>
      <c r="V36" s="470">
        <f>IF($A$31=FALSE,$BL$35,IF($C36="X",IF(ISBLANK(Questions!$D238),"--",Questions!$D238),"xx"))</f>
        <v>10</v>
      </c>
      <c r="W36" s="189">
        <f>IF($A$31=FALSE,$BL$35,IF($C36="X",IF(ISBLANK(Questions!$D249),"--",Questions!$D249),"xx"))</f>
        <v>10</v>
      </c>
      <c r="X36" s="189">
        <f>IF($A$31=FALSE,$BL$35,IF($C36="X",IF(ISBLANK(Questions!$D260),"--",Questions!$D260),"xx"))</f>
        <v>10</v>
      </c>
      <c r="Z36" s="189">
        <f>IF($A$31=FALSE,$BL$35,IF($C36="X",IF(ISBLANK(Questions!$D272),"--",Questions!$D272),"xx"))</f>
        <v>10</v>
      </c>
      <c r="AA36" s="189">
        <f>IF($A$31=FALSE,$BL$35,IF($C36="X",IF(ISBLANK(Questions!$D283),"--",Questions!$D283),"xx"))</f>
        <v>10</v>
      </c>
      <c r="AB36" s="470">
        <f>IF($A$31=FALSE,$BL$35,IF($C36="X",IF(ISBLANK(Questions!$D294),"--",Questions!$D294),"xx"))</f>
        <v>10</v>
      </c>
      <c r="AC36" s="189">
        <f>IF($A$31=FALSE,$BL$35,IF($C36="X",IF(ISBLANK(Questions!$D305),"--",Questions!$D305),"xx"))</f>
        <v>8</v>
      </c>
      <c r="AD36" s="183"/>
      <c r="AE36" s="189">
        <f>IF($A$31=FALSE,$BL$35,IF($C36="X",IF(ISBLANK(Questions!$D317),"--",Questions!$D317),"xx"))</f>
        <v>10</v>
      </c>
      <c r="AF36" s="189">
        <f>IF($A$31=FALSE,$BL$35,IF($C36="X",IF(ISBLANK(Questions!$D328),"--",Questions!$D328),"xx"))</f>
        <v>10</v>
      </c>
      <c r="AG36" s="189">
        <f>IF($A$31=FALSE,$BL$35,IF($C36="X",IF(ISBLANK(Questions!$D339),"--",Questions!$D339),"xx"))</f>
        <v>10</v>
      </c>
      <c r="AH36" s="470">
        <f>IF($A$31=FALSE,$BL$35,IF($C36="X",IF(ISBLANK(Questions!$D350),"--",Questions!$D350),"xx"))</f>
        <v>10</v>
      </c>
      <c r="AN36" s="477"/>
      <c r="AO36" s="477"/>
      <c r="AP36" s="477"/>
      <c r="AQ36" s="27"/>
      <c r="AR36" s="30"/>
      <c r="AS36" s="1195">
        <f>IF($A$31=FALSE,$BL$35,IF(C36="","xx",IF(BM36&lt;BN36,$BL$35,ROUND(BP36/BO36,2))))</f>
        <v>0.99</v>
      </c>
      <c r="AT36" s="1196"/>
      <c r="AU36" s="1045"/>
      <c r="AX36" s="564">
        <f>E36</f>
        <v>10</v>
      </c>
      <c r="AY36" s="564">
        <f>F36</f>
        <v>10</v>
      </c>
      <c r="AZ36" s="564">
        <f>G36</f>
        <v>10</v>
      </c>
      <c r="BA36" s="564">
        <f>M36</f>
        <v>10</v>
      </c>
      <c r="BB36" s="564">
        <f>N36</f>
        <v>10</v>
      </c>
      <c r="BC36" s="564">
        <f>AE36</f>
        <v>10</v>
      </c>
      <c r="BD36" s="564">
        <f>AF36</f>
        <v>10</v>
      </c>
      <c r="BE36" s="564">
        <f>AG36</f>
        <v>10</v>
      </c>
      <c r="BF36" s="1045"/>
      <c r="BG36" s="1045"/>
      <c r="BH36" s="1053"/>
      <c r="BI36" s="1045"/>
      <c r="BL36" s="575">
        <f>COUNTIF(D36:AH36,"&gt;-")</f>
        <v>1</v>
      </c>
      <c r="BM36" s="575">
        <f>COUNT(D36:AH36)</f>
        <v>25</v>
      </c>
      <c r="BN36" s="575">
        <v>17</v>
      </c>
      <c r="BO36" s="575">
        <f>IF(AND($A$31,BM36&gt;=BN36),BM36*10,"--")</f>
        <v>250</v>
      </c>
      <c r="BP36" s="575">
        <f>IF(AND($A$31,BM36&gt;=BN36),SUM(D36:AH36),"--")</f>
        <v>248</v>
      </c>
    </row>
    <row r="37" spans="1:68" ht="15" customHeight="1" thickBot="1">
      <c r="B37" s="33"/>
      <c r="C37" s="824"/>
      <c r="D37" s="154" t="s">
        <v>93</v>
      </c>
      <c r="E37" s="154"/>
      <c r="F37" s="22"/>
      <c r="G37" s="22"/>
      <c r="H37" s="467"/>
      <c r="I37" s="154">
        <v>0</v>
      </c>
      <c r="K37" s="22"/>
      <c r="L37" s="469"/>
      <c r="M37" s="469"/>
      <c r="N37" s="22"/>
      <c r="O37" s="1045"/>
      <c r="P37" s="469"/>
      <c r="Q37" s="22"/>
      <c r="R37" s="22"/>
      <c r="S37" s="22"/>
      <c r="T37" s="469"/>
      <c r="U37" s="22"/>
      <c r="V37" s="469"/>
      <c r="W37" s="22"/>
      <c r="X37" s="22"/>
      <c r="Z37" s="22"/>
      <c r="AA37" s="22"/>
      <c r="AB37" s="469"/>
      <c r="AC37" s="22"/>
      <c r="AD37" s="22"/>
      <c r="AE37" s="22"/>
      <c r="AF37" s="22"/>
      <c r="AG37" s="22"/>
      <c r="AH37" s="469"/>
      <c r="AN37" s="477"/>
      <c r="AO37" s="477"/>
      <c r="AP37" s="477"/>
      <c r="AQ37" s="22"/>
      <c r="AR37" s="28" t="s">
        <v>102</v>
      </c>
      <c r="AS37" s="1069"/>
      <c r="AT37" s="333"/>
      <c r="AU37" s="183"/>
      <c r="AX37" s="183"/>
      <c r="AY37" s="183"/>
      <c r="AZ37" s="183"/>
      <c r="BA37" s="183"/>
      <c r="BB37" s="183"/>
      <c r="BC37" s="183"/>
      <c r="BD37" s="183"/>
      <c r="BE37" s="183"/>
      <c r="BF37" s="1045"/>
      <c r="BG37" s="1045"/>
      <c r="BH37" s="1053"/>
      <c r="BI37" s="1045"/>
      <c r="BL37" s="22"/>
      <c r="BM37" s="22"/>
      <c r="BN37" s="22"/>
      <c r="BO37" s="1045"/>
      <c r="BP37" s="22"/>
    </row>
    <row r="38" spans="1:68" ht="15" customHeight="1" thickBot="1">
      <c r="A38" s="198" t="str">
        <f>IF(COUNT(D38:AH38)=0,$BL$35,IF(MIN(D38:H38,J38:N38,P38:R38,T38:X38,Z38:AC38,AE38:AH38)=0,"B","A"))</f>
        <v>A</v>
      </c>
      <c r="B38" s="33"/>
      <c r="C38" s="823" t="s">
        <v>1098</v>
      </c>
      <c r="D38" s="189">
        <f>IF($A$31=FALSE,$BL$35,IF($C38="X",IF(ISBLANK(Questions!$D73),"--",Questions!$D73),"xx"))</f>
        <v>10</v>
      </c>
      <c r="E38" s="189">
        <f>IF($A$31=FALSE,$BL$35,IF($C38="X",IF(ISBLANK(Questions!$D84),"--",Questions!$D84),"xx"))</f>
        <v>10</v>
      </c>
      <c r="F38" s="189">
        <f>IF($A$31=FALSE,$BL$35,IF($C38="X",IF(ISBLANK(Questions!$D95),"--",Questions!$D95),"xx"))</f>
        <v>10</v>
      </c>
      <c r="G38" s="189">
        <f>IF($A$31=FALSE,$BL$35,IF($C38="X",IF(ISBLANK(Questions!$D106),"--",Questions!$D106),"xx"))</f>
        <v>4</v>
      </c>
      <c r="H38" s="470">
        <f>IF($A$31=FALSE,$BL$35,IF($C38="X",IF(ISBLANK(Questions!$D117),"--",Questions!$D117),"xx"))</f>
        <v>10</v>
      </c>
      <c r="I38" s="183"/>
      <c r="J38" s="189">
        <f>IF($A$31=FALSE,$BL$35,IF($C38="X",IF(ISBLANK(Questions!$D129),"--",Questions!$D129),"xx"))</f>
        <v>4</v>
      </c>
      <c r="K38" s="189">
        <f>IF($A$31=FALSE,$BL$35,IF($C38="X",IF(ISBLANK(Questions!$D140),"--",Questions!$D140),"xx"))</f>
        <v>10</v>
      </c>
      <c r="L38" s="470">
        <f>IF($A$31=FALSE,$BL$35,IF($C38="X",IF(ISBLANK(Questions!$D151),"--",Questions!$D151),"xx"))</f>
        <v>6</v>
      </c>
      <c r="M38" s="470">
        <f>IF($A$31=FALSE,$BL$35,IF($C38="X",IF(ISBLANK(Questions!$D162),"--",Questions!$D162),"xx"))</f>
        <v>4</v>
      </c>
      <c r="N38" s="189">
        <f>IF($A$31=FALSE,$BL$35,IF($C38="X",IF(ISBLANK(Questions!$D173),"--",Questions!$D173),"xx"))</f>
        <v>4</v>
      </c>
      <c r="O38" s="1045"/>
      <c r="P38" s="470" t="str">
        <f>IF($A$31=FALSE,$BL$35,IF($C38="X",IF(ISBLANK(Questions!$D183),"--",Questions!$D183),"xx"))</f>
        <v>n.e.</v>
      </c>
      <c r="Q38" s="189">
        <f>IF($A$31=FALSE,$BL$35,IF($C38="X",IF(ISBLANK(Questions!$D194),"--",Questions!$D194),"xx"))</f>
        <v>6</v>
      </c>
      <c r="R38" s="189">
        <f>IF($A$31=FALSE,$BL$35,IF($C38="X",IF(ISBLANK(Questions!$D205),"--",Questions!$D205),"xx"))</f>
        <v>4</v>
      </c>
      <c r="S38" s="183"/>
      <c r="T38" s="470">
        <f>IF($A$31=FALSE,$BL$35,IF($C38="X",IF(ISBLANK(Questions!$D217),"--",Questions!$D217),"xx"))</f>
        <v>10</v>
      </c>
      <c r="U38" s="189">
        <f>IF($A$31=FALSE,$BL$35,IF($C38="X",IF(ISBLANK(Questions!$D228),"--",Questions!$D228),"xx"))</f>
        <v>4</v>
      </c>
      <c r="V38" s="470">
        <f>IF($A$31=FALSE,$BL$35,IF($C38="X",IF(ISBLANK(Questions!$D239),"--",Questions!$D239),"xx"))</f>
        <v>6</v>
      </c>
      <c r="W38" s="189">
        <f>IF($A$31=FALSE,$BL$35,IF($C38="X",IF(ISBLANK(Questions!$D250),"--",Questions!$D250),"xx"))</f>
        <v>6</v>
      </c>
      <c r="X38" s="189">
        <f>IF($A$31=FALSE,$BL$35,IF($C38="X",IF(ISBLANK(Questions!$D261),"--",Questions!$D261),"xx"))</f>
        <v>6</v>
      </c>
      <c r="Z38" s="189">
        <f>IF($A$31=FALSE,$BL$35,IF($C38="X",IF(ISBLANK(Questions!$D273),"--",Questions!$D273),"xx"))</f>
        <v>6</v>
      </c>
      <c r="AA38" s="189">
        <f>IF($A$31=FALSE,$BL$35,IF($C38="X",IF(ISBLANK(Questions!$D284),"--",Questions!$D284),"xx"))</f>
        <v>10</v>
      </c>
      <c r="AB38" s="470">
        <f>IF($A$31=FALSE,$BL$35,IF($C38="X",IF(ISBLANK(Questions!$D295),"--",Questions!$D295),"xx"))</f>
        <v>6</v>
      </c>
      <c r="AC38" s="189">
        <f>IF($A$31=FALSE,$BL$35,IF($C38="X",IF(ISBLANK(Questions!$D306),"--",Questions!$D306),"xx"))</f>
        <v>4</v>
      </c>
      <c r="AD38" s="183"/>
      <c r="AE38" s="189">
        <f>IF($A$31=FALSE,$BL$35,IF($C38="X",IF(ISBLANK(Questions!$D318),"--",Questions!$D318),"xx"))</f>
        <v>10</v>
      </c>
      <c r="AF38" s="189">
        <f>IF($A$31=FALSE,$BL$35,IF($C38="X",IF(ISBLANK(Questions!$D329),"--",Questions!$D329),"xx"))</f>
        <v>10</v>
      </c>
      <c r="AG38" s="189">
        <f>IF($A$31=FALSE,$BL$35,IF($C38="X",IF(ISBLANK(Questions!$D340),"--",Questions!$D340),"xx"))</f>
        <v>8</v>
      </c>
      <c r="AH38" s="470">
        <f>IF($A$31=FALSE,$BL$35,IF($C38="X",IF(ISBLANK(Questions!$D351),"--",Questions!$D351),"xx"))</f>
        <v>10</v>
      </c>
      <c r="AN38" s="477"/>
      <c r="AO38" s="477"/>
      <c r="AP38" s="477"/>
      <c r="AQ38" s="27"/>
      <c r="AR38" s="30"/>
      <c r="AS38" s="1195">
        <f>IF($A$31=FALSE,$BL$35,IF(C38="","xx",IF(BM38&lt;BN38,$BL$35,ROUND(BP38/BO38,2))))</f>
        <v>0.71</v>
      </c>
      <c r="AT38" s="1196"/>
      <c r="AU38" s="1045"/>
      <c r="AX38" s="564">
        <f>E38</f>
        <v>10</v>
      </c>
      <c r="AY38" s="564">
        <f>F38</f>
        <v>10</v>
      </c>
      <c r="AZ38" s="564">
        <f>G38</f>
        <v>4</v>
      </c>
      <c r="BA38" s="564">
        <f>M38</f>
        <v>4</v>
      </c>
      <c r="BB38" s="564">
        <f>N38</f>
        <v>4</v>
      </c>
      <c r="BC38" s="564">
        <f>AE38</f>
        <v>10</v>
      </c>
      <c r="BD38" s="564">
        <f>AF38</f>
        <v>10</v>
      </c>
      <c r="BE38" s="564">
        <f>AG38</f>
        <v>8</v>
      </c>
      <c r="BF38" s="1045"/>
      <c r="BG38" s="1045"/>
      <c r="BH38" s="1053"/>
      <c r="BI38" s="1045"/>
      <c r="BL38" s="575">
        <f>COUNTIF(D38:AH38,"&gt;-")</f>
        <v>1</v>
      </c>
      <c r="BM38" s="575">
        <f>COUNT(D38:AH38)</f>
        <v>25</v>
      </c>
      <c r="BN38" s="575">
        <v>17</v>
      </c>
      <c r="BO38" s="575">
        <f>IF(AND($A$31,BM38&gt;=BN38),BM38*10,"--")</f>
        <v>250</v>
      </c>
      <c r="BP38" s="575">
        <f>IF(AND($A$31,BM38&gt;=BN38),SUM(D38:AH38),"--")</f>
        <v>178</v>
      </c>
    </row>
    <row r="39" spans="1:68" ht="15" customHeight="1" thickBot="1">
      <c r="B39" s="33"/>
      <c r="C39" s="824"/>
      <c r="D39" s="154" t="s">
        <v>94</v>
      </c>
      <c r="E39" s="154"/>
      <c r="F39" s="22"/>
      <c r="G39" s="22"/>
      <c r="H39" s="467"/>
      <c r="I39" s="154">
        <v>0</v>
      </c>
      <c r="K39" s="22"/>
      <c r="L39" s="469"/>
      <c r="M39" s="469"/>
      <c r="N39" s="22"/>
      <c r="O39" s="1045"/>
      <c r="P39" s="469"/>
      <c r="Q39" s="22"/>
      <c r="R39" s="22"/>
      <c r="S39" s="22"/>
      <c r="T39" s="469"/>
      <c r="U39" s="22"/>
      <c r="V39" s="469"/>
      <c r="W39" s="22"/>
      <c r="X39" s="22"/>
      <c r="Z39" s="22"/>
      <c r="AA39" s="22"/>
      <c r="AB39" s="469"/>
      <c r="AC39" s="22"/>
      <c r="AD39" s="22"/>
      <c r="AE39" s="22"/>
      <c r="AF39" s="22"/>
      <c r="AG39" s="22"/>
      <c r="AH39" s="469"/>
      <c r="AN39" s="477"/>
      <c r="AO39" s="477"/>
      <c r="AP39" s="477"/>
      <c r="AQ39" s="22"/>
      <c r="AR39" s="28" t="s">
        <v>103</v>
      </c>
      <c r="AS39" s="183"/>
      <c r="AT39" s="183"/>
      <c r="AU39" s="183"/>
      <c r="AX39" s="183"/>
      <c r="AY39" s="183"/>
      <c r="AZ39" s="183"/>
      <c r="BA39" s="183"/>
      <c r="BB39" s="183"/>
      <c r="BC39" s="183"/>
      <c r="BD39" s="183"/>
      <c r="BE39" s="183"/>
      <c r="BF39" s="1045"/>
      <c r="BG39" s="1045"/>
      <c r="BH39" s="1053"/>
      <c r="BI39" s="1045"/>
      <c r="BL39" s="22"/>
      <c r="BM39" s="22"/>
      <c r="BN39" s="22"/>
      <c r="BO39" s="1045"/>
      <c r="BP39" s="22"/>
    </row>
    <row r="40" spans="1:68" ht="15" customHeight="1" thickBot="1">
      <c r="A40" s="198" t="str">
        <f>IF(COUNT(D40:AH40)=0,$BL$35,IF(MIN(D40:H40,J40:N40,P40:R40,T40:X40,Z40:AC40,AE40:AH40)=0,"B","A"))</f>
        <v>A</v>
      </c>
      <c r="B40" s="33"/>
      <c r="C40" s="823" t="s">
        <v>1098</v>
      </c>
      <c r="D40" s="189">
        <f>IF($A$31=FALSE,$BL$35,IF($C40="X",IF(ISBLANK(Questions!$D74),"--",Questions!$D74),"xx"))</f>
        <v>10</v>
      </c>
      <c r="E40" s="189">
        <f>IF($A$31=FALSE,$BL$35,IF($C40="X",IF(ISBLANK(Questions!$D85),"--",Questions!$D85),"xx"))</f>
        <v>10</v>
      </c>
      <c r="F40" s="189">
        <f>IF($A$31=FALSE,$BL$35,IF($C40="X",IF(ISBLANK(Questions!$D96),"--",Questions!$D96),"xx"))</f>
        <v>10</v>
      </c>
      <c r="G40" s="189">
        <f>IF($A$31=FALSE,$BL$35,IF($C40="X",IF(ISBLANK(Questions!$D107),"--",Questions!$D107),"xx"))</f>
        <v>10</v>
      </c>
      <c r="H40" s="470">
        <f>IF($A$31=FALSE,$BL$35,IF($C40="X",IF(ISBLANK(Questions!$D118),"--",Questions!$D118),"xx"))</f>
        <v>10</v>
      </c>
      <c r="I40" s="183"/>
      <c r="J40" s="189">
        <f>IF($A$31=FALSE,$BL$35,IF($C40="X",IF(ISBLANK(Questions!$D130),"--",Questions!$D130),"xx"))</f>
        <v>10</v>
      </c>
      <c r="K40" s="189">
        <f>IF($A$31=FALSE,$BL$35,IF($C40="X",IF(ISBLANK(Questions!$D141),"--",Questions!$D141),"xx"))</f>
        <v>10</v>
      </c>
      <c r="L40" s="470">
        <f>IF($A$31=FALSE,$BL$35,IF($C40="X",IF(ISBLANK(Questions!$D152),"--",Questions!$D152),"xx"))</f>
        <v>10</v>
      </c>
      <c r="M40" s="470">
        <f>IF($A$31=FALSE,$BL$35,IF($C40="X",IF(ISBLANK(Questions!$D163),"--",Questions!$D163),"xx"))</f>
        <v>10</v>
      </c>
      <c r="N40" s="189">
        <f>IF($A$31=FALSE,$BL$35,IF($C40="X",IF(ISBLANK(Questions!$D174),"--",Questions!$D174),"xx"))</f>
        <v>10</v>
      </c>
      <c r="O40" s="1045"/>
      <c r="P40" s="470" t="str">
        <f>IF($A$31=FALSE,$BL$35,IF($C40="X",IF(ISBLANK(Questions!$D184),"--",Questions!$D184),"xx"))</f>
        <v>n.e.</v>
      </c>
      <c r="Q40" s="189">
        <f>IF($A$31=FALSE,$BL$35,IF($C40="X",IF(ISBLANK(Questions!$D195),"--",Questions!$D195),"xx"))</f>
        <v>10</v>
      </c>
      <c r="R40" s="189">
        <f>IF($A$31=FALSE,$BL$35,IF($C40="X",IF(ISBLANK(Questions!$D206),"--",Questions!$D206),"xx"))</f>
        <v>10</v>
      </c>
      <c r="S40" s="183"/>
      <c r="T40" s="470">
        <f>IF($A$31=FALSE,$BL$35,IF($C40="X",IF(ISBLANK(Questions!$D218),"--",Questions!$D218),"xx"))</f>
        <v>10</v>
      </c>
      <c r="U40" s="189">
        <f>IF($A$31=FALSE,$BL$35,IF($C40="X",IF(ISBLANK(Questions!$D229),"--",Questions!$D229),"xx"))</f>
        <v>10</v>
      </c>
      <c r="V40" s="470">
        <f>IF($A$31=FALSE,$BL$35,IF($C40="X",IF(ISBLANK(Questions!$D240),"--",Questions!$D240),"xx"))</f>
        <v>10</v>
      </c>
      <c r="W40" s="189">
        <f>IF($A$31=FALSE,$BL$35,IF($C40="X",IF(ISBLANK(Questions!$D251),"--",Questions!$D251),"xx"))</f>
        <v>10</v>
      </c>
      <c r="X40" s="189">
        <f>IF($A$31=FALSE,$BL$35,IF($C40="X",IF(ISBLANK(Questions!$D262),"--",Questions!$D262),"xx"))</f>
        <v>10</v>
      </c>
      <c r="Z40" s="189">
        <f>IF($A$31=FALSE,$BL$35,IF($C40="X",IF(ISBLANK(Questions!$D274),"--",Questions!$D274),"xx"))</f>
        <v>10</v>
      </c>
      <c r="AA40" s="189">
        <f>IF($A$31=FALSE,$BL$35,IF($C40="X",IF(ISBLANK(Questions!$D285),"--",Questions!$D285),"xx"))</f>
        <v>10</v>
      </c>
      <c r="AB40" s="470">
        <f>IF($A$31=FALSE,$BL$35,IF($C40="X",IF(ISBLANK(Questions!$D296),"--",Questions!$D296),"xx"))</f>
        <v>10</v>
      </c>
      <c r="AC40" s="189">
        <f>IF($A$31=FALSE,$BL$35,IF($C40="X",IF(ISBLANK(Questions!$D307),"--",Questions!$D307),"xx"))</f>
        <v>8</v>
      </c>
      <c r="AD40" s="183"/>
      <c r="AE40" s="189">
        <f>IF($A$31=FALSE,$BL$35,IF($C40="X",IF(ISBLANK(Questions!$D319),"--",Questions!$D319),"xx"))</f>
        <v>10</v>
      </c>
      <c r="AF40" s="189">
        <f>IF($A$31=FALSE,$BL$35,IF($C40="X",IF(ISBLANK(Questions!$D330),"--",Questions!$D330),"xx"))</f>
        <v>10</v>
      </c>
      <c r="AG40" s="189">
        <f>IF($A$31=FALSE,$BL$35,IF($C40="X",IF(ISBLANK(Questions!$D341),"--",Questions!$D341),"xx"))</f>
        <v>10</v>
      </c>
      <c r="AH40" s="470">
        <f>IF($A$31=FALSE,$BL$35,IF($C40="X",IF(ISBLANK(Questions!$D352),"--",Questions!$D352),"xx"))</f>
        <v>10</v>
      </c>
      <c r="AN40" s="477"/>
      <c r="AO40" s="477"/>
      <c r="AP40" s="477"/>
      <c r="AQ40" s="27"/>
      <c r="AR40" s="30"/>
      <c r="AS40" s="1195">
        <f>IF($A$31=FALSE,$BL$35,IF(C40="","xx",IF(BM40&lt;BN40,$BL$35,ROUND(BP40/BO40,2))))</f>
        <v>0.99</v>
      </c>
      <c r="AT40" s="1196"/>
      <c r="AU40" s="1045"/>
      <c r="AX40" s="564">
        <f>E40</f>
        <v>10</v>
      </c>
      <c r="AY40" s="564">
        <f>F40</f>
        <v>10</v>
      </c>
      <c r="AZ40" s="564">
        <f>G40</f>
        <v>10</v>
      </c>
      <c r="BA40" s="564">
        <f>M40</f>
        <v>10</v>
      </c>
      <c r="BB40" s="564">
        <f>N40</f>
        <v>10</v>
      </c>
      <c r="BC40" s="564">
        <f>AE40</f>
        <v>10</v>
      </c>
      <c r="BD40" s="564">
        <f>AF40</f>
        <v>10</v>
      </c>
      <c r="BE40" s="564">
        <f>AG40</f>
        <v>10</v>
      </c>
      <c r="BF40" s="1045"/>
      <c r="BG40" s="1045"/>
      <c r="BH40" s="1053"/>
      <c r="BI40" s="1045"/>
      <c r="BL40" s="575">
        <f>COUNTIF(D40:AH40,"&gt;-")</f>
        <v>1</v>
      </c>
      <c r="BM40" s="575">
        <f>COUNT(D40:AH40)</f>
        <v>25</v>
      </c>
      <c r="BN40" s="575">
        <v>17</v>
      </c>
      <c r="BO40" s="575">
        <f>IF(AND($A$31,BM40&gt;=BN40),BM40*10,"--")</f>
        <v>250</v>
      </c>
      <c r="BP40" s="575">
        <f>IF(AND($A$31,BM40&gt;=BN40),SUM(D40:AH40),"--")</f>
        <v>248</v>
      </c>
    </row>
    <row r="41" spans="1:68" ht="15" hidden="1" customHeight="1" thickBot="1">
      <c r="B41" s="33"/>
      <c r="C41" s="824"/>
      <c r="D41" s="154" t="s">
        <v>768</v>
      </c>
      <c r="E41" s="154"/>
      <c r="F41" s="22"/>
      <c r="G41" s="22"/>
      <c r="H41" s="467"/>
      <c r="I41" s="154">
        <v>0</v>
      </c>
      <c r="K41" s="22"/>
      <c r="L41" s="469"/>
      <c r="M41" s="469"/>
      <c r="N41" s="22"/>
      <c r="O41" s="1045"/>
      <c r="P41" s="469"/>
      <c r="Q41" s="22"/>
      <c r="R41" s="22"/>
      <c r="S41" s="22"/>
      <c r="T41" s="469"/>
      <c r="U41" s="22"/>
      <c r="V41" s="469"/>
      <c r="W41" s="22"/>
      <c r="X41" s="22"/>
      <c r="Z41" s="22"/>
      <c r="AA41" s="22"/>
      <c r="AB41" s="469"/>
      <c r="AC41" s="22"/>
      <c r="AD41" s="22"/>
      <c r="AE41" s="22"/>
      <c r="AF41" s="22"/>
      <c r="AG41" s="22"/>
      <c r="AH41" s="469"/>
      <c r="AN41" s="477"/>
      <c r="AO41" s="477"/>
      <c r="AP41" s="477"/>
      <c r="AQ41" s="22"/>
      <c r="AR41" s="28" t="s">
        <v>769</v>
      </c>
      <c r="AS41" s="183"/>
      <c r="AT41" s="183"/>
      <c r="AU41" s="183"/>
      <c r="AX41" s="183"/>
      <c r="AY41" s="183"/>
      <c r="AZ41" s="183"/>
      <c r="BA41" s="183"/>
      <c r="BB41" s="183"/>
      <c r="BC41" s="183"/>
      <c r="BD41" s="183"/>
      <c r="BE41" s="183"/>
      <c r="BF41" s="1045"/>
      <c r="BG41" s="1045"/>
      <c r="BH41" s="1053"/>
      <c r="BI41" s="1045"/>
      <c r="BL41" s="22"/>
      <c r="BM41" s="22"/>
      <c r="BN41" s="22"/>
      <c r="BO41" s="1045"/>
      <c r="BP41" s="22"/>
    </row>
    <row r="42" spans="1:68" ht="15" hidden="1" customHeight="1" thickBot="1">
      <c r="A42" s="198" t="str">
        <f>IF(COUNT(D42:AH42)=0,$BL$35,IF(MIN(D42:H42,J42:N42,P42:R42,T42:X42,Z42:AC42,AE42:AH42)=0,"B","A"))</f>
        <v>n.e.</v>
      </c>
      <c r="B42" s="33"/>
      <c r="C42" s="823" t="s">
        <v>1096</v>
      </c>
      <c r="D42" s="189"/>
      <c r="E42" s="189"/>
      <c r="F42" s="189"/>
      <c r="G42" s="189"/>
      <c r="H42" s="470"/>
      <c r="I42" s="183"/>
      <c r="J42" s="189"/>
      <c r="K42" s="189"/>
      <c r="L42" s="470"/>
      <c r="M42" s="470"/>
      <c r="N42" s="189"/>
      <c r="O42" s="1045"/>
      <c r="P42" s="470"/>
      <c r="Q42" s="189"/>
      <c r="R42" s="189"/>
      <c r="S42" s="183"/>
      <c r="T42" s="470"/>
      <c r="U42" s="189"/>
      <c r="V42" s="470"/>
      <c r="W42" s="189"/>
      <c r="X42" s="189"/>
      <c r="Z42" s="189"/>
      <c r="AA42" s="189"/>
      <c r="AB42" s="470"/>
      <c r="AC42" s="189"/>
      <c r="AD42" s="183"/>
      <c r="AE42" s="189"/>
      <c r="AF42" s="189"/>
      <c r="AG42" s="189"/>
      <c r="AH42" s="470"/>
      <c r="AN42" s="477"/>
      <c r="AO42" s="477"/>
      <c r="AP42" s="477"/>
      <c r="AQ42" s="27"/>
      <c r="AR42" s="30"/>
      <c r="AS42" s="1195"/>
      <c r="AT42" s="1196"/>
      <c r="AU42" s="1045"/>
      <c r="AX42" s="564"/>
      <c r="AY42" s="564"/>
      <c r="AZ42" s="564"/>
      <c r="BA42" s="564"/>
      <c r="BB42" s="564"/>
      <c r="BC42" s="564"/>
      <c r="BD42" s="564"/>
      <c r="BE42" s="564"/>
      <c r="BF42" s="1045"/>
      <c r="BG42" s="1045"/>
      <c r="BH42" s="1053"/>
      <c r="BI42" s="1045"/>
      <c r="BL42" s="575">
        <f>COUNTIF(D42:AH42,"&gt;-")</f>
        <v>0</v>
      </c>
      <c r="BM42" s="575">
        <f>COUNT(D42:AH42)</f>
        <v>0</v>
      </c>
      <c r="BN42" s="575">
        <v>17</v>
      </c>
      <c r="BO42" s="575" t="str">
        <f>IF(AND($A$31,BM42&gt;=BN42),BM42*10,"--")</f>
        <v>--</v>
      </c>
      <c r="BP42" s="575" t="str">
        <f>IF(AND($A$31,BM42&gt;=BN42),SUM(D42:AH42),"--")</f>
        <v>--</v>
      </c>
    </row>
    <row r="43" spans="1:68" ht="15" hidden="1" customHeight="1" thickBot="1">
      <c r="B43" s="33"/>
      <c r="C43" s="824"/>
      <c r="D43" s="154" t="s">
        <v>770</v>
      </c>
      <c r="E43" s="154"/>
      <c r="F43" s="22"/>
      <c r="G43" s="22"/>
      <c r="H43" s="467"/>
      <c r="I43" s="154">
        <v>0</v>
      </c>
      <c r="K43" s="22"/>
      <c r="L43" s="469"/>
      <c r="M43" s="469"/>
      <c r="N43" s="22"/>
      <c r="O43" s="1045"/>
      <c r="P43" s="469"/>
      <c r="Q43" s="22"/>
      <c r="R43" s="22"/>
      <c r="S43" s="22"/>
      <c r="T43" s="469"/>
      <c r="U43" s="22"/>
      <c r="V43" s="469"/>
      <c r="W43" s="22"/>
      <c r="X43" s="22"/>
      <c r="Z43" s="22"/>
      <c r="AA43" s="22"/>
      <c r="AB43" s="469"/>
      <c r="AC43" s="22"/>
      <c r="AD43" s="22"/>
      <c r="AE43" s="22"/>
      <c r="AF43" s="22"/>
      <c r="AG43" s="22"/>
      <c r="AH43" s="469"/>
      <c r="AN43" s="477"/>
      <c r="AO43" s="477"/>
      <c r="AP43" s="477"/>
      <c r="AQ43" s="22"/>
      <c r="AR43" s="28" t="s">
        <v>776</v>
      </c>
      <c r="AS43" s="183"/>
      <c r="AT43" s="183"/>
      <c r="AU43" s="183"/>
      <c r="AX43" s="183"/>
      <c r="AY43" s="183"/>
      <c r="AZ43" s="183"/>
      <c r="BA43" s="183"/>
      <c r="BB43" s="183"/>
      <c r="BC43" s="183"/>
      <c r="BD43" s="183"/>
      <c r="BE43" s="183"/>
      <c r="BF43" s="1045"/>
      <c r="BG43" s="1045"/>
      <c r="BH43" s="1053"/>
      <c r="BI43" s="1045"/>
      <c r="BL43" s="22"/>
      <c r="BM43" s="22"/>
      <c r="BN43" s="22"/>
      <c r="BO43" s="1045"/>
      <c r="BP43" s="22"/>
    </row>
    <row r="44" spans="1:68" ht="15" hidden="1" customHeight="1" thickBot="1">
      <c r="A44" s="198" t="str">
        <f>IF(COUNT(D44:AH44)=0,$BL$35,IF(MIN(D44:H44,J44:N44,P44:R44,T44:X44,Z44:AC44,AE44:AH44)=0,"B","A"))</f>
        <v>n.e.</v>
      </c>
      <c r="B44" s="33"/>
      <c r="C44" s="823" t="s">
        <v>1096</v>
      </c>
      <c r="D44" s="189"/>
      <c r="E44" s="189"/>
      <c r="F44" s="189"/>
      <c r="G44" s="189"/>
      <c r="H44" s="470"/>
      <c r="I44" s="183"/>
      <c r="J44" s="189"/>
      <c r="K44" s="189"/>
      <c r="L44" s="470"/>
      <c r="M44" s="470"/>
      <c r="N44" s="189"/>
      <c r="O44" s="1045"/>
      <c r="P44" s="470"/>
      <c r="Q44" s="189"/>
      <c r="R44" s="189"/>
      <c r="S44" s="183"/>
      <c r="T44" s="470"/>
      <c r="U44" s="189"/>
      <c r="V44" s="470"/>
      <c r="W44" s="189"/>
      <c r="X44" s="189"/>
      <c r="Z44" s="189"/>
      <c r="AA44" s="189"/>
      <c r="AB44" s="470"/>
      <c r="AC44" s="189"/>
      <c r="AD44" s="183"/>
      <c r="AE44" s="189"/>
      <c r="AF44" s="189"/>
      <c r="AG44" s="189"/>
      <c r="AH44" s="470"/>
      <c r="AN44" s="477"/>
      <c r="AO44" s="477"/>
      <c r="AP44" s="477"/>
      <c r="AQ44" s="27"/>
      <c r="AR44" s="30"/>
      <c r="AS44" s="1195"/>
      <c r="AT44" s="1196"/>
      <c r="AU44" s="1045"/>
      <c r="AX44" s="564"/>
      <c r="AY44" s="564"/>
      <c r="AZ44" s="564"/>
      <c r="BA44" s="564"/>
      <c r="BB44" s="564"/>
      <c r="BC44" s="564"/>
      <c r="BD44" s="564"/>
      <c r="BE44" s="564"/>
      <c r="BF44" s="1045"/>
      <c r="BG44" s="1045"/>
      <c r="BH44" s="1053"/>
      <c r="BI44" s="1045"/>
      <c r="BL44" s="575">
        <f>COUNTIF(D44:AH44,"&gt;-")</f>
        <v>0</v>
      </c>
      <c r="BM44" s="575">
        <f>COUNT(D44:AH44)</f>
        <v>0</v>
      </c>
      <c r="BN44" s="575">
        <v>17</v>
      </c>
      <c r="BO44" s="575" t="str">
        <f>IF(AND($A$31,BM44&gt;=BN44),BM44*10,"--")</f>
        <v>--</v>
      </c>
      <c r="BP44" s="575" t="str">
        <f>IF(AND($A$31,BM44&gt;=BN44),SUM(D44:AH44),"--")</f>
        <v>--</v>
      </c>
    </row>
    <row r="45" spans="1:68" ht="15" hidden="1" customHeight="1" thickBot="1">
      <c r="B45" s="33"/>
      <c r="C45" s="824"/>
      <c r="D45" s="154" t="s">
        <v>771</v>
      </c>
      <c r="E45" s="154"/>
      <c r="F45" s="22"/>
      <c r="G45" s="22"/>
      <c r="H45" s="467"/>
      <c r="I45" s="154">
        <v>0</v>
      </c>
      <c r="K45" s="22"/>
      <c r="L45" s="469"/>
      <c r="M45" s="469"/>
      <c r="N45" s="22"/>
      <c r="O45" s="1045"/>
      <c r="P45" s="469"/>
      <c r="Q45" s="22"/>
      <c r="R45" s="22"/>
      <c r="S45" s="22"/>
      <c r="T45" s="469"/>
      <c r="U45" s="22"/>
      <c r="V45" s="469"/>
      <c r="W45" s="22"/>
      <c r="X45" s="22"/>
      <c r="Z45" s="22"/>
      <c r="AA45" s="22"/>
      <c r="AB45" s="469"/>
      <c r="AC45" s="22"/>
      <c r="AD45" s="22"/>
      <c r="AE45" s="22"/>
      <c r="AF45" s="22"/>
      <c r="AG45" s="22"/>
      <c r="AH45" s="469"/>
      <c r="AN45" s="477"/>
      <c r="AO45" s="477"/>
      <c r="AP45" s="477"/>
      <c r="AQ45" s="22"/>
      <c r="AR45" s="28" t="s">
        <v>777</v>
      </c>
      <c r="AS45" s="183"/>
      <c r="AT45" s="183"/>
      <c r="AU45" s="183"/>
      <c r="AX45" s="183"/>
      <c r="AY45" s="183"/>
      <c r="AZ45" s="183"/>
      <c r="BA45" s="183"/>
      <c r="BB45" s="183"/>
      <c r="BC45" s="183"/>
      <c r="BD45" s="183"/>
      <c r="BE45" s="183"/>
      <c r="BF45" s="1045"/>
      <c r="BG45" s="1045"/>
      <c r="BH45" s="1053"/>
      <c r="BI45" s="1045"/>
      <c r="BL45" s="22"/>
      <c r="BM45" s="22"/>
      <c r="BN45" s="22"/>
      <c r="BO45" s="1045"/>
      <c r="BP45" s="22"/>
    </row>
    <row r="46" spans="1:68" ht="15" hidden="1" customHeight="1" thickBot="1">
      <c r="A46" s="198" t="str">
        <f>IF(COUNT(D46:AH46)=0,$BL$35,IF(MIN(D46:H46,J46:N46,P46:R46,T46:X46,Z46:AC46,AE46:AH46)=0,"B","A"))</f>
        <v>n.e.</v>
      </c>
      <c r="B46" s="33"/>
      <c r="C46" s="823" t="s">
        <v>1096</v>
      </c>
      <c r="D46" s="189"/>
      <c r="E46" s="189"/>
      <c r="F46" s="189"/>
      <c r="G46" s="189"/>
      <c r="H46" s="470"/>
      <c r="I46" s="183"/>
      <c r="J46" s="189"/>
      <c r="K46" s="189"/>
      <c r="L46" s="470"/>
      <c r="M46" s="470"/>
      <c r="N46" s="189"/>
      <c r="O46" s="1045"/>
      <c r="P46" s="470"/>
      <c r="Q46" s="189"/>
      <c r="R46" s="189"/>
      <c r="S46" s="183"/>
      <c r="T46" s="470"/>
      <c r="U46" s="189"/>
      <c r="V46" s="470"/>
      <c r="W46" s="189"/>
      <c r="X46" s="189"/>
      <c r="Z46" s="189"/>
      <c r="AA46" s="189"/>
      <c r="AB46" s="470"/>
      <c r="AC46" s="189"/>
      <c r="AD46" s="183"/>
      <c r="AE46" s="189"/>
      <c r="AF46" s="189"/>
      <c r="AG46" s="189"/>
      <c r="AH46" s="470"/>
      <c r="AN46" s="477"/>
      <c r="AO46" s="477"/>
      <c r="AP46" s="477"/>
      <c r="AQ46" s="27"/>
      <c r="AR46" s="30"/>
      <c r="AS46" s="1195"/>
      <c r="AT46" s="1196"/>
      <c r="AU46" s="1045"/>
      <c r="AX46" s="564"/>
      <c r="AY46" s="564"/>
      <c r="AZ46" s="564"/>
      <c r="BA46" s="564"/>
      <c r="BB46" s="564"/>
      <c r="BC46" s="564"/>
      <c r="BD46" s="564"/>
      <c r="BE46" s="564"/>
      <c r="BF46" s="1045"/>
      <c r="BG46" s="1045"/>
      <c r="BH46" s="1053"/>
      <c r="BI46" s="1045"/>
      <c r="BL46" s="575">
        <f>COUNTIF(D46:AH46,"&gt;-")</f>
        <v>0</v>
      </c>
      <c r="BM46" s="575">
        <f>COUNT(D46:AH46)</f>
        <v>0</v>
      </c>
      <c r="BN46" s="575">
        <v>17</v>
      </c>
      <c r="BO46" s="575" t="str">
        <f>IF(AND($A$31,BM46&gt;=BN46),BM46*10,"--")</f>
        <v>--</v>
      </c>
      <c r="BP46" s="575" t="str">
        <f>IF(AND($A$31,BM46&gt;=BN46),SUM(D46:AH46),"--")</f>
        <v>--</v>
      </c>
    </row>
    <row r="47" spans="1:68" ht="15" hidden="1" customHeight="1" thickBot="1">
      <c r="B47" s="33"/>
      <c r="C47" s="824"/>
      <c r="D47" s="154" t="s">
        <v>775</v>
      </c>
      <c r="E47" s="154"/>
      <c r="F47" s="22"/>
      <c r="G47" s="22"/>
      <c r="H47" s="467"/>
      <c r="I47" s="154">
        <v>0</v>
      </c>
      <c r="K47" s="22"/>
      <c r="L47" s="469"/>
      <c r="M47" s="469"/>
      <c r="N47" s="22"/>
      <c r="O47" s="1045"/>
      <c r="P47" s="469"/>
      <c r="Q47" s="22"/>
      <c r="R47" s="22"/>
      <c r="S47" s="22"/>
      <c r="T47" s="469"/>
      <c r="U47" s="22"/>
      <c r="V47" s="469"/>
      <c r="W47" s="22"/>
      <c r="X47" s="22"/>
      <c r="Z47" s="22"/>
      <c r="AA47" s="22"/>
      <c r="AB47" s="469"/>
      <c r="AC47" s="22"/>
      <c r="AD47" s="22"/>
      <c r="AE47" s="22"/>
      <c r="AF47" s="22"/>
      <c r="AG47" s="22"/>
      <c r="AH47" s="469"/>
      <c r="AN47" s="477"/>
      <c r="AO47" s="477"/>
      <c r="AP47" s="477"/>
      <c r="AQ47" s="22"/>
      <c r="AR47" s="28" t="s">
        <v>778</v>
      </c>
      <c r="AS47" s="183"/>
      <c r="AT47" s="183"/>
      <c r="AU47" s="183"/>
      <c r="AX47" s="183"/>
      <c r="AY47" s="183"/>
      <c r="AZ47" s="183"/>
      <c r="BA47" s="183"/>
      <c r="BB47" s="183"/>
      <c r="BC47" s="183"/>
      <c r="BD47" s="183"/>
      <c r="BE47" s="183"/>
      <c r="BF47" s="1045"/>
      <c r="BG47" s="1045"/>
      <c r="BH47" s="1053"/>
      <c r="BI47" s="1045"/>
      <c r="BL47" s="22"/>
      <c r="BM47" s="22"/>
      <c r="BN47" s="22"/>
      <c r="BO47" s="1045"/>
      <c r="BP47" s="22"/>
    </row>
    <row r="48" spans="1:68" ht="15" hidden="1" customHeight="1" thickBot="1">
      <c r="A48" s="198" t="str">
        <f>IF(COUNT(D48:AH48)=0,$BL$35,IF(MIN(D48:H48,J48:N48,P48:R48,T48:X48,Z48:AC48,AE48:AH48)=0,"B","A"))</f>
        <v>n.e.</v>
      </c>
      <c r="B48" s="33"/>
      <c r="C48" s="823" t="s">
        <v>1096</v>
      </c>
      <c r="D48" s="189"/>
      <c r="E48" s="189"/>
      <c r="F48" s="189"/>
      <c r="G48" s="189"/>
      <c r="H48" s="470"/>
      <c r="I48" s="183"/>
      <c r="J48" s="189"/>
      <c r="K48" s="189"/>
      <c r="L48" s="470"/>
      <c r="M48" s="470"/>
      <c r="N48" s="189"/>
      <c r="O48" s="1045"/>
      <c r="P48" s="470"/>
      <c r="Q48" s="189"/>
      <c r="R48" s="189"/>
      <c r="S48" s="183"/>
      <c r="T48" s="470"/>
      <c r="U48" s="189"/>
      <c r="V48" s="470"/>
      <c r="W48" s="189"/>
      <c r="X48" s="189"/>
      <c r="Z48" s="189"/>
      <c r="AA48" s="189"/>
      <c r="AB48" s="470"/>
      <c r="AC48" s="189"/>
      <c r="AD48" s="183"/>
      <c r="AE48" s="189"/>
      <c r="AF48" s="189"/>
      <c r="AG48" s="189"/>
      <c r="AH48" s="470"/>
      <c r="AN48" s="477"/>
      <c r="AO48" s="477"/>
      <c r="AP48" s="477"/>
      <c r="AQ48" s="27"/>
      <c r="AR48" s="30"/>
      <c r="AS48" s="1195"/>
      <c r="AT48" s="1196"/>
      <c r="AU48" s="1045"/>
      <c r="AX48" s="564"/>
      <c r="AY48" s="564"/>
      <c r="AZ48" s="564"/>
      <c r="BA48" s="564"/>
      <c r="BB48" s="564"/>
      <c r="BC48" s="564"/>
      <c r="BD48" s="564"/>
      <c r="BE48" s="564"/>
      <c r="BF48" s="1045"/>
      <c r="BG48" s="1045"/>
      <c r="BH48" s="1053"/>
      <c r="BI48" s="1045"/>
      <c r="BL48" s="575">
        <f>COUNTIF(D48:AH48,"&gt;-")</f>
        <v>0</v>
      </c>
      <c r="BM48" s="575">
        <f>COUNT(D48:AH48)</f>
        <v>0</v>
      </c>
      <c r="BN48" s="575">
        <v>17</v>
      </c>
      <c r="BO48" s="575" t="str">
        <f>IF(AND($A$31,BM48&gt;=BN48),BM48*10,"--")</f>
        <v>--</v>
      </c>
      <c r="BP48" s="575" t="str">
        <f>IF(AND($A$31,BM48&gt;=BN48),SUM(D48:AH48),"--")</f>
        <v>--</v>
      </c>
    </row>
    <row r="49" spans="1:68" ht="15" hidden="1" customHeight="1" thickBot="1">
      <c r="B49" s="33"/>
      <c r="C49" s="824"/>
      <c r="D49" s="154" t="s">
        <v>772</v>
      </c>
      <c r="E49" s="154"/>
      <c r="F49" s="22"/>
      <c r="G49" s="22"/>
      <c r="H49" s="467"/>
      <c r="I49" s="154">
        <v>0</v>
      </c>
      <c r="K49" s="22"/>
      <c r="L49" s="469"/>
      <c r="M49" s="469"/>
      <c r="N49" s="22"/>
      <c r="O49" s="1045"/>
      <c r="P49" s="469"/>
      <c r="Q49" s="22"/>
      <c r="R49" s="22"/>
      <c r="S49" s="22"/>
      <c r="T49" s="469"/>
      <c r="U49" s="22"/>
      <c r="V49" s="469"/>
      <c r="W49" s="22"/>
      <c r="X49" s="22"/>
      <c r="Z49" s="22"/>
      <c r="AA49" s="22"/>
      <c r="AB49" s="469"/>
      <c r="AC49" s="22"/>
      <c r="AD49" s="22"/>
      <c r="AE49" s="22"/>
      <c r="AF49" s="22"/>
      <c r="AG49" s="22"/>
      <c r="AH49" s="469"/>
      <c r="AN49" s="477"/>
      <c r="AO49" s="477"/>
      <c r="AP49" s="477"/>
      <c r="AQ49" s="22"/>
      <c r="AR49" s="28" t="s">
        <v>779</v>
      </c>
      <c r="AS49" s="183"/>
      <c r="AT49" s="183"/>
      <c r="AU49" s="183"/>
      <c r="AX49" s="183"/>
      <c r="AY49" s="183"/>
      <c r="AZ49" s="183"/>
      <c r="BA49" s="183"/>
      <c r="BB49" s="183"/>
      <c r="BC49" s="183"/>
      <c r="BD49" s="183"/>
      <c r="BE49" s="183"/>
      <c r="BF49" s="1045"/>
      <c r="BG49" s="1045"/>
      <c r="BH49" s="1053"/>
      <c r="BI49" s="1045"/>
      <c r="BL49" s="22"/>
      <c r="BM49" s="22"/>
      <c r="BN49" s="22"/>
      <c r="BO49" s="1045"/>
      <c r="BP49" s="22"/>
    </row>
    <row r="50" spans="1:68" ht="15" hidden="1" customHeight="1" thickBot="1">
      <c r="A50" s="198" t="str">
        <f>IF(COUNT(D50:AH50)=0,$BL$35,IF(MIN(D50:H50,J50:N50,P50:R50,T50:X50,Z50:AC50,AE50:AH50)=0,"B","A"))</f>
        <v>n.e.</v>
      </c>
      <c r="B50" s="33"/>
      <c r="C50" s="823" t="s">
        <v>1096</v>
      </c>
      <c r="D50" s="189"/>
      <c r="E50" s="189"/>
      <c r="F50" s="189"/>
      <c r="G50" s="189"/>
      <c r="H50" s="470"/>
      <c r="I50" s="183"/>
      <c r="J50" s="189"/>
      <c r="K50" s="189"/>
      <c r="L50" s="470"/>
      <c r="M50" s="470"/>
      <c r="N50" s="189"/>
      <c r="O50" s="1045"/>
      <c r="P50" s="470"/>
      <c r="Q50" s="189"/>
      <c r="R50" s="189"/>
      <c r="S50" s="183"/>
      <c r="T50" s="470"/>
      <c r="U50" s="189"/>
      <c r="V50" s="470"/>
      <c r="W50" s="189"/>
      <c r="X50" s="189"/>
      <c r="Z50" s="189"/>
      <c r="AA50" s="189"/>
      <c r="AB50" s="470"/>
      <c r="AC50" s="189"/>
      <c r="AD50" s="183"/>
      <c r="AE50" s="189"/>
      <c r="AF50" s="189"/>
      <c r="AG50" s="189"/>
      <c r="AH50" s="470"/>
      <c r="AN50" s="477"/>
      <c r="AO50" s="477"/>
      <c r="AP50" s="477"/>
      <c r="AQ50" s="27"/>
      <c r="AR50" s="30"/>
      <c r="AS50" s="1195"/>
      <c r="AT50" s="1196"/>
      <c r="AU50" s="1045"/>
      <c r="AX50" s="564"/>
      <c r="AY50" s="564"/>
      <c r="AZ50" s="564"/>
      <c r="BA50" s="564"/>
      <c r="BB50" s="564"/>
      <c r="BC50" s="564"/>
      <c r="BD50" s="564"/>
      <c r="BE50" s="564"/>
      <c r="BF50" s="1045"/>
      <c r="BG50" s="1045"/>
      <c r="BH50" s="1053"/>
      <c r="BI50" s="1045"/>
      <c r="BL50" s="575">
        <f>COUNTIF(D50:AH50,"&gt;-")</f>
        <v>0</v>
      </c>
      <c r="BM50" s="575">
        <f>COUNT(D50:AH50)</f>
        <v>0</v>
      </c>
      <c r="BN50" s="575">
        <v>17</v>
      </c>
      <c r="BO50" s="575" t="str">
        <f>IF(AND($A$31,BM50&gt;=BN50),BM50*10,"--")</f>
        <v>--</v>
      </c>
      <c r="BP50" s="575" t="str">
        <f>IF(AND($A$31,BM50&gt;=BN50),SUM(D50:AH50),"--")</f>
        <v>--</v>
      </c>
    </row>
    <row r="51" spans="1:68" ht="15" hidden="1" customHeight="1" thickBot="1">
      <c r="B51" s="33"/>
      <c r="C51" s="824"/>
      <c r="D51" s="154" t="s">
        <v>773</v>
      </c>
      <c r="E51" s="154"/>
      <c r="F51" s="22"/>
      <c r="G51" s="22"/>
      <c r="H51" s="467"/>
      <c r="I51" s="154">
        <v>0</v>
      </c>
      <c r="K51" s="22"/>
      <c r="L51" s="469"/>
      <c r="M51" s="469"/>
      <c r="N51" s="22"/>
      <c r="O51" s="1045"/>
      <c r="P51" s="469"/>
      <c r="Q51" s="22"/>
      <c r="R51" s="22"/>
      <c r="S51" s="22"/>
      <c r="T51" s="469"/>
      <c r="U51" s="22"/>
      <c r="V51" s="469"/>
      <c r="W51" s="22"/>
      <c r="X51" s="22"/>
      <c r="Z51" s="22"/>
      <c r="AA51" s="22"/>
      <c r="AB51" s="469"/>
      <c r="AC51" s="22"/>
      <c r="AD51" s="22"/>
      <c r="AE51" s="22"/>
      <c r="AF51" s="22"/>
      <c r="AG51" s="22"/>
      <c r="AH51" s="469"/>
      <c r="AN51" s="477"/>
      <c r="AO51" s="477"/>
      <c r="AP51" s="477"/>
      <c r="AQ51" s="22"/>
      <c r="AR51" s="28" t="s">
        <v>780</v>
      </c>
      <c r="AS51" s="183"/>
      <c r="AT51" s="183"/>
      <c r="AU51" s="183"/>
      <c r="AX51" s="183"/>
      <c r="AY51" s="183"/>
      <c r="AZ51" s="183"/>
      <c r="BA51" s="183"/>
      <c r="BB51" s="183"/>
      <c r="BC51" s="183"/>
      <c r="BD51" s="183"/>
      <c r="BE51" s="183"/>
      <c r="BF51" s="1045"/>
      <c r="BG51" s="1045"/>
      <c r="BH51" s="1053"/>
      <c r="BI51" s="1045"/>
      <c r="BL51" s="22"/>
      <c r="BM51" s="22"/>
      <c r="BN51" s="22"/>
      <c r="BO51" s="1045"/>
      <c r="BP51" s="22"/>
    </row>
    <row r="52" spans="1:68" ht="15" hidden="1" customHeight="1" thickBot="1">
      <c r="A52" s="198" t="str">
        <f>IF(COUNT(D52:AH52)=0,$BL$35,IF(MIN(D52:H52,J52:N52,P52:R52,T52:X52,Z52:AC52,AE52:AH52)=0,"B","A"))</f>
        <v>n.e.</v>
      </c>
      <c r="B52" s="33"/>
      <c r="C52" s="823" t="s">
        <v>1096</v>
      </c>
      <c r="D52" s="189"/>
      <c r="E52" s="189"/>
      <c r="F52" s="189"/>
      <c r="G52" s="189"/>
      <c r="H52" s="470"/>
      <c r="I52" s="183"/>
      <c r="J52" s="189"/>
      <c r="K52" s="189"/>
      <c r="L52" s="470"/>
      <c r="M52" s="470"/>
      <c r="N52" s="189"/>
      <c r="O52" s="1045"/>
      <c r="P52" s="470"/>
      <c r="Q52" s="189"/>
      <c r="R52" s="189"/>
      <c r="S52" s="183"/>
      <c r="T52" s="470"/>
      <c r="U52" s="189"/>
      <c r="V52" s="470"/>
      <c r="W52" s="189"/>
      <c r="X52" s="189"/>
      <c r="Z52" s="189"/>
      <c r="AA52" s="189"/>
      <c r="AB52" s="470"/>
      <c r="AC52" s="189"/>
      <c r="AD52" s="183"/>
      <c r="AE52" s="189"/>
      <c r="AF52" s="189"/>
      <c r="AG52" s="189"/>
      <c r="AH52" s="470"/>
      <c r="AN52" s="477"/>
      <c r="AO52" s="477"/>
      <c r="AP52" s="477"/>
      <c r="AQ52" s="27"/>
      <c r="AR52" s="30"/>
      <c r="AS52" s="1195"/>
      <c r="AT52" s="1196"/>
      <c r="AU52" s="1045"/>
      <c r="AX52" s="564"/>
      <c r="AY52" s="564"/>
      <c r="AZ52" s="564"/>
      <c r="BA52" s="564"/>
      <c r="BB52" s="564"/>
      <c r="BC52" s="564"/>
      <c r="BD52" s="564"/>
      <c r="BE52" s="564"/>
      <c r="BF52" s="1045"/>
      <c r="BG52" s="1045"/>
      <c r="BH52" s="1053"/>
      <c r="BI52" s="1045"/>
      <c r="BL52" s="575">
        <f>COUNTIF(D52:AH52,"&gt;-")</f>
        <v>0</v>
      </c>
      <c r="BM52" s="575">
        <f>COUNT(D52:AH52)</f>
        <v>0</v>
      </c>
      <c r="BN52" s="575">
        <v>17</v>
      </c>
      <c r="BO52" s="575" t="str">
        <f>IF(AND($A$31,BM52&gt;=BN52),BM52*10,"--")</f>
        <v>--</v>
      </c>
      <c r="BP52" s="575" t="str">
        <f>IF(AND($A$31,BM52&gt;=BN52),SUM(D52:AH52),"--")</f>
        <v>--</v>
      </c>
    </row>
    <row r="53" spans="1:68" ht="15" hidden="1" customHeight="1" thickBot="1">
      <c r="B53" s="33"/>
      <c r="C53" s="824"/>
      <c r="D53" s="154" t="s">
        <v>774</v>
      </c>
      <c r="E53" s="154"/>
      <c r="F53" s="22"/>
      <c r="G53" s="22"/>
      <c r="H53" s="467"/>
      <c r="I53" s="154">
        <v>0</v>
      </c>
      <c r="K53" s="22"/>
      <c r="L53" s="469"/>
      <c r="M53" s="469"/>
      <c r="N53" s="22"/>
      <c r="O53" s="1045"/>
      <c r="P53" s="469"/>
      <c r="Q53" s="22"/>
      <c r="R53" s="22"/>
      <c r="S53" s="22"/>
      <c r="T53" s="469"/>
      <c r="U53" s="22"/>
      <c r="V53" s="469"/>
      <c r="W53" s="22"/>
      <c r="X53" s="22"/>
      <c r="Z53" s="22"/>
      <c r="AA53" s="22"/>
      <c r="AB53" s="469"/>
      <c r="AC53" s="22"/>
      <c r="AD53" s="22"/>
      <c r="AE53" s="22"/>
      <c r="AF53" s="22"/>
      <c r="AG53" s="22"/>
      <c r="AH53" s="469"/>
      <c r="AN53" s="477"/>
      <c r="AO53" s="477"/>
      <c r="AP53" s="477"/>
      <c r="AQ53" s="22"/>
      <c r="AR53" s="28" t="s">
        <v>781</v>
      </c>
      <c r="AS53" s="183"/>
      <c r="AT53" s="183"/>
      <c r="AU53" s="183"/>
      <c r="AX53" s="183"/>
      <c r="AY53" s="183"/>
      <c r="AZ53" s="183"/>
      <c r="BA53" s="183"/>
      <c r="BB53" s="183"/>
      <c r="BC53" s="183"/>
      <c r="BD53" s="183"/>
      <c r="BE53" s="183"/>
      <c r="BF53" s="1045"/>
      <c r="BG53" s="1045"/>
      <c r="BH53" s="1053"/>
      <c r="BI53" s="1045"/>
      <c r="BL53" s="22"/>
      <c r="BM53" s="22"/>
      <c r="BN53" s="22"/>
      <c r="BO53" s="1045"/>
      <c r="BP53" s="22"/>
    </row>
    <row r="54" spans="1:68" ht="15" hidden="1" customHeight="1" thickBot="1">
      <c r="A54" s="198" t="str">
        <f>IF(COUNT(D54:AH54)=0,$BL$35,IF(MIN(D54:H54,J54:N54,P54:R54,T54:X54,Z54:AC54,AE54:AH54)=0,"B","A"))</f>
        <v>n.e.</v>
      </c>
      <c r="B54" s="33"/>
      <c r="C54" s="823" t="s">
        <v>1096</v>
      </c>
      <c r="D54" s="189"/>
      <c r="E54" s="189"/>
      <c r="F54" s="189"/>
      <c r="G54" s="189"/>
      <c r="H54" s="470"/>
      <c r="I54" s="183"/>
      <c r="J54" s="189"/>
      <c r="K54" s="189"/>
      <c r="L54" s="470"/>
      <c r="M54" s="470"/>
      <c r="N54" s="189"/>
      <c r="O54" s="1045"/>
      <c r="P54" s="470"/>
      <c r="Q54" s="189"/>
      <c r="R54" s="189"/>
      <c r="S54" s="183"/>
      <c r="T54" s="470"/>
      <c r="U54" s="189"/>
      <c r="V54" s="470"/>
      <c r="W54" s="189"/>
      <c r="X54" s="189"/>
      <c r="Z54" s="189"/>
      <c r="AA54" s="189"/>
      <c r="AB54" s="470"/>
      <c r="AC54" s="189"/>
      <c r="AD54" s="183"/>
      <c r="AE54" s="189"/>
      <c r="AF54" s="189"/>
      <c r="AG54" s="189"/>
      <c r="AH54" s="470"/>
      <c r="AN54" s="477"/>
      <c r="AO54" s="477"/>
      <c r="AP54" s="477"/>
      <c r="AQ54" s="27"/>
      <c r="AR54" s="30"/>
      <c r="AS54" s="1195"/>
      <c r="AT54" s="1196"/>
      <c r="AU54" s="1045"/>
      <c r="AX54" s="564"/>
      <c r="AY54" s="564"/>
      <c r="AZ54" s="564"/>
      <c r="BA54" s="564"/>
      <c r="BB54" s="564"/>
      <c r="BC54" s="564"/>
      <c r="BD54" s="564"/>
      <c r="BE54" s="564"/>
      <c r="BF54" s="1045"/>
      <c r="BG54" s="1045"/>
      <c r="BH54" s="1053"/>
      <c r="BI54" s="1045"/>
      <c r="BL54" s="575">
        <f>COUNTIF(D54:AH54,"&gt;-")</f>
        <v>0</v>
      </c>
      <c r="BM54" s="575">
        <f>COUNT(D54:AH54)</f>
        <v>0</v>
      </c>
      <c r="BN54" s="575">
        <v>17</v>
      </c>
      <c r="BO54" s="575" t="str">
        <f>IF(AND($A$31,BM54&gt;=BN54),BM54*10,"--")</f>
        <v>--</v>
      </c>
      <c r="BP54" s="575" t="str">
        <f>IF(AND($A$31,BM54&gt;=BN54),SUM(D54:AH54),"--")</f>
        <v>--</v>
      </c>
    </row>
    <row r="55" spans="1:68" ht="15" customHeight="1">
      <c r="A55" s="197" t="s">
        <v>383</v>
      </c>
      <c r="B55" s="33"/>
      <c r="C55" s="1041"/>
      <c r="D55" s="27"/>
      <c r="E55" s="27"/>
      <c r="F55" s="27"/>
      <c r="G55" s="27"/>
      <c r="H55" s="27"/>
      <c r="I55" s="27"/>
      <c r="J55" s="27"/>
      <c r="K55" s="27"/>
      <c r="L55" s="27"/>
      <c r="M55" s="27"/>
      <c r="N55" s="27"/>
      <c r="O55" s="1045"/>
      <c r="P55" s="27"/>
      <c r="Q55" s="27"/>
      <c r="R55" s="27"/>
      <c r="S55" s="27"/>
      <c r="T55" s="27"/>
      <c r="U55" s="27"/>
      <c r="V55" s="27"/>
      <c r="W55" s="27"/>
      <c r="X55" s="27"/>
      <c r="Z55" s="27"/>
      <c r="AA55" s="27"/>
      <c r="AB55" s="27"/>
      <c r="AC55" s="27"/>
      <c r="AD55" s="27"/>
      <c r="AE55" s="27"/>
      <c r="AF55" s="27"/>
      <c r="AG55" s="27"/>
      <c r="AH55" s="27"/>
      <c r="AI55" s="27"/>
      <c r="AJ55" s="27"/>
      <c r="AK55" s="27"/>
      <c r="AL55" s="27"/>
      <c r="AM55" s="27"/>
      <c r="AN55" s="477"/>
      <c r="AO55" s="477"/>
      <c r="AP55" s="477"/>
      <c r="AQ55" s="27"/>
      <c r="AR55" s="27"/>
      <c r="AS55" s="27"/>
      <c r="AT55" s="27"/>
      <c r="AU55" s="27"/>
      <c r="AX55" s="27"/>
      <c r="AY55" s="27"/>
      <c r="AZ55" s="27"/>
      <c r="BA55" s="27"/>
      <c r="BB55" s="27"/>
      <c r="BC55" s="27"/>
      <c r="BD55" s="27"/>
      <c r="BE55" s="27"/>
      <c r="BF55" s="1045"/>
      <c r="BG55" s="1045"/>
      <c r="BH55" s="1053"/>
      <c r="BI55" s="1045"/>
    </row>
    <row r="56" spans="1:68" ht="12.95" customHeight="1">
      <c r="A56" s="198" t="str">
        <f>IF(COUNTIF(A36:A40,$BL$35)=10,$BL$35,IF(COUNTIF(A36:A40,"C")&gt;=1,"C",IF(COUNTIF(A36:A40,"B")&gt;=1,"B","A")))</f>
        <v>A</v>
      </c>
      <c r="B56" s="33"/>
      <c r="C56" s="149"/>
      <c r="D56" s="154" t="s">
        <v>574</v>
      </c>
      <c r="E56" s="22"/>
      <c r="F56" s="22"/>
      <c r="G56" s="22"/>
      <c r="H56" s="22"/>
      <c r="I56" s="22"/>
      <c r="J56" s="22"/>
      <c r="K56" s="22"/>
      <c r="L56" s="22"/>
      <c r="M56" s="22"/>
      <c r="N56" s="22"/>
      <c r="O56" s="1045"/>
      <c r="P56" s="22"/>
      <c r="Q56" s="22"/>
      <c r="R56" s="22"/>
      <c r="S56" s="22"/>
      <c r="T56" s="22"/>
      <c r="U56" s="22"/>
      <c r="V56" s="22"/>
      <c r="W56" s="22"/>
      <c r="X56" s="22"/>
      <c r="Z56" s="22"/>
      <c r="AA56" s="22"/>
      <c r="AB56" s="22"/>
      <c r="AC56" s="22"/>
      <c r="AD56" s="22"/>
      <c r="AE56" s="22"/>
      <c r="AF56" s="22"/>
      <c r="AG56" s="22"/>
      <c r="AH56" s="22"/>
      <c r="AI56" s="22"/>
      <c r="AJ56" s="22"/>
      <c r="AK56" s="22"/>
      <c r="AL56" s="22"/>
      <c r="AM56" s="22"/>
      <c r="AN56" s="477"/>
      <c r="AO56" s="477"/>
      <c r="AP56" s="477"/>
      <c r="AQ56" s="22"/>
      <c r="AR56" s="22"/>
      <c r="AS56" s="22"/>
      <c r="AT56" s="161">
        <f>+COUNTIF(AS36:AT40,$BL$35)</f>
        <v>0</v>
      </c>
      <c r="AU56" s="161"/>
      <c r="AX56" s="161"/>
      <c r="AY56" s="161"/>
      <c r="AZ56" s="161"/>
      <c r="BA56" s="161"/>
      <c r="BB56" s="161"/>
      <c r="BC56" s="161"/>
      <c r="BD56" s="161"/>
      <c r="BE56" s="161"/>
      <c r="BF56" s="1045"/>
      <c r="BG56" s="1045"/>
      <c r="BH56" s="34"/>
      <c r="BI56" s="22"/>
    </row>
    <row r="57" spans="1:68" ht="4.5" customHeight="1" thickBot="1">
      <c r="B57" s="33"/>
      <c r="C57" s="22"/>
      <c r="D57" s="22"/>
      <c r="E57" s="22"/>
      <c r="F57" s="22"/>
      <c r="G57" s="22"/>
      <c r="H57" s="22"/>
      <c r="I57" s="22"/>
      <c r="J57" s="22"/>
      <c r="K57" s="22"/>
      <c r="L57" s="22"/>
      <c r="M57" s="22"/>
      <c r="N57" s="22"/>
      <c r="O57" s="1045"/>
      <c r="P57" s="22"/>
      <c r="Q57" s="22"/>
      <c r="R57" s="22"/>
      <c r="S57" s="22"/>
      <c r="T57" s="22"/>
      <c r="U57" s="1045"/>
      <c r="V57" s="1045"/>
      <c r="W57" s="1045"/>
      <c r="X57" s="1045"/>
      <c r="Z57" s="1045"/>
      <c r="AA57" s="1045"/>
      <c r="AB57" s="1045"/>
      <c r="AC57" s="1045"/>
      <c r="AD57" s="1045"/>
      <c r="AE57" s="1045"/>
      <c r="AF57" s="1045"/>
      <c r="AG57" s="1045"/>
      <c r="AH57" s="1045"/>
      <c r="AI57" s="1045"/>
      <c r="AJ57" s="1045"/>
      <c r="AK57" s="1045"/>
      <c r="AL57" s="1045"/>
      <c r="AM57" s="1045"/>
      <c r="AN57" s="477"/>
      <c r="AO57" s="477"/>
      <c r="AP57" s="477"/>
      <c r="AQ57" s="1045"/>
      <c r="AR57" s="1045"/>
      <c r="AS57" s="1045"/>
      <c r="AT57" s="1045"/>
      <c r="AU57" s="1045"/>
      <c r="AX57" s="1045"/>
      <c r="AY57" s="1045"/>
      <c r="AZ57" s="1045"/>
      <c r="BA57" s="1045"/>
      <c r="BB57" s="1045"/>
      <c r="BC57" s="1045"/>
      <c r="BD57" s="1045"/>
      <c r="BE57" s="1045"/>
      <c r="BF57" s="1045"/>
      <c r="BG57" s="1045"/>
      <c r="BH57" s="1053"/>
      <c r="BI57" s="1045"/>
    </row>
    <row r="58" spans="1:68" ht="11.45" customHeight="1" thickBot="1">
      <c r="B58" s="33"/>
      <c r="C58" s="21"/>
      <c r="D58" s="576" t="str">
        <f>D34</f>
        <v>6.1.1</v>
      </c>
      <c r="E58" s="577" t="str">
        <f>E34</f>
        <v>6.1.2</v>
      </c>
      <c r="F58" s="578" t="str">
        <f>F34</f>
        <v>6.1.3</v>
      </c>
      <c r="G58" s="578" t="str">
        <f>G34</f>
        <v>6.1.4</v>
      </c>
      <c r="H58" s="579" t="str">
        <f>H34</f>
        <v>6.1.5*</v>
      </c>
      <c r="I58" s="283"/>
      <c r="J58" s="576" t="str">
        <f>J34</f>
        <v>6.2.1</v>
      </c>
      <c r="K58" s="577" t="str">
        <f>K34</f>
        <v>6.2.2</v>
      </c>
      <c r="L58" s="585" t="str">
        <f>L34</f>
        <v>6.2.3*</v>
      </c>
      <c r="M58" s="585" t="str">
        <f>M34</f>
        <v>6.2.4*</v>
      </c>
      <c r="N58" s="586" t="str">
        <f>N34</f>
        <v>6.2.5</v>
      </c>
      <c r="O58" s="1070"/>
      <c r="P58" s="578" t="str">
        <f>P34</f>
        <v>6.3.1*</v>
      </c>
      <c r="Q58" s="578" t="str">
        <f>Q34</f>
        <v>6.3.2</v>
      </c>
      <c r="R58" s="586" t="str">
        <f>R34</f>
        <v>6.3.3</v>
      </c>
      <c r="S58" s="282"/>
      <c r="T58" s="592" t="str">
        <f>T34</f>
        <v>6.4.1*</v>
      </c>
      <c r="U58" s="578" t="str">
        <f>U34</f>
        <v>6.4.2</v>
      </c>
      <c r="V58" s="585" t="str">
        <f>V34</f>
        <v>6.4.3*</v>
      </c>
      <c r="W58" s="578" t="str">
        <f>W34</f>
        <v>6.4.4</v>
      </c>
      <c r="X58" s="586" t="str">
        <f>X34</f>
        <v>6.4.5</v>
      </c>
      <c r="Z58" s="576" t="str">
        <f>Z34</f>
        <v>6.5.1</v>
      </c>
      <c r="AA58" s="578" t="str">
        <f>AA34</f>
        <v>6.5.2</v>
      </c>
      <c r="AB58" s="585" t="str">
        <f>AB34</f>
        <v>6.5.3*</v>
      </c>
      <c r="AC58" s="586" t="str">
        <f>AC34</f>
        <v>6.5.4</v>
      </c>
      <c r="AD58" s="283"/>
      <c r="AE58" s="576" t="str">
        <f>AE34</f>
        <v>6.6.1</v>
      </c>
      <c r="AF58" s="578" t="str">
        <f>AF34</f>
        <v>6.6.2</v>
      </c>
      <c r="AG58" s="578" t="str">
        <f>AG34</f>
        <v>6.6.3</v>
      </c>
      <c r="AH58" s="579" t="str">
        <f>AH34</f>
        <v>6.6.4*</v>
      </c>
      <c r="AN58" s="477"/>
      <c r="AO58" s="477"/>
      <c r="AP58" s="477"/>
      <c r="AQ58" s="21"/>
      <c r="AR58" s="1045"/>
      <c r="AS58" s="1045"/>
      <c r="AT58" s="1045"/>
      <c r="AU58" s="1045"/>
      <c r="AX58" s="595" t="str">
        <f t="shared" ref="AX58:BE58" si="1">AX34</f>
        <v>6.1.2</v>
      </c>
      <c r="AY58" s="596" t="str">
        <f t="shared" si="1"/>
        <v>6.1.3</v>
      </c>
      <c r="AZ58" s="596" t="str">
        <f t="shared" si="1"/>
        <v>6.1.4</v>
      </c>
      <c r="BA58" s="596" t="str">
        <f t="shared" si="1"/>
        <v>6.2.4</v>
      </c>
      <c r="BB58" s="596" t="str">
        <f t="shared" si="1"/>
        <v>6.2.5</v>
      </c>
      <c r="BC58" s="596" t="str">
        <f t="shared" si="1"/>
        <v>6.6.1</v>
      </c>
      <c r="BD58" s="596" t="str">
        <f t="shared" si="1"/>
        <v>6.6.2</v>
      </c>
      <c r="BE58" s="597" t="str">
        <f t="shared" si="1"/>
        <v>6.6.3</v>
      </c>
      <c r="BF58" s="1045"/>
      <c r="BG58" s="1045"/>
      <c r="BH58" s="1053"/>
      <c r="BI58" s="1045"/>
      <c r="BL58" s="477" t="str">
        <f>$BL$7</f>
        <v>n.e.</v>
      </c>
      <c r="BM58" s="477" t="str">
        <f>$BM$7</f>
        <v>Act.</v>
      </c>
      <c r="BN58" s="477" t="str">
        <f>$BN$7</f>
        <v>Target</v>
      </c>
      <c r="BO58" s="477" t="str">
        <f>$BO$7</f>
        <v>Max.</v>
      </c>
      <c r="BP58" s="477" t="str">
        <f>$BP$7</f>
        <v>Act.</v>
      </c>
    </row>
    <row r="59" spans="1:68" ht="15" customHeight="1" thickBot="1">
      <c r="B59" s="33"/>
      <c r="C59" s="149"/>
      <c r="D59" s="1071">
        <f>IF(ISERROR(AVERAGE(D36:D54)),$BL$35,ROUND(AVERAGE(D36:D54),2))</f>
        <v>10</v>
      </c>
      <c r="E59" s="1072">
        <f>IF(ISERROR(AVERAGE(E36:E54)),$BL$35,ROUND(AVERAGE(E36:E54),2))</f>
        <v>10</v>
      </c>
      <c r="F59" s="1072">
        <f>IF(ISERROR(AVERAGE(F36:F54)),$BL$35,ROUND(AVERAGE(F36:F54),2))</f>
        <v>10</v>
      </c>
      <c r="G59" s="1072">
        <f>IF(ISERROR(AVERAGE(G36:G54)),$BL$35,ROUND(AVERAGE(G36:G54),2))</f>
        <v>8</v>
      </c>
      <c r="H59" s="1073">
        <f>IF(ISERROR(AVERAGE(H36:H54)),$BL$35,ROUND(AVERAGE(H36:H54),2))</f>
        <v>10</v>
      </c>
      <c r="I59" s="1074"/>
      <c r="J59" s="1071">
        <f>IF(ISERROR(AVERAGE(J36:J54)),$BL$35,ROUND(AVERAGE(J36:J54),2))</f>
        <v>8</v>
      </c>
      <c r="K59" s="1072">
        <f>IF(ISERROR(AVERAGE(K36:K54)),$BL$35,ROUND(AVERAGE(K36:K54),2))</f>
        <v>10</v>
      </c>
      <c r="L59" s="1075">
        <f>IF(ISERROR(AVERAGE(L36:L54)),$BL$35,ROUND(AVERAGE(L36:L54),2))</f>
        <v>8.67</v>
      </c>
      <c r="M59" s="1075">
        <f>IF(ISERROR(AVERAGE(M36:M54)),$BL$35,ROUND(AVERAGE(M36:M54),2))</f>
        <v>8</v>
      </c>
      <c r="N59" s="1076">
        <f>IF(ISERROR(AVERAGE(N36:N54)),$BL$35,ROUND(AVERAGE(N36:N54),2))</f>
        <v>8</v>
      </c>
      <c r="O59" s="1070"/>
      <c r="P59" s="1077" t="str">
        <f>IF(ISERROR(AVERAGE(P36:P54)),$BL$35,ROUND(AVERAGE(P36:P54),2))</f>
        <v>n.e.</v>
      </c>
      <c r="Q59" s="1072">
        <f>IF(ISERROR(AVERAGE(Q36:Q54)),$BL$35,ROUND(AVERAGE(Q36:Q54),2))</f>
        <v>8.67</v>
      </c>
      <c r="R59" s="1076">
        <f>IF(ISERROR(AVERAGE(R36:R54)),$BL$35,ROUND(AVERAGE(R36:R54),2))</f>
        <v>8</v>
      </c>
      <c r="S59" s="1078"/>
      <c r="T59" s="1079">
        <f>IF(ISERROR(AVERAGE(T36:T54)),$BL$35,ROUND(AVERAGE(T36:T54),2))</f>
        <v>10</v>
      </c>
      <c r="U59" s="1072">
        <f>IF(ISERROR(AVERAGE(U36:U54)),$BL$35,ROUND(AVERAGE(U36:U54),2))</f>
        <v>8</v>
      </c>
      <c r="V59" s="1075">
        <f>IF(ISERROR(AVERAGE(V36:V54)),$BL$35,ROUND(AVERAGE(V36:V54),2))</f>
        <v>8.67</v>
      </c>
      <c r="W59" s="1072">
        <f>IF(ISERROR(AVERAGE(W36:W54)),$BL$35,ROUND(AVERAGE(W36:W54),2))</f>
        <v>8.67</v>
      </c>
      <c r="X59" s="1076">
        <f>IF(ISERROR(AVERAGE(X36:X54)),$BL$35,ROUND(AVERAGE(X36:X54),2))</f>
        <v>8.67</v>
      </c>
      <c r="Z59" s="1071">
        <f>IF(ISERROR(AVERAGE(Z36:Z54)),$BL$35,ROUND(AVERAGE(Z36:Z54),2))</f>
        <v>8.67</v>
      </c>
      <c r="AA59" s="1072">
        <f>IF(ISERROR(AVERAGE(AA36:AA54)),$BL$35,ROUND(AVERAGE(AA36:AA54),2))</f>
        <v>10</v>
      </c>
      <c r="AB59" s="1075">
        <f>IF(ISERROR(AVERAGE(AB36:AB54)),$BL$35,ROUND(AVERAGE(AB36:AB54),2))</f>
        <v>8.67</v>
      </c>
      <c r="AC59" s="1076">
        <f>IF(ISERROR(AVERAGE(AC36:AC54)),$BL$35,ROUND(AVERAGE(AC36:AC54),2))</f>
        <v>6.67</v>
      </c>
      <c r="AD59" s="1078"/>
      <c r="AE59" s="1071">
        <f>IF(ISERROR(AVERAGE(AE36:AE54)),$BL$35,ROUND(AVERAGE(AE36:AE54),2))</f>
        <v>10</v>
      </c>
      <c r="AF59" s="1072">
        <f>IF(ISERROR(AVERAGE(AF36:AF54)),$BL$35,ROUND(AVERAGE(AF36:AF54),2))</f>
        <v>10</v>
      </c>
      <c r="AG59" s="1072">
        <f>IF(ISERROR(AVERAGE(AG36:AG54)),$BL$35,ROUND(AVERAGE(AG36:AG54),2))</f>
        <v>9.33</v>
      </c>
      <c r="AH59" s="1073">
        <f>IF(ISERROR(AVERAGE(AH36:AH54)),$BL$35,ROUND(AVERAGE(AH36:AH54),2))</f>
        <v>10</v>
      </c>
      <c r="AN59" s="477"/>
      <c r="AO59" s="477"/>
      <c r="AP59" s="477"/>
      <c r="AQ59" s="1080"/>
      <c r="AR59" s="166" t="s">
        <v>498</v>
      </c>
      <c r="AS59" s="1195">
        <f>IF(COUNTIF(AS36:AT40,$BL$35)&gt;0,$BL$35,ROUND(BP59/BO59,2))</f>
        <v>0.9</v>
      </c>
      <c r="AT59" s="1196"/>
      <c r="AU59" s="1045"/>
      <c r="AX59" s="1081">
        <f t="shared" ref="AX59:BE59" si="2">IF(ISERROR(AVERAGE(AX36:AX40)),$BL$35,ROUND(AVERAGE(AX36:AX40),2))</f>
        <v>10</v>
      </c>
      <c r="AY59" s="1076">
        <f t="shared" si="2"/>
        <v>10</v>
      </c>
      <c r="AZ59" s="1076">
        <f t="shared" si="2"/>
        <v>8</v>
      </c>
      <c r="BA59" s="1076">
        <f t="shared" si="2"/>
        <v>8</v>
      </c>
      <c r="BB59" s="1076">
        <f t="shared" si="2"/>
        <v>8</v>
      </c>
      <c r="BC59" s="1076">
        <f t="shared" si="2"/>
        <v>10</v>
      </c>
      <c r="BD59" s="1076">
        <f t="shared" si="2"/>
        <v>10</v>
      </c>
      <c r="BE59" s="1076">
        <f t="shared" si="2"/>
        <v>9.33</v>
      </c>
      <c r="BF59" s="1045"/>
      <c r="BG59" s="1045"/>
      <c r="BH59" s="1053"/>
      <c r="BI59" s="1045"/>
      <c r="BL59" s="575">
        <f>SUM(BL36:BL40)</f>
        <v>3</v>
      </c>
      <c r="BM59" s="575">
        <f>SUM(BM36:BM40)</f>
        <v>75</v>
      </c>
      <c r="BN59" s="575">
        <f>SUM(F61,L61,P61,V61,AA61,AF61)</f>
        <v>52</v>
      </c>
      <c r="BO59" s="575">
        <f>COUNT(D59:AH59)*10</f>
        <v>250</v>
      </c>
      <c r="BP59" s="575">
        <f>SUM(D59:AH59)</f>
        <v>224.68999999999994</v>
      </c>
    </row>
    <row r="60" spans="1:68" ht="15" hidden="1" thickBot="1">
      <c r="B60" s="33"/>
      <c r="C60" s="22"/>
      <c r="D60" s="33"/>
      <c r="E60" s="477" t="str">
        <f>$BM$7</f>
        <v>Act.</v>
      </c>
      <c r="F60" s="477" t="str">
        <f>$BN$7</f>
        <v>Target</v>
      </c>
      <c r="G60" s="477" t="str">
        <f>$BO$7</f>
        <v>Max.</v>
      </c>
      <c r="H60" s="580" t="str">
        <f>$BP$7</f>
        <v>Act.</v>
      </c>
      <c r="J60" s="587"/>
      <c r="K60" s="477" t="str">
        <f>$BM$7</f>
        <v>Act.</v>
      </c>
      <c r="L60" s="477" t="str">
        <f>$BN$7</f>
        <v>Target</v>
      </c>
      <c r="M60" s="477" t="str">
        <f>$BO$7</f>
        <v>Max.</v>
      </c>
      <c r="N60" s="580" t="str">
        <f>$BP$7</f>
        <v>Act.</v>
      </c>
      <c r="O60" s="905" t="str">
        <f>$BM$7</f>
        <v>Act.</v>
      </c>
      <c r="P60" s="477" t="str">
        <f>$BN$7</f>
        <v>Target</v>
      </c>
      <c r="Q60" s="477" t="str">
        <f>$BO$7</f>
        <v>Max.</v>
      </c>
      <c r="R60" s="580" t="str">
        <f>$BP$7</f>
        <v>Act.</v>
      </c>
      <c r="T60" s="587"/>
      <c r="U60" s="477" t="str">
        <f>$BM$7</f>
        <v>Act.</v>
      </c>
      <c r="V60" s="477" t="str">
        <f>$BN$7</f>
        <v>Target</v>
      </c>
      <c r="W60" s="477" t="str">
        <f>$BO$7</f>
        <v>Max.</v>
      </c>
      <c r="X60" s="580" t="str">
        <f>$BP$7</f>
        <v>Act.</v>
      </c>
      <c r="Y60" s="22"/>
      <c r="Z60" s="589" t="str">
        <f>$BM$7</f>
        <v>Act.</v>
      </c>
      <c r="AA60" s="477" t="str">
        <f>$BN$7</f>
        <v>Target</v>
      </c>
      <c r="AB60" s="477" t="str">
        <f>$BO$7</f>
        <v>Max.</v>
      </c>
      <c r="AC60" s="580" t="str">
        <f>$BP$7</f>
        <v>Act.</v>
      </c>
      <c r="AD60" s="22"/>
      <c r="AE60" s="589" t="str">
        <f>$BM$7</f>
        <v>Act.</v>
      </c>
      <c r="AF60" s="477" t="str">
        <f>$BN$7</f>
        <v>Target</v>
      </c>
      <c r="AG60" s="477" t="str">
        <f>$BO$7</f>
        <v>Max.</v>
      </c>
      <c r="AH60" s="580" t="str">
        <f>$BP$7</f>
        <v>Act.</v>
      </c>
      <c r="AI60" s="22"/>
      <c r="AJ60" s="22"/>
      <c r="AK60" s="22"/>
      <c r="AL60" s="22"/>
      <c r="AM60" s="183"/>
      <c r="AN60" s="477"/>
      <c r="AO60" s="477"/>
      <c r="AP60" s="477"/>
      <c r="AQ60" s="183"/>
      <c r="AR60" s="183"/>
      <c r="AS60" s="183"/>
      <c r="AT60" s="183"/>
      <c r="AU60" s="183"/>
      <c r="AX60" s="900" t="str">
        <f>$BL$7</f>
        <v>n.e.</v>
      </c>
      <c r="AY60" s="901" t="str">
        <f>$BM$7</f>
        <v>Act.</v>
      </c>
      <c r="AZ60" s="901" t="str">
        <f>$BN$7</f>
        <v>Target</v>
      </c>
      <c r="BA60" s="901" t="str">
        <f>$BO$7</f>
        <v>Max.</v>
      </c>
      <c r="BB60" s="901" t="str">
        <f>$BP$7</f>
        <v>Act.</v>
      </c>
      <c r="BC60" s="333"/>
      <c r="BD60" s="333"/>
      <c r="BE60" s="902"/>
      <c r="BF60" s="1045"/>
      <c r="BG60" s="1045"/>
      <c r="BH60" s="37"/>
      <c r="BI60" s="183"/>
    </row>
    <row r="61" spans="1:68" ht="15.75" hidden="1" thickBot="1">
      <c r="B61" s="33"/>
      <c r="D61" s="33"/>
      <c r="E61" s="574">
        <f>COUNT(D36:H40)</f>
        <v>15</v>
      </c>
      <c r="F61" s="574">
        <f>ROUNDUP(COUNTIF($C$36:$C$40,"X")*5/3*2,0)</f>
        <v>10</v>
      </c>
      <c r="G61" s="575">
        <f>IF(AND($A31,E61&gt;=F61),E61*10,"--")</f>
        <v>150</v>
      </c>
      <c r="H61" s="581">
        <f>IF(AND($A31,E61&gt;=F61),SUM(D36:H40),"--")</f>
        <v>144</v>
      </c>
      <c r="J61" s="33"/>
      <c r="K61" s="574">
        <f>COUNT(J36:N40)</f>
        <v>15</v>
      </c>
      <c r="L61" s="574">
        <f>ROUNDUP(COUNTIF($C$36:$C$40,"X")*5/3*2,0)</f>
        <v>10</v>
      </c>
      <c r="M61" s="575">
        <f>IF(AND($A31,K61&gt;=L61),K61*10,"--")</f>
        <v>150</v>
      </c>
      <c r="N61" s="581">
        <f>IF(AND($A31,K61&gt;=L61),SUM(J36:N40),"--")</f>
        <v>128</v>
      </c>
      <c r="O61" s="907">
        <f>COUNT(P36:R40)</f>
        <v>6</v>
      </c>
      <c r="P61" s="574">
        <f>ROUNDUP(COUNTIF($C$36:$C$40,"X")*3/3*2,0)</f>
        <v>6</v>
      </c>
      <c r="Q61" s="575">
        <f>IF(AND($A31,O61&gt;=P61),O61*10,"--")</f>
        <v>60</v>
      </c>
      <c r="R61" s="581">
        <f>IF(AND($A31,O61&gt;=P61),SUM(P36:R40),"--")</f>
        <v>50</v>
      </c>
      <c r="T61" s="33"/>
      <c r="U61" s="574">
        <f>COUNT(T36:X40)</f>
        <v>15</v>
      </c>
      <c r="V61" s="574">
        <f>ROUNDUP(COUNTIF($C$36:$C$40,"X")*5/3*2,0)</f>
        <v>10</v>
      </c>
      <c r="W61" s="575">
        <f>IF(AND($A31,U61&gt;=V61),U61*10,"--")</f>
        <v>150</v>
      </c>
      <c r="X61" s="581">
        <f>IF(AND($A31,U61&gt;=V61),SUM(T36:X40),"--")</f>
        <v>132</v>
      </c>
      <c r="Z61" s="590">
        <f>COUNT(Z36:AC40)</f>
        <v>12</v>
      </c>
      <c r="AA61" s="574">
        <f>ROUNDUP(COUNTIF($C$36:$C$40,"X")*4/3*2,0)</f>
        <v>8</v>
      </c>
      <c r="AB61" s="575">
        <f>IF(AND($A31,Z61&gt;=AA61),Z61*10,"--")</f>
        <v>120</v>
      </c>
      <c r="AC61" s="581">
        <f>IF(AND($A31,Z61&gt;=AA61),SUM(Z36:AC40),"--")</f>
        <v>102</v>
      </c>
      <c r="AD61" s="30"/>
      <c r="AE61" s="590">
        <f>COUNT(AE36:AH40)</f>
        <v>12</v>
      </c>
      <c r="AF61" s="574">
        <f>ROUNDUP(COUNTIF($C$36:$C$40,"X")*4/3*2,0)</f>
        <v>8</v>
      </c>
      <c r="AG61" s="575">
        <f>IF(AND($A31,AE61&gt;=AF61),AE61*10,"--")</f>
        <v>120</v>
      </c>
      <c r="AH61" s="581">
        <f>IF(AND($A31,AE61&gt;=AF61),SUM(AE36:AH40),"--")</f>
        <v>118</v>
      </c>
      <c r="AS61" s="164"/>
      <c r="AT61" s="276"/>
      <c r="AX61" s="600">
        <f>COUNTIF(AX59:BE59,"&gt;-")</f>
        <v>0</v>
      </c>
      <c r="AY61" s="575">
        <f>COUNT(AX36:BE40)</f>
        <v>24</v>
      </c>
      <c r="AZ61" s="575">
        <f>ROUNDUP(COUNTIF($C$36:$C$40,"X")*8/3*2,0)</f>
        <v>16</v>
      </c>
      <c r="BA61" s="575">
        <f>IF(AND($B62,AY61&gt;=AZ61),COUNTIF(AX59:BE59,"&lt;&gt;"&amp;AX60)*10,"--")</f>
        <v>80</v>
      </c>
      <c r="BB61" s="575">
        <f>IF(AND($B62,AY61&gt;=AZ61),SUM(AX59:BE59),"--")</f>
        <v>73.33</v>
      </c>
      <c r="BC61" s="164"/>
      <c r="BD61" s="164"/>
      <c r="BE61" s="598"/>
      <c r="BF61" s="1045"/>
      <c r="BG61" s="1045"/>
      <c r="BH61" s="39"/>
    </row>
    <row r="62" spans="1:68" ht="14.25" customHeight="1" thickBot="1">
      <c r="B62" s="33"/>
      <c r="C62" s="30"/>
      <c r="D62" s="582"/>
      <c r="E62" s="583"/>
      <c r="F62" s="1082" t="s">
        <v>88</v>
      </c>
      <c r="G62" s="1312">
        <f>IF(OR($A$31=FALSE,F61&gt;E61),$BL$35,IFERROR(ROUND(H61/G61,2),$BL$35))</f>
        <v>0.96</v>
      </c>
      <c r="H62" s="1313"/>
      <c r="I62" s="1045"/>
      <c r="J62" s="582"/>
      <c r="K62" s="583"/>
      <c r="L62" s="588" t="s">
        <v>87</v>
      </c>
      <c r="M62" s="1312">
        <f>IF(OR($A$31=FALSE,L61&gt;K61),$BL$35,IFERROR(ROUND(N61/M61,2),$BL$35))</f>
        <v>0.85</v>
      </c>
      <c r="N62" s="1313"/>
      <c r="O62" s="1070"/>
      <c r="P62" s="591" t="s">
        <v>86</v>
      </c>
      <c r="Q62" s="1312">
        <f>IF(OR($A$31=FALSE,P61&gt;O61),$BL$35,IFERROR(ROUND(R61/Q61,2),$BL$35))</f>
        <v>0.83</v>
      </c>
      <c r="R62" s="1313"/>
      <c r="S62" s="1045"/>
      <c r="T62" s="593"/>
      <c r="U62" s="594"/>
      <c r="V62" s="591" t="s">
        <v>85</v>
      </c>
      <c r="W62" s="1312">
        <f>IF(OR($A$31=FALSE,V61&gt;U61),$BL$35,IFERROR(ROUND(X61/W61,2),$BL$35))</f>
        <v>0.88</v>
      </c>
      <c r="X62" s="1313"/>
      <c r="Y62" s="1045"/>
      <c r="Z62" s="582"/>
      <c r="AA62" s="1082" t="s">
        <v>84</v>
      </c>
      <c r="AB62" s="1312">
        <f>IF(OR($A$31=FALSE,AA61&gt;Z61),$BL$35,IFERROR(ROUND(AC61/AB61,2),$BL$35))</f>
        <v>0.85</v>
      </c>
      <c r="AC62" s="1313"/>
      <c r="AD62" s="1045"/>
      <c r="AE62" s="582"/>
      <c r="AF62" s="588" t="s">
        <v>83</v>
      </c>
      <c r="AG62" s="1312">
        <f>IF(OR($A$31=FALSE,AF61&gt;AE61),$BL$35,IFERROR(ROUND(AH61/AG61,2),$BL$35))</f>
        <v>0.98</v>
      </c>
      <c r="AH62" s="1313"/>
      <c r="AI62" s="1045"/>
      <c r="AM62" s="153"/>
      <c r="AN62" s="153"/>
      <c r="AO62" s="153"/>
      <c r="AP62" s="153"/>
      <c r="AQ62" s="153"/>
      <c r="AS62" s="164"/>
      <c r="AT62" s="277"/>
      <c r="AU62" s="164"/>
      <c r="AX62" s="79"/>
      <c r="AY62" s="594"/>
      <c r="AZ62" s="594"/>
      <c r="BA62" s="594"/>
      <c r="BB62" s="594"/>
      <c r="BC62" s="1083" t="s">
        <v>82</v>
      </c>
      <c r="BD62" s="1195">
        <f>IF(A31=FALSE,AX60,IF(AY61&gt;=AZ61,ROUND(BB61/BA61,2),$BL$35))</f>
        <v>0.92</v>
      </c>
      <c r="BE62" s="1196"/>
      <c r="BF62" s="1045"/>
      <c r="BG62" s="1045"/>
      <c r="BH62" s="39"/>
    </row>
    <row r="63" spans="1:68" ht="8.25" customHeight="1">
      <c r="B63" s="33"/>
      <c r="C63" s="30"/>
      <c r="D63" s="163"/>
      <c r="E63" s="30"/>
      <c r="G63" s="153"/>
      <c r="H63" s="153"/>
      <c r="I63" s="1045"/>
      <c r="J63" s="163"/>
      <c r="K63" s="30"/>
      <c r="M63" s="30"/>
      <c r="N63" s="153"/>
      <c r="O63" s="153"/>
      <c r="P63" s="1045"/>
      <c r="Q63" s="163"/>
      <c r="R63" s="30"/>
      <c r="S63" s="30"/>
      <c r="T63" s="153"/>
      <c r="U63" s="153"/>
      <c r="V63" s="163"/>
      <c r="X63" s="153"/>
      <c r="Y63" s="153"/>
      <c r="Z63" s="163"/>
      <c r="AC63" s="153"/>
      <c r="AD63" s="153"/>
      <c r="AE63" s="163"/>
      <c r="AF63" s="30"/>
      <c r="AG63" s="30"/>
      <c r="AH63" s="30"/>
      <c r="AM63" s="153"/>
      <c r="AN63" s="153"/>
      <c r="AO63" s="153"/>
      <c r="AP63" s="153"/>
      <c r="AQ63" s="153"/>
      <c r="AS63" s="164"/>
      <c r="AT63" s="163"/>
      <c r="AU63" s="164"/>
      <c r="AW63" s="164"/>
      <c r="AX63" s="164"/>
      <c r="AY63" s="164"/>
      <c r="AZ63" s="164"/>
      <c r="BA63" s="164"/>
      <c r="BB63" s="164"/>
      <c r="BE63" s="1084"/>
      <c r="BF63" s="1045"/>
      <c r="BG63" s="1045"/>
      <c r="BH63" s="39"/>
    </row>
    <row r="64" spans="1:68" ht="5.25" customHeight="1">
      <c r="B64" s="33"/>
      <c r="C64" s="22"/>
      <c r="D64" s="22"/>
      <c r="E64" s="22"/>
      <c r="F64" s="22"/>
      <c r="G64" s="22"/>
      <c r="H64" s="22"/>
      <c r="I64" s="22"/>
      <c r="J64" s="22"/>
      <c r="K64" s="22"/>
      <c r="L64" s="22"/>
      <c r="M64" s="22"/>
      <c r="N64" s="22"/>
      <c r="O64" s="149"/>
      <c r="P64" s="22"/>
      <c r="Q64" s="22"/>
      <c r="R64" s="22"/>
      <c r="S64" s="22"/>
      <c r="T64" s="22"/>
      <c r="U64" s="22"/>
      <c r="V64" s="22"/>
      <c r="W64" s="22"/>
      <c r="X64" s="22"/>
      <c r="Y64" s="22"/>
      <c r="Z64" s="22"/>
      <c r="AA64" s="22"/>
      <c r="AB64" s="22"/>
      <c r="AC64" s="22"/>
      <c r="AD64" s="22"/>
      <c r="AE64" s="22"/>
      <c r="AF64" s="22"/>
      <c r="AG64" s="22"/>
      <c r="AH64" s="22"/>
      <c r="AI64" s="22"/>
      <c r="AJ64" s="22"/>
      <c r="AK64" s="22"/>
      <c r="AL64" s="22"/>
      <c r="AM64" s="22"/>
      <c r="AN64" s="22"/>
      <c r="AO64" s="22"/>
      <c r="AP64" s="22"/>
      <c r="AQ64" s="22"/>
      <c r="AR64" s="22"/>
      <c r="AS64" s="22"/>
      <c r="AT64" s="22"/>
      <c r="AU64" s="22"/>
      <c r="AV64" s="22"/>
      <c r="AW64" s="22"/>
      <c r="AX64" s="22"/>
      <c r="AY64" s="22"/>
      <c r="AZ64" s="22"/>
      <c r="BA64" s="22"/>
      <c r="BB64" s="22"/>
      <c r="BC64" s="22"/>
      <c r="BD64" s="22"/>
      <c r="BE64" s="1045"/>
      <c r="BF64" s="1045"/>
      <c r="BG64" s="1045"/>
      <c r="BH64" s="34"/>
      <c r="BI64" s="22"/>
    </row>
    <row r="65" spans="1:68" ht="21.75" customHeight="1" thickBot="1">
      <c r="A65" s="199" t="s">
        <v>384</v>
      </c>
      <c r="B65" s="33"/>
      <c r="G65" s="159"/>
      <c r="N65" s="159"/>
      <c r="R65" s="159"/>
      <c r="S65" s="1045"/>
      <c r="T65" s="1045"/>
      <c r="U65" s="808" t="s">
        <v>180</v>
      </c>
      <c r="V65" s="808" t="s">
        <v>181</v>
      </c>
      <c r="W65" s="809" t="s">
        <v>311</v>
      </c>
      <c r="X65" s="809" t="s">
        <v>353</v>
      </c>
      <c r="Y65" s="808" t="s">
        <v>185</v>
      </c>
      <c r="AQ65" s="142"/>
      <c r="AR65" s="142"/>
      <c r="AS65" s="142"/>
      <c r="AT65" s="142"/>
      <c r="AU65" s="142"/>
      <c r="AV65" s="142"/>
      <c r="AW65" s="142"/>
      <c r="AX65" s="142"/>
      <c r="AY65" s="142"/>
      <c r="AZ65" s="142"/>
      <c r="BA65" s="142"/>
      <c r="BB65" s="142"/>
      <c r="BC65" s="142"/>
      <c r="BD65" s="142"/>
      <c r="BE65" s="1045"/>
      <c r="BF65" s="1045"/>
      <c r="BG65" s="1045"/>
      <c r="BH65" s="810"/>
      <c r="BI65" s="142"/>
      <c r="BL65" s="477" t="str">
        <f>$BL$7</f>
        <v>n.e.</v>
      </c>
      <c r="BM65" s="477" t="str">
        <f>$BM$7</f>
        <v>Act.</v>
      </c>
      <c r="BN65" s="477" t="str">
        <f>$BN$7</f>
        <v>Target</v>
      </c>
      <c r="BO65" s="477" t="str">
        <f>$BO$7</f>
        <v>Max.</v>
      </c>
      <c r="BP65" s="477" t="str">
        <f>$BP$7</f>
        <v>Act.</v>
      </c>
    </row>
    <row r="66" spans="1:68" ht="18" customHeight="1" thickBot="1">
      <c r="A66" s="198" t="str">
        <f>IF(COUNT(U66:Y66)=0,$BL$35,IF(MIN(U66:Y66)=0,"B","A"))</f>
        <v>A</v>
      </c>
      <c r="B66" s="33"/>
      <c r="C66" s="53" t="s">
        <v>143</v>
      </c>
      <c r="D66" s="54" t="s">
        <v>631</v>
      </c>
      <c r="E66" s="22"/>
      <c r="F66" s="22"/>
      <c r="G66" s="22"/>
      <c r="H66" s="22"/>
      <c r="I66" s="22"/>
      <c r="J66" s="22"/>
      <c r="K66" s="22"/>
      <c r="L66" s="22"/>
      <c r="M66" s="22"/>
      <c r="N66" s="22"/>
      <c r="O66" s="149"/>
      <c r="P66" s="22"/>
      <c r="Q66" s="22"/>
      <c r="R66" s="22"/>
      <c r="S66" s="1045"/>
      <c r="T66" s="1045"/>
      <c r="U66" s="189">
        <f>IF($A$67=FALSE,$BL$65,IF(ISBLANK(Questions!D$361),"--",Questions!D$361))</f>
        <v>4</v>
      </c>
      <c r="V66" s="189">
        <f>IF($A$67=FALSE,$BL$65,IF(ISBLANK(Questions!D$362),"--",Questions!D$362))</f>
        <v>8</v>
      </c>
      <c r="W66" s="470">
        <f>IF($A$67=FALSE,$BL$65,IF(ISBLANK(Questions!D$363),"--",Questions!D$363))</f>
        <v>10</v>
      </c>
      <c r="X66" s="470">
        <f>IF($A$67=FALSE,$BL$65,IF(ISBLANK(Questions!D$364),"--",Questions!D$364))</f>
        <v>8</v>
      </c>
      <c r="Y66" s="189">
        <f>IF($A$67=FALSE,$BL$65,IF(ISBLANK(Questions!D$365),"--",Questions!D$365))</f>
        <v>6</v>
      </c>
      <c r="AR66" s="166" t="s">
        <v>726</v>
      </c>
      <c r="AS66" s="1195">
        <f>IF(A67=FALSE,BL65,IF(BM66&gt;=BN66,ROUND(BP66/BO66,2),$BL$35))</f>
        <v>0.72</v>
      </c>
      <c r="AT66" s="1196"/>
      <c r="AU66" s="1045"/>
      <c r="AV66" s="153"/>
      <c r="AW66" s="153"/>
      <c r="AX66" s="153"/>
      <c r="AY66" s="153"/>
      <c r="AZ66" s="153"/>
      <c r="BA66" s="153"/>
      <c r="BB66" s="153"/>
      <c r="BC66" s="153"/>
      <c r="BD66" s="153"/>
      <c r="BE66" s="1045"/>
      <c r="BF66" s="1045"/>
      <c r="BG66" s="1045"/>
      <c r="BH66" s="34"/>
      <c r="BI66" s="22"/>
      <c r="BL66" s="575">
        <f>COUNTIF(U66:Y66,"&gt;-")</f>
        <v>0</v>
      </c>
      <c r="BM66" s="575">
        <f>COUNT(U66:Y66)</f>
        <v>5</v>
      </c>
      <c r="BN66" s="575">
        <v>4</v>
      </c>
      <c r="BO66" s="575">
        <f>IF(AND($A67,BM66&gt;=BN66),BM66*10,"--")</f>
        <v>50</v>
      </c>
      <c r="BP66" s="575">
        <f>IF(AND($A67,BM66&gt;=BN66),SUM(U66:Y66),"--")</f>
        <v>36</v>
      </c>
    </row>
    <row r="67" spans="1:68">
      <c r="A67" s="757" t="b">
        <v>1</v>
      </c>
      <c r="B67" s="472"/>
      <c r="C67" s="225"/>
      <c r="D67" s="1059"/>
      <c r="E67" s="1059"/>
      <c r="F67" s="1059"/>
      <c r="G67" s="1059"/>
      <c r="H67" s="1059"/>
      <c r="I67" s="22"/>
      <c r="J67" s="1045"/>
      <c r="K67" s="1045"/>
      <c r="L67" s="1045"/>
      <c r="M67" s="1045"/>
      <c r="N67" s="1045"/>
      <c r="O67" s="1045"/>
      <c r="P67" s="1045"/>
      <c r="Q67" s="1045"/>
      <c r="R67" s="1045"/>
      <c r="S67" s="22"/>
      <c r="T67" s="22"/>
      <c r="U67" s="1045"/>
      <c r="V67" s="1045"/>
      <c r="W67" s="1045"/>
      <c r="X67" s="1045"/>
      <c r="Y67" s="1045"/>
      <c r="Z67" s="1045"/>
      <c r="AA67" s="1045"/>
      <c r="AB67" s="1045"/>
      <c r="AC67" s="1045"/>
      <c r="AD67" s="1045"/>
      <c r="AE67" s="1045"/>
      <c r="AF67" s="1045"/>
      <c r="AG67" s="1045"/>
      <c r="AH67" s="1045"/>
      <c r="AI67" s="1045"/>
      <c r="AJ67" s="1045"/>
      <c r="AK67" s="1045"/>
      <c r="AL67" s="1045"/>
      <c r="AM67" s="1045"/>
      <c r="AN67" s="1045"/>
      <c r="AO67" s="1045"/>
      <c r="AP67" s="1045"/>
      <c r="AQ67" s="1045"/>
      <c r="AR67" s="1045"/>
      <c r="AS67" s="1045"/>
      <c r="AT67" s="1045"/>
      <c r="AU67" s="1045"/>
      <c r="AV67" s="1045"/>
      <c r="AW67" s="1045"/>
      <c r="AX67" s="1045"/>
      <c r="AY67" s="1045"/>
      <c r="AZ67" s="1045"/>
      <c r="BA67" s="1045"/>
      <c r="BB67" s="1045"/>
      <c r="BC67" s="1045"/>
      <c r="BD67" s="1045"/>
      <c r="BE67" s="1045"/>
      <c r="BF67" s="1045"/>
      <c r="BG67" s="1045"/>
      <c r="BH67" s="1053"/>
      <c r="BI67" s="1045"/>
    </row>
    <row r="68" spans="1:68" ht="7.5" customHeight="1">
      <c r="B68" s="982"/>
      <c r="C68" s="983"/>
      <c r="D68" s="983"/>
      <c r="E68" s="983"/>
      <c r="F68" s="983"/>
      <c r="G68" s="983"/>
      <c r="H68" s="983"/>
      <c r="I68" s="983"/>
      <c r="J68" s="983"/>
      <c r="K68" s="983"/>
      <c r="L68" s="983"/>
      <c r="M68" s="983"/>
      <c r="N68" s="983"/>
      <c r="O68" s="983"/>
      <c r="P68" s="983"/>
      <c r="Q68" s="983"/>
      <c r="R68" s="983"/>
      <c r="S68" s="983"/>
      <c r="T68" s="983"/>
      <c r="U68" s="983"/>
      <c r="V68" s="983"/>
      <c r="W68" s="983"/>
      <c r="X68" s="983"/>
      <c r="Y68" s="983"/>
      <c r="Z68" s="983"/>
      <c r="AA68" s="983"/>
      <c r="AB68" s="983"/>
      <c r="AC68" s="983"/>
      <c r="AD68" s="983"/>
      <c r="AE68" s="983"/>
      <c r="AF68" s="983"/>
      <c r="AG68" s="983"/>
      <c r="AH68" s="983"/>
      <c r="AI68" s="983"/>
      <c r="AJ68" s="983"/>
      <c r="AK68" s="983"/>
      <c r="AL68" s="983"/>
      <c r="AM68" s="983"/>
      <c r="AN68" s="983"/>
      <c r="AO68" s="983"/>
      <c r="AP68" s="983"/>
      <c r="AQ68" s="983"/>
      <c r="AR68" s="983"/>
      <c r="AS68" s="983"/>
      <c r="AT68" s="983"/>
      <c r="AU68" s="983"/>
      <c r="AV68" s="983"/>
      <c r="AW68" s="983"/>
      <c r="AX68" s="983"/>
      <c r="AY68" s="983"/>
      <c r="AZ68" s="983"/>
      <c r="BA68" s="983"/>
      <c r="BB68" s="983"/>
      <c r="BC68" s="983"/>
      <c r="BD68" s="983"/>
      <c r="BE68" s="983"/>
      <c r="BF68" s="983"/>
      <c r="BG68" s="983"/>
      <c r="BH68" s="984"/>
      <c r="BI68" s="22"/>
    </row>
    <row r="69" spans="1:68" ht="12.95" customHeight="1">
      <c r="A69" s="199"/>
      <c r="B69" s="33"/>
      <c r="C69" s="421"/>
      <c r="D69" s="422"/>
      <c r="E69" s="422"/>
      <c r="F69" s="422"/>
      <c r="G69" s="422"/>
      <c r="H69" s="422"/>
      <c r="I69" s="422"/>
      <c r="J69" s="422"/>
      <c r="K69" s="422"/>
      <c r="L69" s="422"/>
      <c r="M69" s="422"/>
      <c r="N69" s="422"/>
      <c r="O69" s="422"/>
      <c r="P69" s="422"/>
      <c r="Q69" s="422"/>
      <c r="R69" s="422"/>
      <c r="S69" s="422"/>
      <c r="T69" s="422"/>
      <c r="U69" s="422"/>
      <c r="V69" s="422"/>
      <c r="W69" s="422"/>
      <c r="X69" s="422"/>
      <c r="Y69" s="422"/>
      <c r="Z69" s="422"/>
      <c r="AA69" s="422"/>
      <c r="AB69" s="422"/>
      <c r="AC69" s="422"/>
      <c r="AD69" s="422"/>
      <c r="AE69" s="422"/>
      <c r="AF69" s="422"/>
      <c r="AG69" s="422"/>
      <c r="AH69" s="422"/>
      <c r="AI69" s="423"/>
      <c r="AJ69" s="423"/>
      <c r="AK69" s="423"/>
      <c r="AL69" s="423"/>
      <c r="AM69" s="423"/>
      <c r="AN69" s="423"/>
      <c r="AO69" s="423"/>
      <c r="AP69" s="423"/>
      <c r="AQ69" s="423"/>
      <c r="AR69" s="423"/>
      <c r="AS69" s="423"/>
      <c r="AT69" s="423"/>
      <c r="AU69" s="423"/>
      <c r="AV69" s="423"/>
      <c r="AW69" s="423"/>
      <c r="AX69" s="423"/>
      <c r="AY69" s="423"/>
      <c r="AZ69" s="423"/>
      <c r="BA69" s="423"/>
      <c r="BB69" s="423"/>
      <c r="BC69" s="423"/>
      <c r="BD69" s="423"/>
      <c r="BE69" s="423"/>
      <c r="BF69" s="423"/>
      <c r="BG69" s="423"/>
      <c r="BH69" s="424"/>
      <c r="BI69" s="423"/>
    </row>
    <row r="70" spans="1:68" ht="13.5" customHeight="1">
      <c r="B70" s="33"/>
      <c r="C70" s="422"/>
      <c r="D70" s="422"/>
      <c r="E70" s="422"/>
      <c r="F70" s="422"/>
      <c r="G70" s="422"/>
      <c r="H70" s="422"/>
      <c r="I70" s="422"/>
      <c r="J70" s="422"/>
      <c r="K70" s="422"/>
      <c r="L70" s="422"/>
      <c r="M70" s="422"/>
      <c r="N70" s="422"/>
      <c r="O70" s="422"/>
      <c r="P70" s="422"/>
      <c r="Q70" s="422"/>
      <c r="R70" s="422"/>
      <c r="S70" s="422"/>
      <c r="T70" s="422"/>
      <c r="U70" s="422"/>
      <c r="V70" s="422"/>
      <c r="W70" s="422"/>
      <c r="X70" s="422"/>
      <c r="Y70" s="422"/>
      <c r="Z70" s="422"/>
      <c r="AA70" s="422"/>
      <c r="AB70" s="422"/>
      <c r="AC70" s="422"/>
      <c r="AD70" s="422"/>
      <c r="AE70" s="422"/>
      <c r="AF70" s="422"/>
      <c r="AG70" s="422"/>
      <c r="AH70" s="422"/>
      <c r="AI70" s="423"/>
      <c r="AJ70" s="423"/>
      <c r="AK70" s="423"/>
      <c r="AL70" s="423"/>
      <c r="AM70" s="423"/>
      <c r="AN70" s="423"/>
      <c r="AO70" s="423"/>
      <c r="AP70" s="423"/>
      <c r="AQ70" s="423"/>
      <c r="AR70" s="423"/>
      <c r="AS70" s="423"/>
      <c r="AT70" s="423"/>
      <c r="AU70" s="423"/>
      <c r="AV70" s="423"/>
      <c r="BE70" s="423"/>
      <c r="BF70" s="423"/>
      <c r="BG70" s="423"/>
      <c r="BH70" s="424"/>
      <c r="BI70" s="423"/>
    </row>
    <row r="71" spans="1:68" s="183" customFormat="1" ht="19.5" customHeight="1">
      <c r="A71" s="197"/>
      <c r="B71" s="425"/>
      <c r="D71" s="426" t="s">
        <v>575</v>
      </c>
      <c r="E71" s="427"/>
      <c r="F71" s="427"/>
      <c r="H71" s="427"/>
      <c r="I71" s="428"/>
      <c r="J71" s="428"/>
      <c r="K71" s="428"/>
      <c r="L71" s="428"/>
      <c r="M71" s="1202"/>
      <c r="N71" s="1202"/>
      <c r="O71" s="1202"/>
      <c r="P71" s="1202"/>
      <c r="Q71" s="1202"/>
      <c r="R71" s="1202"/>
      <c r="S71" s="1202"/>
      <c r="T71" s="1202"/>
      <c r="U71" s="1125" t="s">
        <v>576</v>
      </c>
      <c r="V71" s="422"/>
      <c r="X71" s="422"/>
      <c r="Y71" s="422"/>
      <c r="Z71" s="422"/>
      <c r="AA71" s="422"/>
      <c r="AB71" s="422"/>
      <c r="AC71" s="422"/>
      <c r="AD71" s="422"/>
      <c r="AE71" s="422"/>
      <c r="AF71" s="422"/>
      <c r="AG71" s="422"/>
      <c r="AH71" s="422"/>
      <c r="AI71" s="429"/>
      <c r="AJ71" s="429"/>
      <c r="AK71" s="429"/>
      <c r="AL71" s="429"/>
      <c r="AM71" s="429"/>
      <c r="AN71" s="429"/>
      <c r="AO71" s="429"/>
      <c r="AP71" s="429"/>
      <c r="AQ71" s="429"/>
      <c r="AR71" s="429"/>
      <c r="AS71" s="429"/>
      <c r="AT71" s="429"/>
      <c r="AU71" s="430" t="s">
        <v>577</v>
      </c>
      <c r="AV71" s="431"/>
      <c r="AW71" s="432"/>
      <c r="AX71" s="432"/>
      <c r="AY71" s="432"/>
      <c r="AZ71" s="432"/>
      <c r="BA71" s="432"/>
      <c r="BB71" s="432"/>
      <c r="BC71" s="432"/>
      <c r="BD71" s="432"/>
      <c r="BE71" s="423"/>
      <c r="BF71" s="423"/>
      <c r="BG71" s="423"/>
      <c r="BH71" s="433"/>
      <c r="BI71" s="434"/>
    </row>
    <row r="72" spans="1:68" ht="12" customHeight="1" thickBot="1">
      <c r="B72" s="33"/>
      <c r="C72" s="422"/>
      <c r="D72" s="1203"/>
      <c r="E72" s="1203"/>
      <c r="F72" s="1203"/>
      <c r="G72" s="1203"/>
      <c r="H72" s="1203"/>
      <c r="I72" s="1204"/>
      <c r="J72" s="1204"/>
      <c r="K72" s="1204"/>
      <c r="L72" s="1204"/>
      <c r="M72" s="1204"/>
      <c r="N72" s="1204"/>
      <c r="O72" s="1204"/>
      <c r="P72" s="1204"/>
      <c r="Q72" s="1204"/>
      <c r="R72" s="1204"/>
      <c r="S72" s="1204"/>
      <c r="T72" s="1204"/>
      <c r="U72" s="422"/>
      <c r="V72" s="422"/>
      <c r="W72" s="422"/>
      <c r="X72" s="422"/>
      <c r="Y72" s="422"/>
      <c r="Z72" s="422"/>
      <c r="AA72" s="422"/>
      <c r="AB72" s="422"/>
      <c r="AC72" s="422"/>
      <c r="AD72" s="422"/>
      <c r="AE72" s="422"/>
      <c r="AF72" s="422"/>
      <c r="AG72" s="422"/>
      <c r="AH72" s="422"/>
      <c r="AI72" s="429"/>
      <c r="AJ72" s="429"/>
      <c r="AK72" s="429"/>
      <c r="AL72" s="429"/>
      <c r="AM72" s="429"/>
      <c r="AN72" s="429"/>
      <c r="AO72" s="429"/>
      <c r="AP72" s="429"/>
      <c r="AQ72" s="429"/>
      <c r="AR72" s="429"/>
      <c r="AS72" s="429"/>
      <c r="AT72" s="429"/>
      <c r="AW72" s="432"/>
      <c r="AX72" s="432"/>
      <c r="AY72" s="432"/>
      <c r="AZ72" s="432"/>
      <c r="BA72" s="432"/>
      <c r="BB72" s="432"/>
      <c r="BC72" s="432"/>
      <c r="BD72" s="432"/>
      <c r="BE72" s="423"/>
      <c r="BF72" s="423"/>
      <c r="BG72" s="423"/>
      <c r="BH72" s="424"/>
      <c r="BI72" s="423"/>
    </row>
    <row r="73" spans="1:68" ht="19.5" customHeight="1">
      <c r="B73" s="33"/>
      <c r="D73" s="435" t="str">
        <f>+IF(K161=$BL$35,$BL$35,+IF(K161&lt;80%,"C",+IF(K161&lt;90%,"B","A")))</f>
        <v>B</v>
      </c>
      <c r="E73" s="436" t="s">
        <v>567</v>
      </c>
      <c r="F73" s="437"/>
      <c r="G73" s="437"/>
      <c r="H73" s="437"/>
      <c r="I73" s="437"/>
      <c r="J73" s="437"/>
      <c r="K73" s="437"/>
      <c r="L73" s="437"/>
      <c r="M73" s="438"/>
      <c r="N73" s="438"/>
      <c r="O73" s="439"/>
      <c r="P73" s="439"/>
      <c r="Q73" s="439"/>
      <c r="R73" s="440"/>
      <c r="T73" s="422"/>
      <c r="U73" s="422"/>
      <c r="V73" s="422"/>
      <c r="W73" s="422"/>
      <c r="X73" s="422"/>
      <c r="Y73" s="422"/>
      <c r="Z73" s="422"/>
      <c r="AA73" s="422"/>
      <c r="AB73" s="422"/>
      <c r="AC73" s="422"/>
      <c r="AD73" s="422"/>
      <c r="AE73" s="422"/>
      <c r="AF73" s="422"/>
      <c r="AG73" s="422"/>
      <c r="AH73" s="422"/>
      <c r="AI73" s="429"/>
      <c r="AJ73" s="429"/>
      <c r="AK73" s="429"/>
      <c r="AL73" s="429"/>
      <c r="AM73" s="429"/>
      <c r="AN73" s="429"/>
      <c r="AO73" s="429"/>
      <c r="AP73" s="429"/>
      <c r="AQ73" s="429"/>
      <c r="AR73" s="429"/>
      <c r="AS73" s="429"/>
      <c r="AT73" s="429"/>
      <c r="AU73" s="423"/>
      <c r="AV73" s="423"/>
      <c r="AW73" s="432"/>
      <c r="AX73" s="432"/>
      <c r="AY73" s="432"/>
      <c r="AZ73" s="432"/>
      <c r="BA73" s="432"/>
      <c r="BB73" s="432"/>
      <c r="BC73" s="432"/>
      <c r="BD73" s="432"/>
      <c r="BE73" s="423"/>
      <c r="BF73" s="423"/>
      <c r="BG73" s="423"/>
      <c r="BH73" s="424"/>
      <c r="BI73" s="423"/>
    </row>
    <row r="74" spans="1:68" ht="18">
      <c r="B74" s="33"/>
      <c r="D74" s="441" t="str">
        <f>+E158</f>
        <v>B</v>
      </c>
      <c r="E74" s="442" t="s">
        <v>568</v>
      </c>
      <c r="F74" s="443"/>
      <c r="G74" s="443"/>
      <c r="H74" s="443"/>
      <c r="I74" s="443"/>
      <c r="J74" s="443"/>
      <c r="K74" s="443"/>
      <c r="L74" s="443"/>
      <c r="M74" s="218"/>
      <c r="N74" s="218"/>
      <c r="O74" s="444"/>
      <c r="P74" s="444"/>
      <c r="Q74" s="444"/>
      <c r="R74" s="445"/>
      <c r="T74" s="1310" t="s">
        <v>673</v>
      </c>
      <c r="U74" s="1310"/>
      <c r="V74" s="1310"/>
      <c r="W74" s="1310" t="s">
        <v>671</v>
      </c>
      <c r="X74" s="1310"/>
      <c r="Y74" s="1310"/>
      <c r="Z74" s="1310"/>
      <c r="AA74" s="1310"/>
      <c r="AB74" s="1291" t="s">
        <v>1097</v>
      </c>
      <c r="AC74" s="1291"/>
      <c r="AD74" s="1291" t="s">
        <v>674</v>
      </c>
      <c r="AE74" s="1291" t="e">
        <v>#N/A</v>
      </c>
      <c r="AF74" s="1291" t="e">
        <v>#N/A</v>
      </c>
      <c r="AG74" s="422"/>
      <c r="AH74" s="422"/>
      <c r="AI74" s="211"/>
      <c r="AJ74" s="211"/>
      <c r="AK74" s="211"/>
      <c r="AL74" s="211"/>
      <c r="AM74" s="422"/>
      <c r="AN74" s="422"/>
      <c r="AO74" s="422"/>
      <c r="AP74" s="422"/>
      <c r="AS74" s="430"/>
      <c r="AT74" s="430"/>
      <c r="AU74" s="430"/>
      <c r="AV74" s="430"/>
      <c r="AW74" s="430"/>
      <c r="AX74" s="430"/>
      <c r="AY74" s="430"/>
      <c r="AZ74" s="430"/>
      <c r="BA74" s="430"/>
      <c r="BB74" s="430"/>
      <c r="BC74" s="430"/>
      <c r="BD74" s="423"/>
      <c r="BE74" s="446"/>
      <c r="BF74" s="423"/>
      <c r="BG74" s="423"/>
      <c r="BH74" s="424"/>
      <c r="BI74" s="423"/>
    </row>
    <row r="75" spans="1:68" ht="16.5" thickBot="1">
      <c r="B75" s="33"/>
      <c r="D75" s="447" t="str">
        <f>IF(COUNTIF(A8:A66,BL65)=16,BL65,+IF(COUNTIF((A8:A66),"C")&gt;=1,"C",+IF(+COUNTIF((A8:A66),"B")&gt;=1,"B","A")))</f>
        <v>A</v>
      </c>
      <c r="E75" s="442" t="s">
        <v>569</v>
      </c>
      <c r="F75" s="443"/>
      <c r="G75" s="443"/>
      <c r="H75" s="443"/>
      <c r="I75" s="443"/>
      <c r="J75" s="443"/>
      <c r="K75" s="443"/>
      <c r="L75" s="443"/>
      <c r="M75" s="218"/>
      <c r="N75" s="218"/>
      <c r="O75" s="444"/>
      <c r="P75" s="444"/>
      <c r="Q75" s="444"/>
      <c r="R75" s="445"/>
      <c r="T75" s="1310"/>
      <c r="U75" s="1310"/>
      <c r="V75" s="1310"/>
      <c r="W75" s="1310"/>
      <c r="X75" s="1310"/>
      <c r="Y75" s="1310"/>
      <c r="Z75" s="1310"/>
      <c r="AA75" s="1310"/>
      <c r="AB75" s="1291"/>
      <c r="AC75" s="1291"/>
      <c r="AD75" s="1311" t="e">
        <v>#N/A</v>
      </c>
      <c r="AE75" s="1311" t="e">
        <v>#N/A</v>
      </c>
      <c r="AF75" s="1311" t="e">
        <v>#N/A</v>
      </c>
      <c r="AG75" s="422"/>
      <c r="AH75" s="422"/>
      <c r="AI75" s="448"/>
      <c r="AJ75" s="448"/>
      <c r="AK75" s="448"/>
      <c r="AL75" s="1221" t="s">
        <v>565</v>
      </c>
      <c r="AM75" s="1221" t="e">
        <v>#N/A</v>
      </c>
      <c r="AN75" s="1221" t="e">
        <v>#N/A</v>
      </c>
      <c r="AO75" s="1221" t="e">
        <v>#N/A</v>
      </c>
      <c r="AP75" s="1221" t="e">
        <v>#N/A</v>
      </c>
      <c r="AQ75" s="1221" t="e">
        <v>#N/A</v>
      </c>
      <c r="AR75" s="1221" t="e">
        <v>#N/A</v>
      </c>
      <c r="AS75" s="1221" t="e">
        <v>#N/A</v>
      </c>
      <c r="AT75" s="1221" t="e">
        <v>#N/A</v>
      </c>
      <c r="AU75" s="1221" t="e">
        <v>#N/A</v>
      </c>
      <c r="AV75" s="1221" t="e">
        <v>#N/A</v>
      </c>
      <c r="AW75" s="1221" t="e">
        <v>#N/A</v>
      </c>
      <c r="AX75" s="1221" t="e">
        <v>#N/A</v>
      </c>
      <c r="AY75" s="1222">
        <f>SUM(BP8,CB14,CB22,BP29,BP59,BP66)</f>
        <v>496.68999999999994</v>
      </c>
      <c r="AZ75" s="1222"/>
      <c r="BA75" s="565"/>
      <c r="BB75" s="1205" t="s">
        <v>439</v>
      </c>
      <c r="BC75" s="1205"/>
      <c r="BD75" s="1205"/>
      <c r="BE75" s="1205" t="str">
        <f>AD74</f>
        <v>Rating</v>
      </c>
      <c r="BF75" s="1205"/>
      <c r="BG75" s="449"/>
      <c r="BH75" s="424"/>
      <c r="BI75" s="423"/>
    </row>
    <row r="76" spans="1:68" ht="15.75" customHeight="1">
      <c r="B76" s="33"/>
      <c r="D76" s="441" t="str">
        <f>+AD164</f>
        <v>A</v>
      </c>
      <c r="E76" s="442" t="s">
        <v>640</v>
      </c>
      <c r="F76" s="443"/>
      <c r="G76" s="443"/>
      <c r="H76" s="443"/>
      <c r="I76" s="443"/>
      <c r="J76" s="443"/>
      <c r="K76" s="443"/>
      <c r="L76" s="443"/>
      <c r="M76" s="218"/>
      <c r="N76" s="218"/>
      <c r="O76" s="444"/>
      <c r="P76" s="444"/>
      <c r="Q76" s="444"/>
      <c r="R76" s="445"/>
      <c r="T76" s="1290" t="str">
        <f>IF('Input Form'!C$53="X",'Input Form'!D$38&amp;" ","")&amp;IF('Input Form'!C$54="X",'Input Form'!$D$39&amp;" ","")&amp;IF('Input Form'!C$55="X",'Input Form'!$D$40&amp;" ","")&amp;IF('Input Form'!C$56="X",'Input Form'!$D$41&amp;" ","")&amp;IF('Input Form'!C$57="X",'Input Form'!$D$42&amp;" ","")&amp;IF('Input Form'!C$58="X",'Input Form'!$D$43&amp;" ","")&amp;IF('Input Form'!C$59="X",'Input Form'!$D$44&amp;" ","")&amp;IF('Input Form'!C$60="X",'Input Form'!$D$45&amp;" ","")&amp;IF('Input Form'!C$61="X",'Input Form'!$D$46&amp;" ","")&amp;IF('Input Form'!C$62="X",'Input Form'!$D$47,"")</f>
        <v/>
      </c>
      <c r="U76" s="1290"/>
      <c r="V76" s="1290"/>
      <c r="W76" s="1291">
        <f>'Input Form'!C34</f>
        <v>0</v>
      </c>
      <c r="X76" s="1291"/>
      <c r="Y76" s="1291"/>
      <c r="Z76" s="1291"/>
      <c r="AA76" s="1291"/>
      <c r="AB76" s="1292" t="e">
        <f>PrGr1!BB62</f>
        <v>#REF!</v>
      </c>
      <c r="AC76" s="1292"/>
      <c r="AD76" s="1293" t="e">
        <f>PrGr1!BE62</f>
        <v>#REF!</v>
      </c>
      <c r="AE76" s="1293"/>
      <c r="AF76" s="1294"/>
      <c r="AG76" s="422"/>
      <c r="AH76" s="422"/>
      <c r="AI76" s="448"/>
      <c r="AJ76" s="448"/>
      <c r="AK76" s="448"/>
      <c r="AL76" s="1221" t="e">
        <v>#N/A</v>
      </c>
      <c r="AM76" s="1221" t="e">
        <v>#N/A</v>
      </c>
      <c r="AN76" s="1221" t="e">
        <v>#N/A</v>
      </c>
      <c r="AO76" s="1221" t="e">
        <v>#N/A</v>
      </c>
      <c r="AP76" s="1221" t="e">
        <v>#N/A</v>
      </c>
      <c r="AQ76" s="1221" t="e">
        <v>#N/A</v>
      </c>
      <c r="AR76" s="1221" t="e">
        <v>#N/A</v>
      </c>
      <c r="AS76" s="1221" t="e">
        <v>#N/A</v>
      </c>
      <c r="AT76" s="1221" t="e">
        <v>#N/A</v>
      </c>
      <c r="AU76" s="1221" t="e">
        <v>#N/A</v>
      </c>
      <c r="AV76" s="1221" t="e">
        <v>#N/A</v>
      </c>
      <c r="AW76" s="1221" t="e">
        <v>#N/A</v>
      </c>
      <c r="AX76" s="1221" t="e">
        <v>#N/A</v>
      </c>
      <c r="AY76" s="1222"/>
      <c r="AZ76" s="1222"/>
      <c r="BA76" s="565"/>
      <c r="BB76" s="1295">
        <f>IF(ISERROR(AVERAGE(epm,epp,epr,ez,epg,ek)),$BL$35,ROUND(AY75/AY78,2))</f>
        <v>0.87</v>
      </c>
      <c r="BC76" s="1296"/>
      <c r="BD76" s="1297"/>
      <c r="BE76" s="1304" t="str">
        <f>+IF(BB76=$BL$35,$BL$35,+D79)</f>
        <v>B</v>
      </c>
      <c r="BF76" s="1305"/>
      <c r="BG76" s="449"/>
      <c r="BH76" s="424"/>
      <c r="BI76" s="423"/>
    </row>
    <row r="77" spans="1:68" ht="16.5" customHeight="1">
      <c r="B77" s="33"/>
      <c r="D77" s="441" t="str">
        <f>+AD179</f>
        <v>B</v>
      </c>
      <c r="E77" s="442" t="s">
        <v>570</v>
      </c>
      <c r="F77" s="443"/>
      <c r="G77" s="443"/>
      <c r="H77" s="443"/>
      <c r="I77" s="443"/>
      <c r="J77" s="443"/>
      <c r="K77" s="443"/>
      <c r="L77" s="443"/>
      <c r="M77" s="218"/>
      <c r="N77" s="218"/>
      <c r="O77" s="444"/>
      <c r="P77" s="444"/>
      <c r="Q77" s="444"/>
      <c r="R77" s="445"/>
      <c r="T77" s="1290" t="str">
        <f>IF('Input Form'!D$53="X",'Input Form'!D$38&amp;" ","")&amp;IF('Input Form'!D$54="X",'Input Form'!$D$39&amp;" ","")&amp;IF('Input Form'!D$55="X",'Input Form'!$D$40&amp;" ","")&amp;IF('Input Form'!D$56="X",'Input Form'!$D$41&amp;" ","")&amp;IF('Input Form'!D$57="X",'Input Form'!$D$42&amp;" ","")&amp;IF('Input Form'!D$58="X",'Input Form'!$D$43&amp;" ","")&amp;IF('Input Form'!D$59="X",'Input Form'!$D$44&amp;" ","")&amp;IF('Input Form'!D$60="X",'Input Form'!$D$45&amp;" ","")&amp;IF('Input Form'!D$61="X",'Input Form'!$D$46&amp;" ","")&amp;IF('Input Form'!D$62="X",'Input Form'!$D$47,"")</f>
        <v/>
      </c>
      <c r="U77" s="1290"/>
      <c r="V77" s="1290"/>
      <c r="W77" s="1291">
        <f>'Input Form'!D34</f>
        <v>0</v>
      </c>
      <c r="X77" s="1291"/>
      <c r="Y77" s="1291"/>
      <c r="Z77" s="1291"/>
      <c r="AA77" s="1291"/>
      <c r="AB77" s="1292" t="e">
        <f>PrGr2!BB62</f>
        <v>#REF!</v>
      </c>
      <c r="AC77" s="1292"/>
      <c r="AD77" s="1293" t="e">
        <f>PrGr2!BE62</f>
        <v>#REF!</v>
      </c>
      <c r="AE77" s="1293"/>
      <c r="AF77" s="1294"/>
      <c r="AG77" s="422"/>
      <c r="AH77" s="422"/>
      <c r="AI77" s="448"/>
      <c r="AJ77" s="448"/>
      <c r="AK77" s="448"/>
      <c r="AL77" s="355" t="s">
        <v>443</v>
      </c>
      <c r="AM77" s="355"/>
      <c r="AN77" s="355"/>
      <c r="AO77" s="355"/>
      <c r="AP77" s="355"/>
      <c r="AQ77" s="355"/>
      <c r="AR77" s="355"/>
      <c r="AS77" s="355"/>
      <c r="AT77" s="355"/>
      <c r="AU77" s="355"/>
      <c r="AV77" s="355"/>
      <c r="AW77" s="355"/>
      <c r="AX77" s="355"/>
      <c r="AY77" s="355"/>
      <c r="AZ77" s="355"/>
      <c r="BA77" s="355"/>
      <c r="BB77" s="1298"/>
      <c r="BC77" s="1299"/>
      <c r="BD77" s="1300"/>
      <c r="BE77" s="1306"/>
      <c r="BF77" s="1307"/>
      <c r="BG77" s="450"/>
      <c r="BH77" s="424"/>
      <c r="BI77" s="423"/>
    </row>
    <row r="78" spans="1:68" ht="16.5" customHeight="1" thickBot="1">
      <c r="B78" s="33"/>
      <c r="D78" s="441" t="str">
        <f>++IF(K161=$BL$35,$BL$35,+IF(MIN(epm,ede,epe,elm,ek,epg)&lt;70%,"C",+IF(MIN(epm,ede,epe,elm,ek,epg)&lt;80%,"B","A")))</f>
        <v>B</v>
      </c>
      <c r="E78" s="442" t="s">
        <v>571</v>
      </c>
      <c r="F78" s="443"/>
      <c r="G78" s="443"/>
      <c r="H78" s="443"/>
      <c r="I78" s="443"/>
      <c r="J78" s="443"/>
      <c r="K78" s="443"/>
      <c r="L78" s="443"/>
      <c r="M78" s="218"/>
      <c r="N78" s="218"/>
      <c r="O78" s="444"/>
      <c r="P78" s="444"/>
      <c r="Q78" s="444"/>
      <c r="R78" s="445"/>
      <c r="T78" s="1290" t="str">
        <f>IF('Input Form'!E$53="X",'Input Form'!D$38&amp;" ","")&amp;IF('Input Form'!E$54="X",'Input Form'!$D$39&amp;" ","")&amp;IF('Input Form'!E$55="X",'Input Form'!$D$40&amp;" ","")&amp;IF('Input Form'!E$56="X",'Input Form'!$D$41&amp;" ","")&amp;IF('Input Form'!E$57="X",'Input Form'!$D$42&amp;" ","")&amp;IF('Input Form'!E$58="X",'Input Form'!$D$43&amp;" ","")&amp;IF('Input Form'!E$59="X",'Input Form'!$D$44&amp;" ","")&amp;IF('Input Form'!E$60="X",'Input Form'!$D$45&amp;" ","")&amp;IF('Input Form'!E$61="X",'Input Form'!$D$46&amp;" ","")&amp;IF('Input Form'!E$62="X",'Input Form'!$D$47,"")</f>
        <v/>
      </c>
      <c r="U78" s="1290"/>
      <c r="V78" s="1290"/>
      <c r="W78" s="1291">
        <f>'Input Form'!E34</f>
        <v>0</v>
      </c>
      <c r="X78" s="1291"/>
      <c r="Y78" s="1291"/>
      <c r="Z78" s="1291"/>
      <c r="AA78" s="1291"/>
      <c r="AB78" s="1292" t="e">
        <f>PrGr3!BB62</f>
        <v>#REF!</v>
      </c>
      <c r="AC78" s="1292"/>
      <c r="AD78" s="1293" t="e">
        <f>PrGr3!BE62</f>
        <v>#REF!</v>
      </c>
      <c r="AE78" s="1293"/>
      <c r="AF78" s="1294"/>
      <c r="AG78" s="422"/>
      <c r="AH78" s="422"/>
      <c r="AI78" s="448"/>
      <c r="AJ78" s="448"/>
      <c r="AK78" s="448"/>
      <c r="AL78" s="1221" t="s">
        <v>566</v>
      </c>
      <c r="AM78" s="1221" t="e">
        <v>#N/A</v>
      </c>
      <c r="AN78" s="1221" t="e">
        <v>#N/A</v>
      </c>
      <c r="AO78" s="1221" t="e">
        <v>#N/A</v>
      </c>
      <c r="AP78" s="1221" t="e">
        <v>#N/A</v>
      </c>
      <c r="AQ78" s="1221" t="e">
        <v>#N/A</v>
      </c>
      <c r="AR78" s="1221" t="e">
        <v>#N/A</v>
      </c>
      <c r="AS78" s="1221" t="e">
        <v>#N/A</v>
      </c>
      <c r="AT78" s="1221" t="e">
        <v>#N/A</v>
      </c>
      <c r="AU78" s="1221" t="e">
        <v>#N/A</v>
      </c>
      <c r="AV78" s="1221" t="e">
        <v>#N/A</v>
      </c>
      <c r="AW78" s="1221" t="e">
        <v>#N/A</v>
      </c>
      <c r="AX78" s="1221" t="e">
        <v>#N/A</v>
      </c>
      <c r="AY78" s="1222">
        <f>SUM(BO8,CA14,CA22,BO29,BO59,BO66)</f>
        <v>570</v>
      </c>
      <c r="AZ78" s="1222"/>
      <c r="BA78" s="565"/>
      <c r="BB78" s="1301"/>
      <c r="BC78" s="1302"/>
      <c r="BD78" s="1303"/>
      <c r="BE78" s="1308"/>
      <c r="BF78" s="1309"/>
      <c r="BG78" s="450"/>
      <c r="BH78" s="424"/>
      <c r="BI78" s="423"/>
    </row>
    <row r="79" spans="1:68" ht="16.5" customHeight="1" thickBot="1">
      <c r="B79" s="33"/>
      <c r="D79" s="451" t="str">
        <f>IF(COUNTIF(D73:D78,$BL$35)=6,$BL$35,IF(COUNTIF(D73:D78,"C")&gt;=1,"C",IF(COUNTIF(D73:D78,"B")&gt;=1,"B","A")))</f>
        <v>B</v>
      </c>
      <c r="E79" s="452" t="str">
        <f>AU71</f>
        <v>Overall compliance EG:</v>
      </c>
      <c r="F79" s="453"/>
      <c r="G79" s="453"/>
      <c r="H79" s="453"/>
      <c r="I79" s="453"/>
      <c r="J79" s="453"/>
      <c r="K79" s="453"/>
      <c r="L79" s="453"/>
      <c r="M79" s="454"/>
      <c r="N79" s="454"/>
      <c r="O79" s="455"/>
      <c r="P79" s="455"/>
      <c r="Q79" s="455"/>
      <c r="R79" s="456"/>
      <c r="T79" s="1290" t="str">
        <f>IF('Input Form'!F$53="X",'Input Form'!D$38&amp;" ","")&amp;IF('Input Form'!F$54="X",'Input Form'!$D$39&amp;" ","")&amp;IF('Input Form'!F$55="X",'Input Form'!$D$40&amp;" ","")&amp;IF('Input Form'!F$56="X",'Input Form'!$D$41&amp;" ","")&amp;IF('Input Form'!F$57="X",'Input Form'!$D$42&amp;" ","")&amp;IF('Input Form'!F$58="X",'Input Form'!$D$43&amp;" ","")&amp;IF('Input Form'!F$59="X",'Input Form'!$D$44&amp;" ","")&amp;IF('Input Form'!F$60="X",'Input Form'!$D$45&amp;" ","")&amp;IF('Input Form'!F$61="X",'Input Form'!$D$46&amp;" ","")&amp;IF('Input Form'!F$62="X",'Input Form'!$D$47,"")</f>
        <v/>
      </c>
      <c r="U79" s="1290"/>
      <c r="V79" s="1290"/>
      <c r="W79" s="1291">
        <f>'Input Form'!F34</f>
        <v>0</v>
      </c>
      <c r="X79" s="1291"/>
      <c r="Y79" s="1291"/>
      <c r="Z79" s="1291"/>
      <c r="AA79" s="1291"/>
      <c r="AB79" s="1292" t="e">
        <f>PrGr4!BB62</f>
        <v>#REF!</v>
      </c>
      <c r="AC79" s="1292"/>
      <c r="AD79" s="1293" t="e">
        <f>PrGr4!BE62</f>
        <v>#REF!</v>
      </c>
      <c r="AE79" s="1293"/>
      <c r="AF79" s="1294"/>
      <c r="AG79" s="422"/>
      <c r="AH79" s="422"/>
      <c r="AI79" s="448"/>
      <c r="AJ79" s="448"/>
      <c r="AK79" s="448"/>
      <c r="AL79" s="1221" t="e">
        <v>#N/A</v>
      </c>
      <c r="AM79" s="1221" t="e">
        <v>#N/A</v>
      </c>
      <c r="AN79" s="1221" t="e">
        <v>#N/A</v>
      </c>
      <c r="AO79" s="1221" t="e">
        <v>#N/A</v>
      </c>
      <c r="AP79" s="1221" t="e">
        <v>#N/A</v>
      </c>
      <c r="AQ79" s="1221" t="e">
        <v>#N/A</v>
      </c>
      <c r="AR79" s="1221" t="e">
        <v>#N/A</v>
      </c>
      <c r="AS79" s="1221" t="e">
        <v>#N/A</v>
      </c>
      <c r="AT79" s="1221" t="e">
        <v>#N/A</v>
      </c>
      <c r="AU79" s="1221" t="e">
        <v>#N/A</v>
      </c>
      <c r="AV79" s="1221" t="e">
        <v>#N/A</v>
      </c>
      <c r="AW79" s="1221" t="e">
        <v>#N/A</v>
      </c>
      <c r="AX79" s="1221" t="e">
        <v>#N/A</v>
      </c>
      <c r="AY79" s="1222"/>
      <c r="AZ79" s="1222"/>
      <c r="BA79" s="565"/>
      <c r="BB79" s="355"/>
      <c r="BG79" s="450"/>
      <c r="BH79" s="424"/>
      <c r="BI79" s="423"/>
    </row>
    <row r="80" spans="1:68" ht="14.25" customHeight="1">
      <c r="B80" s="33"/>
      <c r="C80" s="22"/>
      <c r="D80" s="22"/>
      <c r="E80" s="22"/>
      <c r="F80" s="22"/>
      <c r="G80" s="22"/>
      <c r="H80" s="22"/>
      <c r="I80" s="22"/>
      <c r="J80" s="22"/>
      <c r="K80" s="22"/>
      <c r="L80" s="22"/>
      <c r="M80" s="22"/>
      <c r="N80" s="22"/>
      <c r="O80" s="149"/>
      <c r="P80" s="22"/>
      <c r="Q80" s="22"/>
      <c r="R80" s="22"/>
      <c r="S80" s="22"/>
      <c r="T80" s="22"/>
      <c r="U80" s="22"/>
      <c r="V80" s="754"/>
      <c r="W80" s="754"/>
      <c r="X80" s="754"/>
      <c r="Y80" s="446"/>
      <c r="Z80" s="174"/>
      <c r="AA80" s="174"/>
      <c r="AB80" s="22"/>
      <c r="AC80" s="22"/>
      <c r="AD80" s="22"/>
      <c r="AE80" s="459"/>
      <c r="AF80" s="434"/>
      <c r="AG80" s="755"/>
      <c r="AH80" s="434"/>
      <c r="AI80" s="175"/>
      <c r="AJ80" s="175"/>
      <c r="AK80" s="175"/>
      <c r="AL80" s="175"/>
      <c r="AM80" s="175"/>
      <c r="AN80" s="175"/>
      <c r="AO80" s="175"/>
      <c r="AP80" s="175"/>
      <c r="AQ80" s="434"/>
      <c r="AR80" s="174"/>
      <c r="AS80" s="174"/>
      <c r="AT80" s="754"/>
      <c r="AX80" s="457"/>
      <c r="AY80" s="457"/>
      <c r="BF80" s="457"/>
      <c r="BG80" s="457"/>
      <c r="BH80" s="458"/>
      <c r="BI80" s="22"/>
    </row>
    <row r="81" spans="1:61" ht="15" customHeight="1">
      <c r="B81" s="33"/>
      <c r="C81" s="460" t="s">
        <v>572</v>
      </c>
      <c r="D81" s="423"/>
      <c r="E81" s="423"/>
      <c r="F81" s="423"/>
      <c r="G81" s="423"/>
      <c r="H81" s="423"/>
      <c r="I81" s="22"/>
      <c r="J81" s="423"/>
      <c r="K81" s="423"/>
      <c r="L81" s="423"/>
      <c r="M81" s="423"/>
      <c r="N81" s="422"/>
      <c r="O81" s="461"/>
      <c r="P81" s="422"/>
      <c r="Q81" s="422"/>
      <c r="R81" s="422"/>
      <c r="S81" s="218"/>
      <c r="T81" s="218"/>
      <c r="U81" s="422"/>
      <c r="V81" s="422"/>
      <c r="X81" s="422"/>
      <c r="Y81" s="422"/>
      <c r="Z81" s="422"/>
      <c r="AA81" s="423"/>
      <c r="AB81" s="423"/>
      <c r="AC81" s="423"/>
      <c r="AD81" s="423"/>
      <c r="AG81" s="460" t="s">
        <v>573</v>
      </c>
      <c r="AX81" s="457"/>
      <c r="AY81" s="457"/>
      <c r="AZ81" s="457"/>
      <c r="BA81" s="457"/>
      <c r="BB81" s="457"/>
      <c r="BC81" s="457"/>
      <c r="BD81" s="457"/>
      <c r="BE81" s="457"/>
      <c r="BF81" s="457"/>
      <c r="BG81" s="457"/>
      <c r="BH81" s="424"/>
      <c r="BI81" s="423"/>
    </row>
    <row r="82" spans="1:61" ht="4.5" customHeight="1" thickBot="1">
      <c r="B82" s="79"/>
      <c r="C82" s="462"/>
      <c r="D82" s="463"/>
      <c r="E82" s="463"/>
      <c r="F82" s="463"/>
      <c r="G82" s="463"/>
      <c r="H82" s="463"/>
      <c r="I82" s="463"/>
      <c r="J82" s="463"/>
      <c r="K82" s="463"/>
      <c r="L82" s="463"/>
      <c r="M82" s="463"/>
      <c r="N82" s="463"/>
      <c r="O82" s="463"/>
      <c r="P82" s="463"/>
      <c r="Q82" s="463"/>
      <c r="R82" s="463"/>
      <c r="S82" s="463"/>
      <c r="T82" s="463"/>
      <c r="U82" s="463"/>
      <c r="V82" s="463"/>
      <c r="W82" s="463"/>
      <c r="X82" s="463"/>
      <c r="Y82" s="463"/>
      <c r="Z82" s="463"/>
      <c r="AA82" s="463"/>
      <c r="AB82" s="463"/>
      <c r="AC82" s="463"/>
      <c r="AD82" s="463"/>
      <c r="AE82" s="463"/>
      <c r="AF82" s="463"/>
      <c r="AG82" s="463"/>
      <c r="AH82" s="463"/>
      <c r="AI82" s="463"/>
      <c r="AJ82" s="463"/>
      <c r="AK82" s="463"/>
      <c r="AL82" s="463"/>
      <c r="AM82" s="463"/>
      <c r="AN82" s="463"/>
      <c r="AO82" s="463"/>
      <c r="AP82" s="463"/>
      <c r="AQ82" s="463"/>
      <c r="AR82" s="463"/>
      <c r="AS82" s="463"/>
      <c r="AT82" s="463"/>
      <c r="AU82" s="463"/>
      <c r="AV82" s="463"/>
      <c r="AW82" s="463"/>
      <c r="AX82" s="463"/>
      <c r="AY82" s="463"/>
      <c r="AZ82" s="463"/>
      <c r="BA82" s="463"/>
      <c r="BB82" s="463"/>
      <c r="BC82" s="463"/>
      <c r="BD82" s="463"/>
      <c r="BE82" s="463"/>
      <c r="BF82" s="463"/>
      <c r="BG82" s="463"/>
      <c r="BH82" s="464"/>
      <c r="BI82" s="423"/>
    </row>
    <row r="83" spans="1:61" ht="10.5" customHeight="1">
      <c r="A83" s="802" t="s">
        <v>730</v>
      </c>
      <c r="C83" s="1085"/>
      <c r="D83" s="1086"/>
      <c r="E83" s="1086"/>
      <c r="F83" s="1086"/>
      <c r="G83" s="1086"/>
      <c r="H83" s="1086"/>
      <c r="I83" s="1086"/>
      <c r="J83" s="1086"/>
      <c r="K83" s="1086"/>
      <c r="L83" s="1045"/>
      <c r="M83" s="1045"/>
      <c r="N83" s="1045"/>
      <c r="O83" s="1045"/>
      <c r="P83" s="1045"/>
      <c r="Q83" s="1045"/>
      <c r="R83" s="1045"/>
      <c r="S83" s="1045"/>
      <c r="T83" s="1045"/>
      <c r="U83" s="1045"/>
      <c r="V83" s="1045"/>
      <c r="W83" s="1045"/>
      <c r="X83" s="1045"/>
      <c r="Y83" s="1045"/>
      <c r="Z83" s="1045"/>
      <c r="AA83" s="1045"/>
      <c r="AB83" s="1045"/>
      <c r="AC83" s="1045"/>
      <c r="AD83" s="1045"/>
      <c r="AE83" s="1045"/>
      <c r="AF83" s="1045"/>
      <c r="AG83" s="1045"/>
      <c r="AH83" s="1045"/>
      <c r="AI83" s="1045"/>
      <c r="AJ83" s="1045"/>
      <c r="AK83" s="1045"/>
      <c r="AL83" s="1045"/>
      <c r="AM83" s="1045"/>
      <c r="AN83" s="1045"/>
      <c r="AO83" s="1045"/>
      <c r="AP83" s="1045"/>
      <c r="AQ83" s="1045"/>
      <c r="AR83" s="1045"/>
      <c r="AS83" s="1045"/>
      <c r="AT83" s="1045"/>
      <c r="AU83" s="1045"/>
      <c r="AV83" s="1045"/>
      <c r="AW83" s="1045"/>
      <c r="AX83" s="1045"/>
      <c r="AY83" s="1045"/>
      <c r="AZ83" s="1045"/>
      <c r="BA83" s="1045"/>
      <c r="BB83" s="1045"/>
      <c r="BC83" s="1045"/>
      <c r="BD83" s="1045"/>
      <c r="BE83" s="1045"/>
      <c r="BF83" s="1045"/>
      <c r="BG83" s="1045"/>
      <c r="BH83" s="1045"/>
      <c r="BI83" s="1045"/>
    </row>
    <row r="84" spans="1:61" ht="21" customHeight="1">
      <c r="A84" s="802"/>
      <c r="T84" s="1087"/>
      <c r="U84" s="1087"/>
      <c r="V84" s="1087"/>
      <c r="W84" s="1087"/>
      <c r="X84" s="1087"/>
      <c r="Y84" s="1087"/>
      <c r="Z84" s="1087"/>
      <c r="AA84" s="1087"/>
      <c r="AB84" s="1087"/>
      <c r="AC84" s="1087"/>
      <c r="AD84" s="1087"/>
      <c r="AE84" s="1087"/>
      <c r="AF84" s="1087"/>
      <c r="AG84" s="1087"/>
      <c r="AH84" s="1087"/>
      <c r="AI84" s="1087"/>
      <c r="AJ84" s="1087"/>
      <c r="AK84" s="1087"/>
      <c r="AL84" s="1087"/>
      <c r="AM84" s="1087"/>
      <c r="AN84" s="1087"/>
      <c r="AO84" s="1087"/>
      <c r="AP84" s="1087"/>
      <c r="AQ84" s="1087"/>
      <c r="AR84" s="1087"/>
      <c r="AS84" s="1087"/>
      <c r="AT84" s="1087"/>
      <c r="AU84" s="1087"/>
      <c r="AV84" s="1087"/>
      <c r="AW84" s="1286"/>
      <c r="AX84" s="1286"/>
      <c r="AY84" s="1286"/>
      <c r="AZ84" s="1286"/>
      <c r="BA84" s="1286"/>
      <c r="BB84" s="1286"/>
      <c r="BC84" s="1286"/>
      <c r="BD84" s="1286"/>
      <c r="BE84" s="1286"/>
      <c r="BF84" s="1286"/>
      <c r="BG84" s="1286"/>
      <c r="BH84" s="1286"/>
    </row>
    <row r="85" spans="1:61" ht="138" customHeight="1">
      <c r="D85" s="256" t="s">
        <v>110</v>
      </c>
      <c r="E85" s="257" t="s">
        <v>211</v>
      </c>
      <c r="F85" s="257"/>
      <c r="G85" s="223"/>
      <c r="H85" s="257" t="s">
        <v>217</v>
      </c>
      <c r="I85" s="258" t="s">
        <v>218</v>
      </c>
      <c r="J85" s="236"/>
      <c r="K85" s="236"/>
      <c r="L85" s="236"/>
      <c r="T85" s="1087"/>
      <c r="U85" s="1087"/>
      <c r="V85" s="1087"/>
      <c r="W85" s="1087"/>
      <c r="X85" s="1087"/>
      <c r="Y85" s="1087"/>
      <c r="Z85" s="1087"/>
      <c r="AA85" s="1087"/>
      <c r="AB85" s="1087"/>
      <c r="AC85" s="1087"/>
      <c r="AD85" s="1087"/>
      <c r="AE85" s="1087"/>
      <c r="AF85" s="236"/>
      <c r="AG85" s="236"/>
      <c r="AH85" s="236"/>
      <c r="AI85" s="236"/>
      <c r="AJ85" s="236"/>
      <c r="AK85" s="236"/>
      <c r="AL85" s="236"/>
      <c r="AM85" s="1087"/>
      <c r="AN85" s="1087"/>
      <c r="AO85" s="1087"/>
      <c r="AP85" s="1087"/>
      <c r="AQ85" s="1087"/>
      <c r="AR85" s="1087"/>
      <c r="AS85" s="1087"/>
      <c r="AT85" s="1087"/>
      <c r="AU85" s="1087"/>
      <c r="AV85" s="1087"/>
      <c r="AW85" s="1286"/>
      <c r="AX85" s="1286"/>
      <c r="AY85" s="1286"/>
      <c r="AZ85" s="1286"/>
      <c r="BA85" s="1286"/>
      <c r="BB85" s="1286"/>
      <c r="BC85" s="1286"/>
      <c r="BD85" s="1286"/>
      <c r="BE85" s="1286"/>
      <c r="BF85" s="1286"/>
      <c r="BG85" s="1286"/>
      <c r="BH85" s="1286"/>
    </row>
    <row r="86" spans="1:61" ht="15.75">
      <c r="D86" s="259" t="s">
        <v>138</v>
      </c>
      <c r="I86" s="224"/>
      <c r="T86" s="1087"/>
      <c r="U86" s="1087"/>
      <c r="V86" s="1087"/>
      <c r="W86" s="1087"/>
      <c r="X86" s="1087"/>
      <c r="Y86" s="1087"/>
      <c r="Z86" s="1087"/>
      <c r="AA86" s="1087"/>
      <c r="AB86" s="1087"/>
      <c r="AC86" s="1087"/>
      <c r="AD86" s="1087"/>
      <c r="AE86" s="1087"/>
      <c r="AM86" s="1087"/>
      <c r="AN86" s="1087"/>
      <c r="AO86" s="1087"/>
      <c r="AP86" s="1087"/>
      <c r="AQ86" s="1087"/>
      <c r="AR86" s="1087"/>
      <c r="AS86" s="1087"/>
      <c r="AT86" s="1087"/>
      <c r="AU86" s="1087"/>
      <c r="AV86" s="1087"/>
      <c r="AW86" s="1287"/>
      <c r="AX86" s="1287"/>
      <c r="AY86" s="1287"/>
      <c r="AZ86" s="1287"/>
      <c r="BA86" s="1287"/>
      <c r="BB86" s="1287"/>
      <c r="BC86" s="1287"/>
      <c r="BD86" s="1287"/>
      <c r="BE86" s="1287"/>
      <c r="BF86" s="1287"/>
      <c r="BG86" s="1287"/>
      <c r="BH86" s="1287"/>
    </row>
    <row r="87" spans="1:61" ht="15">
      <c r="D87" s="260" t="s">
        <v>56</v>
      </c>
      <c r="I87" s="224"/>
      <c r="T87" s="1087"/>
      <c r="U87" s="1087"/>
      <c r="V87" s="1087"/>
      <c r="W87" s="1087"/>
      <c r="X87" s="1087"/>
      <c r="Y87" s="1087"/>
      <c r="Z87" s="1087"/>
      <c r="AA87" s="1087"/>
      <c r="AB87" s="1087"/>
      <c r="AC87" s="1087"/>
      <c r="AD87" s="1087"/>
      <c r="AE87" s="1087"/>
      <c r="AM87" s="1087"/>
      <c r="AN87" s="1087"/>
      <c r="AO87" s="1087"/>
      <c r="AP87" s="1087"/>
      <c r="AQ87" s="1087"/>
      <c r="AR87" s="1087"/>
      <c r="AS87" s="1087"/>
      <c r="AT87" s="1087"/>
      <c r="AU87" s="1087"/>
      <c r="AV87" s="1087"/>
      <c r="AW87" s="1287"/>
      <c r="AX87" s="1287"/>
      <c r="AY87" s="1287"/>
      <c r="AZ87" s="1287"/>
      <c r="BA87" s="1287"/>
      <c r="BB87" s="1287"/>
      <c r="BC87" s="1287"/>
      <c r="BD87" s="1287"/>
      <c r="BE87" s="1287"/>
      <c r="BF87" s="1287"/>
      <c r="BG87" s="1287"/>
      <c r="BH87" s="1287"/>
    </row>
    <row r="88" spans="1:61" ht="15">
      <c r="D88" s="260" t="s">
        <v>186</v>
      </c>
      <c r="I88" s="224"/>
      <c r="T88" s="1087"/>
      <c r="U88" s="1088"/>
      <c r="V88" s="1088"/>
      <c r="W88" s="1089"/>
      <c r="X88" s="1088"/>
      <c r="Y88" s="1088"/>
      <c r="Z88" s="1088"/>
      <c r="AA88" s="1088"/>
      <c r="AB88" s="1088"/>
      <c r="AC88" s="1088"/>
      <c r="AD88" s="1088"/>
      <c r="AE88" s="1088"/>
      <c r="AF88" s="1088"/>
      <c r="AG88" s="1088"/>
      <c r="AH88" s="1088"/>
      <c r="AI88" s="1088"/>
      <c r="AJ88" s="1088"/>
      <c r="AK88" s="1088"/>
      <c r="AL88" s="1088"/>
      <c r="AM88" s="1088"/>
      <c r="AN88" s="1088"/>
      <c r="AO88" s="1088"/>
      <c r="AP88" s="1088"/>
      <c r="AQ88" s="1088"/>
      <c r="AR88" s="1088"/>
      <c r="AS88" s="1088"/>
      <c r="AT88" s="1088"/>
      <c r="AU88" s="1088"/>
      <c r="AV88" s="1088"/>
      <c r="AW88" s="1286"/>
      <c r="AX88" s="1286"/>
      <c r="AY88" s="1286"/>
      <c r="AZ88" s="1286"/>
      <c r="BA88" s="1286"/>
      <c r="BB88" s="1286"/>
      <c r="BC88" s="1286"/>
      <c r="BD88" s="1286"/>
      <c r="BE88" s="1286"/>
      <c r="BF88" s="1286"/>
      <c r="BG88" s="1286"/>
      <c r="BH88" s="1286"/>
    </row>
    <row r="89" spans="1:61" ht="15">
      <c r="D89" s="260" t="s">
        <v>188</v>
      </c>
      <c r="I89" s="224"/>
      <c r="T89" s="1087"/>
      <c r="U89" s="1088"/>
      <c r="V89" s="1088"/>
      <c r="W89" s="1088"/>
      <c r="X89" s="1088"/>
      <c r="Y89" s="1088"/>
      <c r="Z89" s="1088"/>
      <c r="AA89" s="1088"/>
      <c r="AB89" s="1088"/>
      <c r="AC89" s="1088"/>
      <c r="AD89" s="1088"/>
      <c r="AE89" s="1088"/>
      <c r="AF89" s="1088"/>
      <c r="AG89" s="1088"/>
      <c r="AH89" s="1088"/>
      <c r="AI89" s="1088"/>
      <c r="AJ89" s="1088"/>
      <c r="AK89" s="1088"/>
      <c r="AL89" s="1088"/>
      <c r="AM89" s="1088"/>
      <c r="AN89" s="1088"/>
      <c r="AO89" s="1088"/>
      <c r="AP89" s="1088"/>
      <c r="AQ89" s="1088"/>
      <c r="AR89" s="1088"/>
      <c r="AS89" s="1088"/>
      <c r="AT89" s="1088"/>
      <c r="AU89" s="1088"/>
      <c r="AV89" s="1088"/>
      <c r="AW89" s="1286"/>
      <c r="AX89" s="1286"/>
      <c r="AY89" s="1286"/>
      <c r="AZ89" s="1286"/>
      <c r="BA89" s="1286"/>
      <c r="BB89" s="1286"/>
      <c r="BC89" s="1286"/>
      <c r="BD89" s="1286"/>
      <c r="BE89" s="1286"/>
      <c r="BF89" s="1286"/>
      <c r="BG89" s="1286"/>
      <c r="BH89" s="1286"/>
    </row>
    <row r="90" spans="1:61" ht="15">
      <c r="D90" s="260" t="s">
        <v>106</v>
      </c>
      <c r="I90" s="224"/>
      <c r="T90" s="1087"/>
      <c r="U90" s="1088"/>
      <c r="V90" s="1088"/>
      <c r="W90" s="1288"/>
      <c r="X90" s="1289"/>
      <c r="Y90" s="1289"/>
      <c r="Z90" s="1289"/>
      <c r="AA90" s="1289"/>
      <c r="AB90" s="1289"/>
      <c r="AC90" s="1289"/>
      <c r="AD90" s="1289"/>
      <c r="AE90" s="1289"/>
      <c r="AF90" s="1289"/>
      <c r="AG90" s="1289"/>
      <c r="AH90" s="1289"/>
      <c r="AI90" s="1289"/>
      <c r="AJ90" s="1289"/>
      <c r="AK90" s="1289"/>
      <c r="AL90" s="1289"/>
      <c r="AM90" s="1289"/>
      <c r="AN90" s="1289"/>
      <c r="AO90" s="1289"/>
      <c r="AP90" s="1289"/>
      <c r="AQ90" s="1289"/>
      <c r="AR90" s="1289"/>
      <c r="AS90" s="1289"/>
      <c r="AT90" s="1289"/>
      <c r="AU90" s="1289"/>
      <c r="AV90" s="1289"/>
      <c r="AW90" s="1286"/>
      <c r="AX90" s="1286"/>
      <c r="AY90" s="1286"/>
      <c r="AZ90" s="1286"/>
      <c r="BA90" s="1286"/>
      <c r="BB90" s="1286"/>
      <c r="BC90" s="1286"/>
      <c r="BD90" s="1286"/>
      <c r="BE90" s="1286"/>
      <c r="BF90" s="1286"/>
      <c r="BG90" s="1286"/>
      <c r="BH90" s="1286"/>
    </row>
    <row r="91" spans="1:61" ht="15">
      <c r="D91" s="260" t="s">
        <v>190</v>
      </c>
      <c r="E91" s="23">
        <f>H8</f>
        <v>8</v>
      </c>
      <c r="I91" s="224"/>
      <c r="T91" s="1087"/>
      <c r="U91" s="1088"/>
      <c r="V91" s="1088"/>
      <c r="W91" s="1289"/>
      <c r="X91" s="1289"/>
      <c r="Y91" s="1289"/>
      <c r="Z91" s="1289"/>
      <c r="AA91" s="1289"/>
      <c r="AB91" s="1289"/>
      <c r="AC91" s="1289"/>
      <c r="AD91" s="1289"/>
      <c r="AE91" s="1289"/>
      <c r="AF91" s="1289"/>
      <c r="AG91" s="1289"/>
      <c r="AH91" s="1289"/>
      <c r="AI91" s="1289"/>
      <c r="AJ91" s="1289"/>
      <c r="AK91" s="1289"/>
      <c r="AL91" s="1289"/>
      <c r="AM91" s="1289"/>
      <c r="AN91" s="1289"/>
      <c r="AO91" s="1289"/>
      <c r="AP91" s="1289"/>
      <c r="AQ91" s="1289"/>
      <c r="AR91" s="1289"/>
      <c r="AS91" s="1289"/>
      <c r="AT91" s="1289"/>
      <c r="AU91" s="1289"/>
      <c r="AV91" s="1289"/>
      <c r="AW91" s="1286"/>
      <c r="AX91" s="1286"/>
      <c r="AY91" s="1286"/>
      <c r="AZ91" s="1286"/>
      <c r="BA91" s="1286"/>
      <c r="BB91" s="1286"/>
      <c r="BC91" s="1286"/>
      <c r="BD91" s="1286"/>
      <c r="BE91" s="1286"/>
      <c r="BF91" s="1286"/>
      <c r="BG91" s="1286"/>
      <c r="BH91" s="1286"/>
    </row>
    <row r="92" spans="1:61" ht="15">
      <c r="D92" s="260" t="s">
        <v>191</v>
      </c>
      <c r="E92" s="23">
        <f>I8</f>
        <v>8</v>
      </c>
      <c r="I92" s="224"/>
      <c r="T92" s="1087"/>
      <c r="U92" s="1088"/>
      <c r="V92" s="1088"/>
      <c r="W92" s="1284"/>
      <c r="X92" s="1283"/>
      <c r="Y92" s="1283"/>
      <c r="Z92" s="1283"/>
      <c r="AA92" s="1283"/>
      <c r="AB92" s="1283"/>
      <c r="AC92" s="1283"/>
      <c r="AD92" s="1283"/>
      <c r="AE92" s="1283"/>
      <c r="AF92" s="1283"/>
      <c r="AG92" s="1283"/>
      <c r="AH92" s="1283"/>
      <c r="AI92" s="1283"/>
      <c r="AJ92" s="1283"/>
      <c r="AK92" s="1283"/>
      <c r="AL92" s="1283"/>
      <c r="AM92" s="1283"/>
      <c r="AN92" s="1283"/>
      <c r="AO92" s="1283"/>
      <c r="AP92" s="1283"/>
      <c r="AQ92" s="1283"/>
      <c r="AR92" s="1283"/>
      <c r="AS92" s="1283"/>
      <c r="AT92" s="1283"/>
      <c r="AU92" s="1283"/>
      <c r="AV92" s="1283"/>
      <c r="AW92" s="1286"/>
      <c r="AX92" s="1286"/>
      <c r="AY92" s="1286"/>
      <c r="AZ92" s="1286"/>
      <c r="BA92" s="1286"/>
      <c r="BB92" s="1286"/>
      <c r="BC92" s="1286"/>
      <c r="BD92" s="1286"/>
      <c r="BE92" s="1286"/>
      <c r="BF92" s="1286"/>
      <c r="BG92" s="1286"/>
      <c r="BH92" s="1286"/>
    </row>
    <row r="93" spans="1:61" ht="15">
      <c r="D93" s="260" t="s">
        <v>192</v>
      </c>
      <c r="I93" s="224"/>
      <c r="T93" s="1087"/>
      <c r="U93" s="1088"/>
      <c r="V93" s="1088"/>
      <c r="W93" s="1283"/>
      <c r="X93" s="1283"/>
      <c r="Y93" s="1283"/>
      <c r="Z93" s="1283"/>
      <c r="AA93" s="1283"/>
      <c r="AB93" s="1283"/>
      <c r="AC93" s="1283"/>
      <c r="AD93" s="1283"/>
      <c r="AE93" s="1283"/>
      <c r="AF93" s="1283"/>
      <c r="AG93" s="1283"/>
      <c r="AH93" s="1283"/>
      <c r="AI93" s="1283"/>
      <c r="AJ93" s="1283"/>
      <c r="AK93" s="1283"/>
      <c r="AL93" s="1283"/>
      <c r="AM93" s="1283"/>
      <c r="AN93" s="1283"/>
      <c r="AO93" s="1283"/>
      <c r="AP93" s="1283"/>
      <c r="AQ93" s="1283"/>
      <c r="AR93" s="1283"/>
      <c r="AS93" s="1283"/>
      <c r="AT93" s="1283"/>
      <c r="AU93" s="1283"/>
      <c r="AV93" s="1283"/>
      <c r="AW93" s="1286"/>
      <c r="AX93" s="1286"/>
      <c r="AY93" s="1286"/>
      <c r="AZ93" s="1286"/>
      <c r="BA93" s="1286"/>
      <c r="BB93" s="1286"/>
      <c r="BC93" s="1286"/>
      <c r="BD93" s="1286"/>
      <c r="BE93" s="1286"/>
      <c r="BF93" s="1286"/>
      <c r="BG93" s="1286"/>
      <c r="BH93" s="1286"/>
    </row>
    <row r="94" spans="1:61" ht="15.75">
      <c r="D94" s="261" t="s">
        <v>139</v>
      </c>
      <c r="G94" s="23" t="s">
        <v>138</v>
      </c>
      <c r="H94" s="23" t="str">
        <f>+IF(COUNT(E87:E93)=0,$BL$35,+IF(MIN(E87:E93)=0,"C",+IF(MIN(E87:E93)=4,"B","A")))</f>
        <v>A</v>
      </c>
      <c r="I94" s="224" t="str">
        <f>+A8</f>
        <v>A</v>
      </c>
      <c r="T94" s="1087"/>
      <c r="U94" s="1088"/>
      <c r="V94" s="1088"/>
      <c r="W94" s="1283"/>
      <c r="X94" s="1283"/>
      <c r="Y94" s="1283"/>
      <c r="Z94" s="1283"/>
      <c r="AA94" s="1283"/>
      <c r="AB94" s="1283"/>
      <c r="AC94" s="1283"/>
      <c r="AD94" s="1283"/>
      <c r="AE94" s="1283"/>
      <c r="AF94" s="1283"/>
      <c r="AG94" s="1283"/>
      <c r="AH94" s="1283"/>
      <c r="AI94" s="1283"/>
      <c r="AJ94" s="1283"/>
      <c r="AK94" s="1283"/>
      <c r="AL94" s="1283"/>
      <c r="AM94" s="1283"/>
      <c r="AN94" s="1283"/>
      <c r="AO94" s="1283"/>
      <c r="AP94" s="1283"/>
      <c r="AQ94" s="1283"/>
      <c r="AR94" s="1283"/>
      <c r="AS94" s="1283"/>
      <c r="AT94" s="1283"/>
      <c r="AU94" s="1283"/>
      <c r="AV94" s="1283"/>
      <c r="AW94" s="1227"/>
      <c r="AX94" s="1227"/>
      <c r="AY94" s="1227"/>
      <c r="AZ94" s="1227"/>
      <c r="BA94" s="1227"/>
      <c r="BB94" s="1227"/>
      <c r="BC94" s="1227"/>
      <c r="BD94" s="1227"/>
      <c r="BE94" s="1227"/>
      <c r="BF94" s="1227"/>
      <c r="BG94" s="1227"/>
      <c r="BH94" s="1227"/>
    </row>
    <row r="95" spans="1:61" ht="15">
      <c r="D95" s="260" t="s">
        <v>112</v>
      </c>
      <c r="I95" s="224"/>
      <c r="T95" s="1087"/>
      <c r="U95" s="1088"/>
      <c r="V95" s="1088"/>
      <c r="W95" s="1284"/>
      <c r="X95" s="1283"/>
      <c r="Y95" s="1283"/>
      <c r="Z95" s="1283"/>
      <c r="AA95" s="1283"/>
      <c r="AB95" s="1283"/>
      <c r="AC95" s="1283"/>
      <c r="AD95" s="1283"/>
      <c r="AE95" s="1283"/>
      <c r="AF95" s="1283"/>
      <c r="AG95" s="1283"/>
      <c r="AH95" s="1283"/>
      <c r="AI95" s="1283"/>
      <c r="AJ95" s="1283"/>
      <c r="AK95" s="1283"/>
      <c r="AL95" s="1283"/>
      <c r="AM95" s="1283"/>
      <c r="AN95" s="1283"/>
      <c r="AO95" s="1283"/>
      <c r="AP95" s="1283"/>
      <c r="AQ95" s="1283"/>
      <c r="AR95" s="1283"/>
      <c r="AS95" s="1283"/>
      <c r="AT95" s="1283"/>
      <c r="AU95" s="1283"/>
      <c r="AV95" s="1283"/>
      <c r="AW95" s="1227"/>
      <c r="AX95" s="1227"/>
      <c r="AY95" s="1227"/>
      <c r="AZ95" s="1227"/>
      <c r="BA95" s="1227"/>
      <c r="BB95" s="1227"/>
      <c r="BC95" s="1227"/>
      <c r="BD95" s="1227"/>
      <c r="BE95" s="1227"/>
      <c r="BF95" s="1227"/>
      <c r="BG95" s="1227"/>
      <c r="BH95" s="1227"/>
    </row>
    <row r="96" spans="1:61" ht="15">
      <c r="D96" s="260" t="s">
        <v>113</v>
      </c>
      <c r="E96" s="23">
        <f>IF(COUNT(J96:K96)&gt;0,MIN(J96:K96),"n.b")</f>
        <v>10</v>
      </c>
      <c r="I96" s="224"/>
      <c r="J96" s="142">
        <f>E14</f>
        <v>10</v>
      </c>
      <c r="K96" s="142">
        <f>P14</f>
        <v>10</v>
      </c>
      <c r="T96" s="1087"/>
      <c r="U96" s="1088"/>
      <c r="V96" s="1088"/>
      <c r="W96" s="1283"/>
      <c r="X96" s="1283"/>
      <c r="Y96" s="1283"/>
      <c r="Z96" s="1283"/>
      <c r="AA96" s="1283"/>
      <c r="AB96" s="1283"/>
      <c r="AC96" s="1283"/>
      <c r="AD96" s="1283"/>
      <c r="AE96" s="1283"/>
      <c r="AF96" s="1283"/>
      <c r="AG96" s="1283"/>
      <c r="AH96" s="1283"/>
      <c r="AI96" s="1283"/>
      <c r="AJ96" s="1283"/>
      <c r="AK96" s="1283"/>
      <c r="AL96" s="1283"/>
      <c r="AM96" s="1283"/>
      <c r="AN96" s="1283"/>
      <c r="AO96" s="1283"/>
      <c r="AP96" s="1283"/>
      <c r="AQ96" s="1283"/>
      <c r="AR96" s="1283"/>
      <c r="AS96" s="1283"/>
      <c r="AT96" s="1283"/>
      <c r="AU96" s="1283"/>
      <c r="AV96" s="1283"/>
      <c r="AW96" s="1227"/>
      <c r="AX96" s="1227"/>
      <c r="AY96" s="1227"/>
      <c r="AZ96" s="1227"/>
      <c r="BA96" s="1227"/>
      <c r="BB96" s="1227"/>
      <c r="BC96" s="1227"/>
      <c r="BD96" s="1227"/>
      <c r="BE96" s="1227"/>
      <c r="BF96" s="1227"/>
      <c r="BG96" s="1227"/>
      <c r="BH96" s="1227"/>
    </row>
    <row r="97" spans="4:60" ht="15">
      <c r="D97" s="260" t="s">
        <v>114</v>
      </c>
      <c r="I97" s="224"/>
      <c r="J97" s="142"/>
      <c r="K97" s="142"/>
      <c r="T97" s="1087"/>
      <c r="U97" s="1088"/>
      <c r="V97" s="1088"/>
      <c r="W97" s="1285"/>
      <c r="X97" s="1285"/>
      <c r="Y97" s="1285"/>
      <c r="Z97" s="1285"/>
      <c r="AA97" s="1285"/>
      <c r="AB97" s="1285"/>
      <c r="AC97" s="1285"/>
      <c r="AD97" s="1285"/>
      <c r="AE97" s="1285"/>
      <c r="AF97" s="1285"/>
      <c r="AG97" s="1285"/>
      <c r="AH97" s="1285"/>
      <c r="AI97" s="1285"/>
      <c r="AJ97" s="1285"/>
      <c r="AK97" s="1285"/>
      <c r="AL97" s="1285"/>
      <c r="AM97" s="1285"/>
      <c r="AN97" s="1285"/>
      <c r="AO97" s="1285"/>
      <c r="AP97" s="1285"/>
      <c r="AQ97" s="1285"/>
      <c r="AR97" s="1285"/>
      <c r="AS97" s="1285"/>
      <c r="AT97" s="1285"/>
      <c r="AU97" s="1285"/>
      <c r="AV97" s="1285"/>
      <c r="AW97" s="1227"/>
      <c r="AX97" s="1227"/>
      <c r="AY97" s="1227"/>
      <c r="AZ97" s="1227"/>
      <c r="BA97" s="1227"/>
      <c r="BB97" s="1227"/>
      <c r="BC97" s="1227"/>
      <c r="BD97" s="1227"/>
      <c r="BE97" s="1227"/>
      <c r="BF97" s="1227"/>
      <c r="BG97" s="1227"/>
      <c r="BH97" s="1227"/>
    </row>
    <row r="98" spans="4:60" ht="15">
      <c r="D98" s="260" t="s">
        <v>115</v>
      </c>
      <c r="I98" s="224"/>
      <c r="J98" s="142"/>
      <c r="K98" s="142"/>
      <c r="T98" s="1087"/>
      <c r="U98" s="1088"/>
      <c r="V98" s="1088"/>
      <c r="W98" s="1285"/>
      <c r="X98" s="1285"/>
      <c r="Y98" s="1285"/>
      <c r="Z98" s="1285"/>
      <c r="AA98" s="1285"/>
      <c r="AB98" s="1285"/>
      <c r="AC98" s="1285"/>
      <c r="AD98" s="1285"/>
      <c r="AE98" s="1285"/>
      <c r="AF98" s="1285"/>
      <c r="AG98" s="1285"/>
      <c r="AH98" s="1285"/>
      <c r="AI98" s="1285"/>
      <c r="AJ98" s="1285"/>
      <c r="AK98" s="1285"/>
      <c r="AL98" s="1285"/>
      <c r="AM98" s="1285"/>
      <c r="AN98" s="1285"/>
      <c r="AO98" s="1285"/>
      <c r="AP98" s="1285"/>
      <c r="AQ98" s="1285"/>
      <c r="AR98" s="1285"/>
      <c r="AS98" s="1285"/>
      <c r="AT98" s="1285"/>
      <c r="AU98" s="1285"/>
      <c r="AV98" s="1285"/>
      <c r="AW98" s="1227"/>
      <c r="AX98" s="1227"/>
      <c r="AY98" s="1227"/>
      <c r="AZ98" s="1227"/>
      <c r="BA98" s="1227"/>
      <c r="BB98" s="1227"/>
      <c r="BC98" s="1227"/>
      <c r="BD98" s="1227"/>
      <c r="BE98" s="1227"/>
      <c r="BF98" s="1227"/>
      <c r="BG98" s="1227"/>
      <c r="BH98" s="1227"/>
    </row>
    <row r="99" spans="4:60">
      <c r="D99" s="260" t="s">
        <v>116</v>
      </c>
      <c r="I99" s="224"/>
      <c r="J99" s="142"/>
      <c r="K99" s="142"/>
      <c r="T99" s="211"/>
      <c r="U99" s="1281"/>
      <c r="V99" s="1281"/>
      <c r="W99" s="1281"/>
      <c r="X99" s="1281"/>
      <c r="Y99" s="1281"/>
      <c r="Z99" s="1281"/>
      <c r="AA99" s="1281"/>
      <c r="AB99" s="1281"/>
      <c r="AC99" s="1281"/>
      <c r="AD99" s="1281"/>
      <c r="AE99" s="1281"/>
      <c r="AF99" s="1281"/>
      <c r="AG99" s="1281"/>
      <c r="AH99" s="1281"/>
      <c r="AI99" s="1281"/>
      <c r="AJ99" s="1281"/>
      <c r="AK99" s="1281"/>
      <c r="AL99" s="1281"/>
      <c r="AM99" s="1281"/>
      <c r="AN99" s="1281"/>
      <c r="AO99" s="1281"/>
      <c r="AP99" s="1281"/>
      <c r="AQ99" s="1281"/>
      <c r="AR99" s="1281"/>
      <c r="AS99" s="1281"/>
      <c r="AT99" s="1281"/>
      <c r="AU99" s="1281"/>
      <c r="AV99" s="1281"/>
      <c r="AW99" s="1227"/>
      <c r="AX99" s="1227"/>
      <c r="AY99" s="1227"/>
      <c r="AZ99" s="1227"/>
      <c r="BA99" s="1227"/>
      <c r="BB99" s="1227"/>
      <c r="BC99" s="1227"/>
      <c r="BD99" s="1227"/>
      <c r="BE99" s="1227"/>
      <c r="BF99" s="1227"/>
      <c r="BG99" s="1227"/>
      <c r="BH99" s="1227"/>
    </row>
    <row r="100" spans="4:60" ht="15">
      <c r="D100" s="261" t="s">
        <v>140</v>
      </c>
      <c r="G100" s="23" t="s">
        <v>139</v>
      </c>
      <c r="H100" s="23" t="str">
        <f>+IF(COUNT(E94:E99)=0,$BL$35,+IF(MIN(E94:E99)=0,"C",+IF(MIN(E94:E99)=4,"B","A")))</f>
        <v>A</v>
      </c>
      <c r="I100" s="224" t="str">
        <f>+A14</f>
        <v>A</v>
      </c>
      <c r="J100" s="142"/>
      <c r="K100" s="142"/>
      <c r="T100" s="211"/>
      <c r="U100" s="1281"/>
      <c r="V100" s="1281"/>
      <c r="W100" s="1281"/>
      <c r="X100" s="1281"/>
      <c r="Y100" s="1281"/>
      <c r="Z100" s="1281"/>
      <c r="AA100" s="1281"/>
      <c r="AB100" s="1281"/>
      <c r="AC100" s="1281"/>
      <c r="AD100" s="1281"/>
      <c r="AE100" s="1281"/>
      <c r="AF100" s="1281"/>
      <c r="AG100" s="1281"/>
      <c r="AH100" s="1281"/>
      <c r="AI100" s="1281"/>
      <c r="AJ100" s="1281"/>
      <c r="AK100" s="1281"/>
      <c r="AL100" s="1281"/>
      <c r="AM100" s="1281"/>
      <c r="AN100" s="1281"/>
      <c r="AO100" s="1281"/>
      <c r="AP100" s="1281"/>
      <c r="AQ100" s="1281"/>
      <c r="AR100" s="1281"/>
      <c r="AS100" s="1281"/>
      <c r="AT100" s="1281"/>
      <c r="AU100" s="1281"/>
      <c r="AV100" s="1281"/>
      <c r="AW100" s="1227"/>
      <c r="AX100" s="1227"/>
      <c r="AY100" s="1227"/>
      <c r="AZ100" s="1227"/>
      <c r="BA100" s="1227"/>
      <c r="BB100" s="1227"/>
      <c r="BC100" s="1227"/>
      <c r="BD100" s="1227"/>
      <c r="BE100" s="1227"/>
      <c r="BF100" s="1227"/>
      <c r="BG100" s="1227"/>
      <c r="BH100" s="1227"/>
    </row>
    <row r="101" spans="4:60">
      <c r="D101" s="260" t="s">
        <v>119</v>
      </c>
      <c r="E101" s="23">
        <f>IF(COUNT(J101:K101)&gt;0,MIN(J101:K101),"n.b")</f>
        <v>8</v>
      </c>
      <c r="I101" s="224"/>
      <c r="J101" s="142">
        <f>D22</f>
        <v>8</v>
      </c>
      <c r="K101" s="142">
        <f>Q22</f>
        <v>8</v>
      </c>
      <c r="T101" s="211"/>
      <c r="U101" s="1281"/>
      <c r="V101" s="1281"/>
      <c r="W101" s="1281"/>
      <c r="X101" s="1281"/>
      <c r="Y101" s="1281"/>
      <c r="Z101" s="1281"/>
      <c r="AA101" s="1281"/>
      <c r="AB101" s="1281"/>
      <c r="AC101" s="1281"/>
      <c r="AD101" s="1281"/>
      <c r="AE101" s="1281"/>
      <c r="AF101" s="1281"/>
      <c r="AG101" s="1281"/>
      <c r="AH101" s="1281"/>
      <c r="AI101" s="1281"/>
      <c r="AJ101" s="1281"/>
      <c r="AK101" s="1281"/>
      <c r="AL101" s="1281"/>
      <c r="AM101" s="1281"/>
      <c r="AN101" s="1281"/>
      <c r="AO101" s="1281"/>
      <c r="AP101" s="1281"/>
      <c r="AQ101" s="1281"/>
      <c r="AR101" s="1281"/>
      <c r="AS101" s="1281"/>
      <c r="AT101" s="1281"/>
      <c r="AU101" s="1281"/>
      <c r="AV101" s="1281"/>
      <c r="AW101" s="1227"/>
      <c r="AX101" s="1227"/>
      <c r="AY101" s="1227"/>
      <c r="AZ101" s="1227"/>
      <c r="BA101" s="1227"/>
      <c r="BB101" s="1227"/>
      <c r="BC101" s="1227"/>
      <c r="BD101" s="1227"/>
      <c r="BE101" s="1227"/>
      <c r="BF101" s="1227"/>
      <c r="BG101" s="1227"/>
      <c r="BH101" s="1227"/>
    </row>
    <row r="102" spans="4:60">
      <c r="D102" s="260" t="s">
        <v>194</v>
      </c>
      <c r="I102" s="224"/>
      <c r="J102" s="142"/>
      <c r="K102" s="142"/>
      <c r="T102" s="211"/>
      <c r="U102" s="1281"/>
      <c r="V102" s="1281"/>
      <c r="W102" s="1281"/>
      <c r="X102" s="1281"/>
      <c r="Y102" s="1281"/>
      <c r="Z102" s="1281"/>
      <c r="AA102" s="1281"/>
      <c r="AB102" s="1281"/>
      <c r="AC102" s="1281"/>
      <c r="AD102" s="1281"/>
      <c r="AE102" s="1281"/>
      <c r="AF102" s="1281"/>
      <c r="AG102" s="1281"/>
      <c r="AH102" s="1281"/>
      <c r="AI102" s="1281"/>
      <c r="AJ102" s="1281"/>
      <c r="AK102" s="1281"/>
      <c r="AL102" s="1281"/>
      <c r="AM102" s="1281"/>
      <c r="AN102" s="1281"/>
      <c r="AO102" s="1281"/>
      <c r="AP102" s="1281"/>
      <c r="AQ102" s="1281"/>
      <c r="AR102" s="1281"/>
      <c r="AS102" s="1281"/>
      <c r="AT102" s="1281"/>
      <c r="AU102" s="1281"/>
      <c r="AV102" s="1281"/>
      <c r="AW102" s="1227"/>
      <c r="AX102" s="1227"/>
      <c r="AY102" s="1227"/>
      <c r="AZ102" s="1227"/>
      <c r="BA102" s="1227"/>
      <c r="BB102" s="1227"/>
      <c r="BC102" s="1227"/>
      <c r="BD102" s="1227"/>
      <c r="BE102" s="1227"/>
      <c r="BF102" s="1227"/>
      <c r="BG102" s="1227"/>
      <c r="BH102" s="1227"/>
    </row>
    <row r="103" spans="4:60">
      <c r="D103" s="260" t="s">
        <v>195</v>
      </c>
      <c r="I103" s="224"/>
      <c r="J103" s="142"/>
      <c r="K103" s="142"/>
      <c r="T103" s="211"/>
      <c r="U103" s="1281"/>
      <c r="V103" s="1281"/>
      <c r="W103" s="1281"/>
      <c r="X103" s="1281"/>
      <c r="Y103" s="1281"/>
      <c r="Z103" s="1281"/>
      <c r="AA103" s="1281"/>
      <c r="AB103" s="1281"/>
      <c r="AC103" s="1281"/>
      <c r="AD103" s="1281"/>
      <c r="AE103" s="1281"/>
      <c r="AF103" s="1281"/>
      <c r="AG103" s="1281"/>
      <c r="AH103" s="1281"/>
      <c r="AI103" s="1281"/>
      <c r="AJ103" s="1281"/>
      <c r="AK103" s="1281"/>
      <c r="AL103" s="1281"/>
      <c r="AM103" s="1281"/>
      <c r="AN103" s="1281"/>
      <c r="AO103" s="1281"/>
      <c r="AP103" s="1281"/>
      <c r="AQ103" s="1281"/>
      <c r="AR103" s="1281"/>
      <c r="AS103" s="1281"/>
      <c r="AT103" s="1281"/>
      <c r="AU103" s="1281"/>
      <c r="AV103" s="1281"/>
      <c r="AW103" s="1227"/>
      <c r="AX103" s="1227"/>
      <c r="AY103" s="1227"/>
      <c r="AZ103" s="1227"/>
      <c r="BA103" s="1227"/>
      <c r="BB103" s="1227"/>
      <c r="BC103" s="1227"/>
      <c r="BD103" s="1227"/>
      <c r="BE103" s="1227"/>
      <c r="BF103" s="1227"/>
      <c r="BG103" s="1227"/>
      <c r="BH103" s="1227"/>
    </row>
    <row r="104" spans="4:60">
      <c r="D104" s="260" t="s">
        <v>196</v>
      </c>
      <c r="E104" s="23">
        <f>IF(COUNT(J104:K104)&gt;0,MIN(J104:K104),"n.b")</f>
        <v>6</v>
      </c>
      <c r="I104" s="224"/>
      <c r="J104" s="142">
        <f>G22</f>
        <v>10</v>
      </c>
      <c r="K104" s="142">
        <f>T22</f>
        <v>6</v>
      </c>
      <c r="T104" s="211"/>
      <c r="U104" s="1281"/>
      <c r="V104" s="1281"/>
      <c r="W104" s="1281"/>
      <c r="X104" s="1281"/>
      <c r="Y104" s="1281"/>
      <c r="Z104" s="1281"/>
      <c r="AA104" s="1281"/>
      <c r="AB104" s="1281"/>
      <c r="AC104" s="1281"/>
      <c r="AD104" s="1281"/>
      <c r="AE104" s="1281"/>
      <c r="AF104" s="1281"/>
      <c r="AG104" s="1281"/>
      <c r="AH104" s="1281"/>
      <c r="AI104" s="1281"/>
      <c r="AJ104" s="1281"/>
      <c r="AK104" s="1281"/>
      <c r="AL104" s="1281"/>
      <c r="AM104" s="1281"/>
      <c r="AN104" s="1281"/>
      <c r="AO104" s="1281"/>
      <c r="AP104" s="1281"/>
      <c r="AQ104" s="1281"/>
      <c r="AR104" s="1281"/>
      <c r="AS104" s="1281"/>
      <c r="AT104" s="1281"/>
      <c r="AU104" s="1281"/>
      <c r="AV104" s="1281"/>
      <c r="AW104" s="1227"/>
      <c r="AX104" s="1227"/>
      <c r="AY104" s="1227"/>
      <c r="AZ104" s="1227"/>
      <c r="BA104" s="1227"/>
      <c r="BB104" s="1227"/>
      <c r="BC104" s="1227"/>
      <c r="BD104" s="1227"/>
      <c r="BE104" s="1227"/>
      <c r="BF104" s="1227"/>
      <c r="BG104" s="1227"/>
      <c r="BH104" s="1227"/>
    </row>
    <row r="105" spans="4:60">
      <c r="D105" s="260" t="s">
        <v>197</v>
      </c>
      <c r="I105" s="224"/>
      <c r="J105" s="142"/>
      <c r="K105" s="142"/>
      <c r="T105" s="211"/>
      <c r="U105" s="1281"/>
      <c r="V105" s="1281"/>
      <c r="W105" s="1281"/>
      <c r="X105" s="1281"/>
      <c r="Y105" s="1281"/>
      <c r="Z105" s="1281"/>
      <c r="AA105" s="1281"/>
      <c r="AB105" s="1281"/>
      <c r="AC105" s="1281"/>
      <c r="AD105" s="1281"/>
      <c r="AE105" s="1281"/>
      <c r="AF105" s="1281"/>
      <c r="AG105" s="1281"/>
      <c r="AH105" s="1281"/>
      <c r="AI105" s="1281"/>
      <c r="AJ105" s="1281"/>
      <c r="AK105" s="1281"/>
      <c r="AL105" s="1281"/>
      <c r="AM105" s="1281"/>
      <c r="AN105" s="1281"/>
      <c r="AO105" s="1281"/>
      <c r="AP105" s="1281"/>
      <c r="AQ105" s="1281"/>
      <c r="AR105" s="1281"/>
      <c r="AS105" s="1281"/>
      <c r="AT105" s="1281"/>
      <c r="AU105" s="1281"/>
      <c r="AV105" s="1281"/>
      <c r="AW105" s="1227"/>
      <c r="AX105" s="1227"/>
      <c r="AY105" s="1227"/>
      <c r="AZ105" s="1227"/>
      <c r="BA105" s="1227"/>
      <c r="BB105" s="1227"/>
      <c r="BC105" s="1227"/>
      <c r="BD105" s="1227"/>
      <c r="BE105" s="1227"/>
      <c r="BF105" s="1227"/>
      <c r="BG105" s="1227"/>
      <c r="BH105" s="1227"/>
    </row>
    <row r="106" spans="4:60">
      <c r="D106" s="260" t="s">
        <v>198</v>
      </c>
      <c r="I106" s="224"/>
      <c r="J106" s="142"/>
      <c r="K106" s="142"/>
      <c r="T106" s="211"/>
      <c r="U106" s="1281"/>
      <c r="V106" s="1281"/>
      <c r="W106" s="1281"/>
      <c r="X106" s="1281"/>
      <c r="Y106" s="1281"/>
      <c r="Z106" s="1281"/>
      <c r="AA106" s="1281"/>
      <c r="AB106" s="1281"/>
      <c r="AC106" s="1281"/>
      <c r="AD106" s="1281"/>
      <c r="AE106" s="1281"/>
      <c r="AF106" s="1281"/>
      <c r="AG106" s="1281"/>
      <c r="AH106" s="1281"/>
      <c r="AI106" s="1281"/>
      <c r="AJ106" s="1281"/>
      <c r="AK106" s="1281"/>
      <c r="AL106" s="1281"/>
      <c r="AM106" s="1281"/>
      <c r="AN106" s="1281"/>
      <c r="AO106" s="1281"/>
      <c r="AP106" s="1281"/>
      <c r="AQ106" s="1281"/>
      <c r="AR106" s="1281"/>
      <c r="AS106" s="1281"/>
      <c r="AT106" s="1281"/>
      <c r="AU106" s="1281"/>
      <c r="AV106" s="1281"/>
      <c r="AW106" s="1227"/>
      <c r="AX106" s="1227"/>
      <c r="AY106" s="1227"/>
      <c r="AZ106" s="1227"/>
      <c r="BA106" s="1227"/>
      <c r="BB106" s="1227"/>
      <c r="BC106" s="1227"/>
      <c r="BD106" s="1227"/>
      <c r="BE106" s="1227"/>
      <c r="BF106" s="1227"/>
      <c r="BG106" s="1227"/>
      <c r="BH106" s="1227"/>
    </row>
    <row r="107" spans="4:60" ht="15">
      <c r="D107" s="331" t="s">
        <v>199</v>
      </c>
      <c r="I107" s="224"/>
      <c r="J107" s="142"/>
      <c r="K107" s="142"/>
      <c r="T107" s="211"/>
      <c r="U107" s="1088"/>
      <c r="V107" s="1088"/>
      <c r="W107" s="1088"/>
      <c r="X107" s="1088"/>
      <c r="Y107" s="1088"/>
      <c r="Z107" s="1088"/>
      <c r="AA107" s="1088"/>
      <c r="AB107" s="1088"/>
      <c r="AC107" s="1088"/>
      <c r="AD107" s="1088"/>
      <c r="AE107" s="1088"/>
      <c r="AF107" s="1088"/>
      <c r="AG107" s="1088"/>
      <c r="AH107" s="1088"/>
      <c r="AI107" s="1088"/>
      <c r="AJ107" s="1088"/>
      <c r="AK107" s="1088"/>
      <c r="AL107" s="1088"/>
      <c r="AM107" s="1088"/>
      <c r="AN107" s="1088"/>
      <c r="AO107" s="1088"/>
      <c r="AP107" s="1088"/>
      <c r="AQ107" s="1088"/>
      <c r="AR107" s="1088"/>
      <c r="AS107" s="1088"/>
      <c r="AT107" s="1088"/>
      <c r="AU107" s="1088"/>
      <c r="AV107" s="1088"/>
      <c r="AW107" s="803"/>
      <c r="AX107" s="803"/>
      <c r="AY107" s="803"/>
      <c r="AZ107" s="803"/>
      <c r="BA107" s="803"/>
      <c r="BB107" s="803"/>
      <c r="BC107" s="803"/>
      <c r="BD107" s="803"/>
      <c r="BE107" s="803"/>
      <c r="BF107" s="803"/>
      <c r="BG107" s="803"/>
      <c r="BH107" s="803"/>
    </row>
    <row r="108" spans="4:60" ht="15">
      <c r="D108" s="260" t="s">
        <v>642</v>
      </c>
      <c r="E108" s="23">
        <f>IF(COUNT(J108:K108)&gt;0,MIN(J108:K108),"n.b")</f>
        <v>10</v>
      </c>
      <c r="I108" s="224"/>
      <c r="J108" s="142">
        <f>K22</f>
        <v>10</v>
      </c>
      <c r="K108" s="142">
        <f>X22</f>
        <v>10</v>
      </c>
      <c r="T108" s="211"/>
      <c r="U108" s="1281"/>
      <c r="V108" s="1281"/>
      <c r="W108" s="1281"/>
      <c r="X108" s="1281"/>
      <c r="Y108" s="1281"/>
      <c r="Z108" s="1281"/>
      <c r="AA108" s="1281"/>
      <c r="AB108" s="1281"/>
      <c r="AC108" s="1281"/>
      <c r="AD108" s="1281"/>
      <c r="AE108" s="1281"/>
      <c r="AF108" s="1281"/>
      <c r="AG108" s="1281"/>
      <c r="AH108" s="1281"/>
      <c r="AI108" s="1281"/>
      <c r="AJ108" s="1281"/>
      <c r="AK108" s="1281"/>
      <c r="AL108" s="1281"/>
      <c r="AM108" s="1281"/>
      <c r="AN108" s="1281"/>
      <c r="AO108" s="1281"/>
      <c r="AP108" s="1281"/>
      <c r="AQ108" s="1281"/>
      <c r="AR108" s="1281"/>
      <c r="AS108" s="1281"/>
      <c r="AT108" s="1281"/>
      <c r="AU108" s="1281"/>
      <c r="AV108" s="1281"/>
      <c r="AW108" s="1227"/>
      <c r="AX108" s="1227"/>
      <c r="AY108" s="1227"/>
      <c r="AZ108" s="1227"/>
      <c r="BA108" s="1227"/>
      <c r="BB108" s="1227"/>
      <c r="BC108" s="1227"/>
      <c r="BD108" s="1227"/>
      <c r="BE108" s="1227"/>
      <c r="BF108" s="1227"/>
      <c r="BG108" s="1227"/>
      <c r="BH108" s="1227"/>
    </row>
    <row r="109" spans="4:60" ht="15">
      <c r="D109" s="261" t="s">
        <v>141</v>
      </c>
      <c r="G109" s="23" t="s">
        <v>140</v>
      </c>
      <c r="H109" s="23" t="str">
        <f>+IF(COUNT(E101:E108)=0,$BL$35,+IF(MIN(E101:E108)=0,"C",+IF(MIN(E101:E108)=4,"B","A")))</f>
        <v>A</v>
      </c>
      <c r="I109" s="224" t="str">
        <f>+A22</f>
        <v>A</v>
      </c>
    </row>
    <row r="110" spans="4:60">
      <c r="D110" s="260" t="s">
        <v>95</v>
      </c>
      <c r="I110" s="224"/>
    </row>
    <row r="111" spans="4:60">
      <c r="D111" s="260" t="s">
        <v>159</v>
      </c>
      <c r="I111" s="224"/>
    </row>
    <row r="112" spans="4:60">
      <c r="D112" s="260" t="s">
        <v>160</v>
      </c>
      <c r="I112" s="224"/>
    </row>
    <row r="113" spans="4:12">
      <c r="D113" s="260" t="s">
        <v>161</v>
      </c>
      <c r="E113" s="23">
        <f>O29</f>
        <v>10</v>
      </c>
      <c r="I113" s="224"/>
    </row>
    <row r="114" spans="4:12">
      <c r="D114" s="260" t="s">
        <v>164</v>
      </c>
      <c r="E114" s="23">
        <f>P29</f>
        <v>10</v>
      </c>
      <c r="I114" s="224"/>
    </row>
    <row r="115" spans="4:12">
      <c r="D115" s="260" t="s">
        <v>165</v>
      </c>
      <c r="I115" s="224"/>
    </row>
    <row r="116" spans="4:12">
      <c r="D116" s="260" t="s">
        <v>166</v>
      </c>
      <c r="G116" s="23" t="s">
        <v>141</v>
      </c>
      <c r="H116" s="23" t="str">
        <f>+IF(COUNT(E110:E116)=0,$BL$35,+IF(MIN(E110:E116)=0,"C",+IF(MIN(E110:E116)=4,"B","A")))</f>
        <v>A</v>
      </c>
      <c r="I116" s="224" t="str">
        <f>+A29</f>
        <v>A</v>
      </c>
    </row>
    <row r="117" spans="4:12" ht="15">
      <c r="D117" s="261" t="s">
        <v>142</v>
      </c>
      <c r="E117" s="23" t="s">
        <v>227</v>
      </c>
      <c r="I117" s="224"/>
      <c r="J117" s="23" t="s">
        <v>55</v>
      </c>
    </row>
    <row r="118" spans="4:12">
      <c r="D118" s="260" t="s">
        <v>96</v>
      </c>
      <c r="E118" s="23" t="s">
        <v>227</v>
      </c>
      <c r="I118" s="224"/>
      <c r="J118" s="23" t="s">
        <v>279</v>
      </c>
      <c r="K118" s="23" t="s">
        <v>280</v>
      </c>
      <c r="L118" s="23" t="s">
        <v>281</v>
      </c>
    </row>
    <row r="119" spans="4:12">
      <c r="D119" s="260" t="s">
        <v>167</v>
      </c>
      <c r="E119" s="23" t="s">
        <v>332</v>
      </c>
      <c r="I119" s="224"/>
      <c r="J119" s="23" t="s">
        <v>332</v>
      </c>
      <c r="K119" s="23" t="s">
        <v>332</v>
      </c>
      <c r="L119" s="23" t="s">
        <v>332</v>
      </c>
    </row>
    <row r="120" spans="4:12">
      <c r="D120" s="260" t="s">
        <v>76</v>
      </c>
      <c r="E120" s="23" t="s">
        <v>332</v>
      </c>
      <c r="I120" s="224"/>
      <c r="J120" s="23" t="s">
        <v>332</v>
      </c>
      <c r="K120" s="23" t="s">
        <v>332</v>
      </c>
      <c r="L120" s="23" t="s">
        <v>332</v>
      </c>
    </row>
    <row r="121" spans="4:12">
      <c r="D121" s="260" t="s">
        <v>62</v>
      </c>
      <c r="E121" s="23" t="s">
        <v>332</v>
      </c>
      <c r="I121" s="224"/>
      <c r="J121" s="23" t="s">
        <v>332</v>
      </c>
      <c r="K121" s="23" t="s">
        <v>332</v>
      </c>
      <c r="L121" s="23" t="s">
        <v>332</v>
      </c>
    </row>
    <row r="122" spans="4:12">
      <c r="D122" s="260" t="s">
        <v>63</v>
      </c>
      <c r="E122" s="23" t="s">
        <v>332</v>
      </c>
      <c r="I122" s="224"/>
      <c r="J122" s="23" t="s">
        <v>332</v>
      </c>
      <c r="K122" s="23" t="s">
        <v>332</v>
      </c>
      <c r="L122" s="23" t="s">
        <v>332</v>
      </c>
    </row>
    <row r="123" spans="4:12">
      <c r="D123" s="260" t="s">
        <v>64</v>
      </c>
      <c r="E123" s="23">
        <f>IF(COUNT(J123:S123)&gt;0,MIN(J123:S123),"n.b")</f>
        <v>10</v>
      </c>
      <c r="I123" s="224"/>
      <c r="J123" s="23">
        <f>IF(Questions!$B115&lt;&gt;"x","kein *",IF(ISBLANK(Questions!D116),"--",Questions!D116))</f>
        <v>10</v>
      </c>
      <c r="K123" s="23">
        <f>IF(Questions!$B115&lt;&gt;"x","kein *",IF(ISBLANK(Questions!D117),"--",Questions!D117))</f>
        <v>10</v>
      </c>
      <c r="L123" s="23">
        <f>IF(Questions!$B115&lt;&gt;"x","kein *",IF(ISBLANK(Questions!D118),"--",Questions!D118))</f>
        <v>10</v>
      </c>
    </row>
    <row r="124" spans="4:12">
      <c r="D124" s="260" t="s">
        <v>168</v>
      </c>
      <c r="E124" s="23" t="s">
        <v>227</v>
      </c>
      <c r="I124" s="224"/>
    </row>
    <row r="125" spans="4:12">
      <c r="D125" s="260" t="s">
        <v>169</v>
      </c>
      <c r="E125" s="23" t="s">
        <v>332</v>
      </c>
      <c r="I125" s="224"/>
      <c r="J125" s="23" t="s">
        <v>332</v>
      </c>
      <c r="K125" s="23" t="s">
        <v>332</v>
      </c>
      <c r="L125" s="23" t="s">
        <v>332</v>
      </c>
    </row>
    <row r="126" spans="4:12">
      <c r="D126" s="260" t="s">
        <v>0</v>
      </c>
      <c r="E126" s="23" t="s">
        <v>332</v>
      </c>
      <c r="I126" s="224"/>
      <c r="J126" s="23" t="s">
        <v>332</v>
      </c>
      <c r="K126" s="23" t="s">
        <v>332</v>
      </c>
      <c r="L126" s="23" t="s">
        <v>332</v>
      </c>
    </row>
    <row r="127" spans="4:12">
      <c r="D127" s="260" t="s">
        <v>1</v>
      </c>
      <c r="E127" s="23">
        <f>IF(COUNT(J127:S127)&gt;0,MIN(J127:S127),"n.b")</f>
        <v>6</v>
      </c>
      <c r="I127" s="224"/>
      <c r="J127" s="23">
        <f>IF(Questions!$B149&lt;&gt;"x","kein *",IF(ISBLANK(Questions!D150),"--",Questions!D150))</f>
        <v>10</v>
      </c>
      <c r="K127" s="23">
        <f>IF(Questions!$B149&lt;&gt;"x","kein *",IF(ISBLANK(Questions!D151),"--",Questions!D151))</f>
        <v>6</v>
      </c>
      <c r="L127" s="23">
        <f>IF(Questions!$B149&lt;&gt;"x","kein *",IF(ISBLANK(Questions!D152),"--",Questions!D152))</f>
        <v>10</v>
      </c>
    </row>
    <row r="128" spans="4:12">
      <c r="D128" s="260" t="s">
        <v>2</v>
      </c>
      <c r="E128" s="23">
        <f>IF(COUNT(J128:S128)&gt;0,MIN(J128:S128),"n.b")</f>
        <v>4</v>
      </c>
      <c r="I128" s="224"/>
      <c r="J128" s="23">
        <f>IF(Questions!$B160&lt;&gt;"x","kein *",IF(ISBLANK(Questions!D161),"--",Questions!D161))</f>
        <v>10</v>
      </c>
      <c r="K128" s="23">
        <f>IF(Questions!$B160&lt;&gt;"x","kein *",IF(ISBLANK(Questions!D162),"--",Questions!D162))</f>
        <v>4</v>
      </c>
      <c r="L128" s="23">
        <f>IF(Questions!$B160&lt;&gt;"x","kein *",IF(ISBLANK(Questions!D163),"--",Questions!D163))</f>
        <v>10</v>
      </c>
    </row>
    <row r="129" spans="4:12">
      <c r="D129" s="260" t="s">
        <v>65</v>
      </c>
      <c r="E129" s="23" t="s">
        <v>332</v>
      </c>
      <c r="I129" s="224"/>
      <c r="J129" s="23" t="s">
        <v>332</v>
      </c>
      <c r="K129" s="23" t="s">
        <v>332</v>
      </c>
      <c r="L129" s="23" t="s">
        <v>332</v>
      </c>
    </row>
    <row r="130" spans="4:12">
      <c r="D130" s="260" t="s">
        <v>3</v>
      </c>
      <c r="E130" s="23" t="s">
        <v>227</v>
      </c>
      <c r="I130" s="224"/>
    </row>
    <row r="131" spans="4:12">
      <c r="D131" s="260" t="s">
        <v>66</v>
      </c>
      <c r="E131" s="23" t="str">
        <f>IF(COUNT(J131:S131)&gt;0,MIN(J131:S131),"n.b")</f>
        <v>n.b</v>
      </c>
      <c r="I131" s="224"/>
      <c r="J131" s="23" t="str">
        <f>IF(Questions!$B181&lt;&gt;"x","kein *",IF(ISBLANK(Questions!D182),"--",Questions!D182))</f>
        <v>n.e.</v>
      </c>
      <c r="K131" s="23" t="str">
        <f>IF(Questions!$B181&lt;&gt;"x","kein *",IF(ISBLANK(Questions!D183),"--",Questions!D183))</f>
        <v>n.e.</v>
      </c>
      <c r="L131" s="23" t="str">
        <f>IF(Questions!$B181&lt;&gt;"x","kein *",IF(ISBLANK(Questions!D184),"--",Questions!D184))</f>
        <v>n.e.</v>
      </c>
    </row>
    <row r="132" spans="4:12">
      <c r="D132" s="260" t="s">
        <v>4</v>
      </c>
      <c r="E132" s="23" t="s">
        <v>332</v>
      </c>
      <c r="I132" s="224"/>
      <c r="J132" s="23" t="s">
        <v>332</v>
      </c>
      <c r="K132" s="23" t="s">
        <v>332</v>
      </c>
      <c r="L132" s="23" t="s">
        <v>332</v>
      </c>
    </row>
    <row r="133" spans="4:12">
      <c r="D133" s="260" t="s">
        <v>67</v>
      </c>
      <c r="E133" s="23" t="s">
        <v>332</v>
      </c>
      <c r="I133" s="224"/>
      <c r="J133" s="23" t="s">
        <v>332</v>
      </c>
      <c r="K133" s="23" t="s">
        <v>332</v>
      </c>
      <c r="L133" s="23" t="s">
        <v>332</v>
      </c>
    </row>
    <row r="134" spans="4:12">
      <c r="D134" s="260" t="s">
        <v>170</v>
      </c>
      <c r="E134" s="23" t="s">
        <v>227</v>
      </c>
      <c r="I134" s="224"/>
    </row>
    <row r="135" spans="4:12">
      <c r="D135" s="260" t="s">
        <v>68</v>
      </c>
      <c r="E135" s="23">
        <f>IF(COUNT(J135:S135)&gt;0,MIN(J135:S135),"n.b")</f>
        <v>10</v>
      </c>
      <c r="I135" s="224"/>
      <c r="J135" s="23">
        <f>IF(Questions!$B215&lt;&gt;"x","kein *",IF(ISBLANK(Questions!D216),"--",Questions!D216))</f>
        <v>10</v>
      </c>
      <c r="K135" s="23">
        <f>IF(Questions!$B215&lt;&gt;"x","kein *",IF(ISBLANK(Questions!D217),"--",Questions!D217))</f>
        <v>10</v>
      </c>
      <c r="L135" s="23">
        <f>IF(Questions!$B215&lt;&gt;"x","kein *",IF(ISBLANK(Questions!D218),"--",Questions!D218))</f>
        <v>10</v>
      </c>
    </row>
    <row r="136" spans="4:12">
      <c r="D136" s="260" t="s">
        <v>171</v>
      </c>
      <c r="E136" s="23" t="s">
        <v>332</v>
      </c>
      <c r="I136" s="224"/>
      <c r="J136" s="23" t="s">
        <v>332</v>
      </c>
      <c r="K136" s="23" t="s">
        <v>332</v>
      </c>
      <c r="L136" s="23" t="s">
        <v>332</v>
      </c>
    </row>
    <row r="137" spans="4:12">
      <c r="D137" s="260" t="s">
        <v>69</v>
      </c>
      <c r="E137" s="23">
        <f>IF(COUNT(J137:S137)&gt;0,MIN(J137:S137),"n.b")</f>
        <v>6</v>
      </c>
      <c r="I137" s="224"/>
      <c r="J137" s="23">
        <f>IF(Questions!$B237&lt;&gt;"x","kein *",IF(ISBLANK(Questions!D238),"--",Questions!D238))</f>
        <v>10</v>
      </c>
      <c r="K137" s="23">
        <f>IF(Questions!$B237&lt;&gt;"x","kein *",IF(ISBLANK(Questions!D239),"--",Questions!D239))</f>
        <v>6</v>
      </c>
      <c r="L137" s="23">
        <f>IF(Questions!$B237&lt;&gt;"x","kein *",IF(ISBLANK(Questions!D240),"--",Questions!D240))</f>
        <v>10</v>
      </c>
    </row>
    <row r="138" spans="4:12">
      <c r="D138" s="260" t="s">
        <v>70</v>
      </c>
      <c r="E138" s="23" t="s">
        <v>332</v>
      </c>
      <c r="I138" s="224"/>
      <c r="J138" s="23" t="s">
        <v>332</v>
      </c>
      <c r="K138" s="23" t="s">
        <v>332</v>
      </c>
      <c r="L138" s="23" t="s">
        <v>332</v>
      </c>
    </row>
    <row r="139" spans="4:12">
      <c r="D139" s="331" t="s">
        <v>345</v>
      </c>
      <c r="E139" s="23" t="s">
        <v>332</v>
      </c>
      <c r="I139" s="224"/>
    </row>
    <row r="140" spans="4:12">
      <c r="D140" s="260" t="s">
        <v>174</v>
      </c>
      <c r="E140" s="23" t="s">
        <v>227</v>
      </c>
      <c r="I140" s="224"/>
    </row>
    <row r="141" spans="4:12">
      <c r="D141" s="260" t="s">
        <v>71</v>
      </c>
      <c r="E141" s="23" t="s">
        <v>332</v>
      </c>
      <c r="I141" s="224"/>
      <c r="J141" s="23" t="s">
        <v>332</v>
      </c>
      <c r="K141" s="23" t="s">
        <v>332</v>
      </c>
      <c r="L141" s="23" t="s">
        <v>332</v>
      </c>
    </row>
    <row r="142" spans="4:12">
      <c r="D142" s="260" t="s">
        <v>72</v>
      </c>
      <c r="E142" s="23" t="s">
        <v>332</v>
      </c>
      <c r="I142" s="224"/>
      <c r="J142" s="23" t="s">
        <v>332</v>
      </c>
      <c r="K142" s="23" t="s">
        <v>332</v>
      </c>
      <c r="L142" s="23" t="s">
        <v>332</v>
      </c>
    </row>
    <row r="143" spans="4:12">
      <c r="D143" s="260" t="s">
        <v>175</v>
      </c>
      <c r="E143" s="23">
        <f>IF(COUNT(J143:S143)&gt;0,MIN(J143:S143),"n.b")</f>
        <v>6</v>
      </c>
      <c r="I143" s="224"/>
      <c r="J143" s="23">
        <f>IF(Questions!$B293&lt;&gt;"x","kein *",IF(ISBLANK(Questions!D294),"--",Questions!D294))</f>
        <v>10</v>
      </c>
      <c r="K143" s="23">
        <f>IF(Questions!$B293&lt;&gt;"x","kein *",IF(ISBLANK(Questions!D295),"--",Questions!D295))</f>
        <v>6</v>
      </c>
      <c r="L143" s="23">
        <f>IF(Questions!$B293&lt;&gt;"x","kein *",IF(ISBLANK(Questions!D296),"--",Questions!D296))</f>
        <v>10</v>
      </c>
    </row>
    <row r="144" spans="4:12">
      <c r="D144" s="260" t="s">
        <v>176</v>
      </c>
      <c r="E144" s="23" t="s">
        <v>332</v>
      </c>
      <c r="I144" s="224"/>
      <c r="J144" s="23" t="s">
        <v>332</v>
      </c>
      <c r="K144" s="23" t="s">
        <v>332</v>
      </c>
      <c r="L144" s="23" t="s">
        <v>332</v>
      </c>
    </row>
    <row r="145" spans="4:28">
      <c r="D145" s="260" t="s">
        <v>178</v>
      </c>
      <c r="E145" s="23" t="s">
        <v>227</v>
      </c>
      <c r="I145" s="224"/>
    </row>
    <row r="146" spans="4:28">
      <c r="D146" s="260" t="s">
        <v>179</v>
      </c>
      <c r="E146" s="23" t="s">
        <v>332</v>
      </c>
      <c r="I146" s="224"/>
      <c r="J146" s="23" t="s">
        <v>332</v>
      </c>
      <c r="K146" s="23" t="s">
        <v>332</v>
      </c>
      <c r="L146" s="23" t="s">
        <v>332</v>
      </c>
    </row>
    <row r="147" spans="4:28">
      <c r="D147" s="260" t="s">
        <v>73</v>
      </c>
      <c r="E147" s="23" t="s">
        <v>332</v>
      </c>
      <c r="I147" s="224"/>
      <c r="J147" s="23" t="s">
        <v>332</v>
      </c>
      <c r="K147" s="23" t="s">
        <v>332</v>
      </c>
      <c r="L147" s="23" t="s">
        <v>332</v>
      </c>
    </row>
    <row r="148" spans="4:28">
      <c r="D148" s="260" t="s">
        <v>74</v>
      </c>
      <c r="E148" s="23" t="s">
        <v>332</v>
      </c>
      <c r="I148" s="224"/>
      <c r="J148" s="23" t="s">
        <v>332</v>
      </c>
      <c r="K148" s="23" t="s">
        <v>332</v>
      </c>
      <c r="L148" s="23" t="s">
        <v>332</v>
      </c>
    </row>
    <row r="149" spans="4:28">
      <c r="D149" s="260" t="s">
        <v>75</v>
      </c>
      <c r="E149" s="23">
        <f>IF(COUNT(J149:S149)&gt;0,MIN(J149:S149),"n.b")</f>
        <v>10</v>
      </c>
      <c r="I149" s="224"/>
      <c r="J149" s="23">
        <f>IF(Questions!$B349&lt;&gt;"x","kein *",IF(ISBLANK(Questions!D350),"--",Questions!D350))</f>
        <v>10</v>
      </c>
      <c r="K149" s="23">
        <f>IF(Questions!$B349&lt;&gt;"x","kein *",IF(ISBLANK(Questions!D351),"--",Questions!D351))</f>
        <v>10</v>
      </c>
      <c r="L149" s="23">
        <f>IF(Questions!$B349&lt;&gt;"x","kein *",IF(ISBLANK(Questions!D352),"--",Questions!D352))</f>
        <v>10</v>
      </c>
    </row>
    <row r="150" spans="4:28" ht="15">
      <c r="D150" s="261" t="s">
        <v>143</v>
      </c>
      <c r="E150" s="23" t="s">
        <v>227</v>
      </c>
      <c r="G150" s="23" t="s">
        <v>142</v>
      </c>
      <c r="H150" s="222" t="str">
        <f>IF(COUNT(E118:E149)=0,$BL$35,IF(MIN(E118:E149)=0,"C",IF(MIN(E118:E149)=4,"B","A")))</f>
        <v>B</v>
      </c>
      <c r="I150" s="239" t="str">
        <f>+A56</f>
        <v>A</v>
      </c>
      <c r="J150" s="222" t="str">
        <f>+IF(COUNTIFS(Questions!$A$72:$A$352,J118,Questions!$D$72:$D$352,$BL$35)=26,$BL$35,+IF(MIN(J119:J149)=0,"C",+IF(MIN(J119:J149)=4,"B","A")))</f>
        <v>A</v>
      </c>
      <c r="K150" s="222" t="str">
        <f>+IF(COUNTIFS(Questions!$A$72:$A$352,K118,Questions!$D$72:$D$352,$BL$35)=26,$BL$35,+IF(MIN(K119:K149)=0,"C",+IF(MIN(K119:K149)=4,"B","A")))</f>
        <v>B</v>
      </c>
      <c r="L150" s="222" t="str">
        <f>+IF(COUNTIFS(Questions!$A$72:$A$352,L118,Questions!$D$72:$D$352,$BL$35)=26,$BL$35,+IF(MIN(L119:L149)=0,"C",+IF(MIN(L119:L149)=4,"B","A")))</f>
        <v>A</v>
      </c>
    </row>
    <row r="151" spans="4:28">
      <c r="D151" s="260" t="s">
        <v>180</v>
      </c>
      <c r="I151" s="224"/>
      <c r="J151" s="23" t="s">
        <v>279</v>
      </c>
      <c r="K151" s="23" t="s">
        <v>280</v>
      </c>
      <c r="L151" s="23" t="s">
        <v>281</v>
      </c>
    </row>
    <row r="152" spans="4:28">
      <c r="D152" s="260" t="s">
        <v>181</v>
      </c>
      <c r="I152" s="224"/>
    </row>
    <row r="153" spans="4:28">
      <c r="D153" s="260" t="s">
        <v>183</v>
      </c>
      <c r="E153" s="23">
        <f>W66</f>
        <v>10</v>
      </c>
      <c r="I153" s="224"/>
    </row>
    <row r="154" spans="4:28">
      <c r="D154" s="260" t="s">
        <v>184</v>
      </c>
      <c r="E154" s="23">
        <f>X66</f>
        <v>8</v>
      </c>
      <c r="I154" s="224"/>
    </row>
    <row r="155" spans="4:28">
      <c r="D155" s="260" t="s">
        <v>185</v>
      </c>
      <c r="I155" s="224"/>
    </row>
    <row r="156" spans="4:28">
      <c r="D156" s="262"/>
      <c r="E156" s="225"/>
      <c r="F156" s="225"/>
      <c r="G156" s="225" t="s">
        <v>143</v>
      </c>
      <c r="H156" s="270" t="str">
        <f>IF(COUNT(E151:E155)=0,$BL$35,+IF(MIN(E151:E155)=0,"C",+IF(MIN(E151:E155)=4,"B","A")))</f>
        <v>A</v>
      </c>
      <c r="I156" s="203" t="str">
        <f>+A66</f>
        <v>A</v>
      </c>
    </row>
    <row r="157" spans="4:28" ht="15" thickBot="1">
      <c r="D157" s="251" t="s">
        <v>212</v>
      </c>
      <c r="E157" s="252">
        <f>+COUNT((E87:E155))</f>
        <v>17</v>
      </c>
      <c r="F157" s="252">
        <f>+COUNTIF(E87:E155,0)</f>
        <v>0</v>
      </c>
      <c r="G157" s="252">
        <f>+IF(COUNT(E87:E155)=0,$BL$35,+MIN(E87:E155))</f>
        <v>4</v>
      </c>
      <c r="H157" s="252"/>
      <c r="I157" s="253"/>
      <c r="Z157" s="23" t="s">
        <v>237</v>
      </c>
      <c r="AA157" s="23" t="s">
        <v>235</v>
      </c>
      <c r="AB157" s="159">
        <f>+G62</f>
        <v>0.96</v>
      </c>
    </row>
    <row r="158" spans="4:28" ht="15" thickBot="1">
      <c r="D158" s="254" t="s">
        <v>213</v>
      </c>
      <c r="E158" s="250" t="str">
        <f>+IF(E157=0,$BL$35,(+IF(F157&gt;=1,"C",(+IF(F158&gt;=1,"B","A")))))</f>
        <v>B</v>
      </c>
      <c r="F158" s="249">
        <f>+COUNTIF(E87:E155,4)</f>
        <v>1</v>
      </c>
      <c r="G158" s="249" t="str">
        <f>+IF(G157=$BL$35,$BL$35,+IF(G157=0,"C",+IF(G157=4,"B","A")))</f>
        <v>B</v>
      </c>
      <c r="H158" s="249"/>
      <c r="I158" s="255"/>
      <c r="Z158" s="23" t="s">
        <v>238</v>
      </c>
      <c r="AA158" s="23" t="s">
        <v>236</v>
      </c>
      <c r="AB158" s="159">
        <f>+M62</f>
        <v>0.85</v>
      </c>
    </row>
    <row r="159" spans="4:28" ht="18">
      <c r="D159" s="192"/>
      <c r="G159" s="1090"/>
      <c r="H159" s="211"/>
      <c r="I159" s="211"/>
      <c r="J159" s="232"/>
      <c r="K159" s="230"/>
      <c r="L159" s="219"/>
      <c r="M159" s="1091" t="s">
        <v>255</v>
      </c>
      <c r="N159" s="219"/>
      <c r="O159" s="219"/>
      <c r="P159" s="219"/>
      <c r="Q159" s="219"/>
      <c r="R159" s="219"/>
      <c r="S159" s="219"/>
      <c r="T159" s="219"/>
      <c r="U159" s="219"/>
      <c r="V159" s="220"/>
      <c r="Z159" s="23" t="s">
        <v>239</v>
      </c>
      <c r="AA159" s="23" t="s">
        <v>266</v>
      </c>
      <c r="AB159" s="159">
        <f>+Q62</f>
        <v>0.83</v>
      </c>
    </row>
    <row r="160" spans="4:28">
      <c r="D160" s="192"/>
      <c r="G160" s="233"/>
      <c r="H160" s="211"/>
      <c r="I160" s="211"/>
      <c r="J160" s="232"/>
      <c r="K160" s="33"/>
      <c r="V160" s="39"/>
      <c r="Z160" s="23" t="s">
        <v>240</v>
      </c>
      <c r="AA160" s="23" t="s">
        <v>268</v>
      </c>
      <c r="AB160" s="159">
        <f>+W62</f>
        <v>0.88</v>
      </c>
    </row>
    <row r="161" spans="2:31">
      <c r="D161" s="192"/>
      <c r="G161" s="211"/>
      <c r="H161" s="211"/>
      <c r="I161" s="211"/>
      <c r="J161" s="232"/>
      <c r="K161" s="227">
        <f>BB76</f>
        <v>0.87</v>
      </c>
      <c r="L161" s="226" t="str">
        <f>+IF(K161=$BL$35,$BL$35,+IF(K161&lt;80%,"C",+IF(K161&lt;90%,"B","A")))</f>
        <v>B</v>
      </c>
      <c r="M161" s="264" t="s">
        <v>253</v>
      </c>
      <c r="N161" s="264"/>
      <c r="O161" s="264"/>
      <c r="P161" s="264"/>
      <c r="Q161" s="264"/>
      <c r="R161" s="264"/>
      <c r="S161" s="264"/>
      <c r="T161" s="264"/>
      <c r="U161" s="211"/>
      <c r="V161" s="232"/>
      <c r="Z161" s="23" t="s">
        <v>241</v>
      </c>
      <c r="AA161" s="23" t="s">
        <v>269</v>
      </c>
      <c r="AB161" s="159">
        <f>+AB62</f>
        <v>0.85</v>
      </c>
    </row>
    <row r="162" spans="2:31">
      <c r="B162" s="1045"/>
      <c r="C162" s="1045"/>
      <c r="D162" s="1045"/>
      <c r="E162" s="1045"/>
      <c r="F162" s="1045"/>
      <c r="G162" s="1045"/>
      <c r="H162" s="211"/>
      <c r="I162" s="211"/>
      <c r="J162" s="232"/>
      <c r="K162" s="228"/>
      <c r="L162" s="221" t="str">
        <f>+E158</f>
        <v>B</v>
      </c>
      <c r="M162" s="264" t="s">
        <v>254</v>
      </c>
      <c r="N162" s="264"/>
      <c r="O162" s="264"/>
      <c r="P162" s="264"/>
      <c r="Q162" s="264"/>
      <c r="R162" s="264"/>
      <c r="S162" s="264"/>
      <c r="T162" s="264"/>
      <c r="U162" s="211"/>
      <c r="V162" s="232"/>
      <c r="Z162" s="23" t="s">
        <v>242</v>
      </c>
      <c r="AA162" s="23" t="s">
        <v>270</v>
      </c>
      <c r="AB162" s="159">
        <f>+AG62</f>
        <v>0.98</v>
      </c>
    </row>
    <row r="163" spans="2:31">
      <c r="B163" s="1045"/>
      <c r="C163" s="1045"/>
      <c r="D163" s="1045"/>
      <c r="E163" s="1045"/>
      <c r="F163" s="1045"/>
      <c r="G163" s="1045"/>
      <c r="H163" s="234"/>
      <c r="I163" s="211"/>
      <c r="J163" s="232"/>
      <c r="K163" s="228"/>
      <c r="L163" s="221" t="str">
        <f>IF(COUNT((A8:A66)=0),$BL$35,+IF(COUNTIF((A8:A66),"C")&gt;=1,"C",+IF(+COUNTIF((A8:A66),"B")&gt;=1,"B","A")))</f>
        <v>A</v>
      </c>
      <c r="M163" s="264" t="s">
        <v>257</v>
      </c>
      <c r="N163" s="264"/>
      <c r="O163" s="264"/>
      <c r="P163" s="264"/>
      <c r="Q163" s="264"/>
      <c r="R163" s="264"/>
      <c r="S163" s="264"/>
      <c r="T163" s="264"/>
      <c r="U163" s="211"/>
      <c r="V163" s="232"/>
      <c r="Z163" s="23" t="s">
        <v>243</v>
      </c>
      <c r="AA163" s="23" t="s">
        <v>271</v>
      </c>
      <c r="AB163" s="159">
        <f>+BD62</f>
        <v>0.92</v>
      </c>
    </row>
    <row r="164" spans="2:31">
      <c r="B164" s="1045"/>
      <c r="C164" s="1045"/>
      <c r="D164" s="1045"/>
      <c r="E164" s="1045"/>
      <c r="F164" s="1045"/>
      <c r="G164" s="1045"/>
      <c r="H164" s="211"/>
      <c r="I164" s="211"/>
      <c r="J164" s="232"/>
      <c r="K164" s="228"/>
      <c r="L164" s="221" t="str">
        <f>+AD164</f>
        <v>A</v>
      </c>
      <c r="M164" s="264" t="s">
        <v>638</v>
      </c>
      <c r="N164" s="264"/>
      <c r="O164" s="264"/>
      <c r="P164" s="264"/>
      <c r="Q164" s="264"/>
      <c r="R164" s="264"/>
      <c r="S164" s="264"/>
      <c r="T164" s="264"/>
      <c r="U164" s="211"/>
      <c r="V164" s="232"/>
      <c r="AB164" s="23">
        <f>+COUNTIF(AB157:AB163,$BL$35)</f>
        <v>0</v>
      </c>
      <c r="AD164" s="272" t="str">
        <f>+IF(AB164=7,$BL$35,+IF(MIN(G62,M62,Q62,W62,AB62,AG62,BD62)&lt;80%,"B","A"))</f>
        <v>A</v>
      </c>
      <c r="AE164" s="23">
        <f>+COUNTIF((AB157:AB163),"=&lt;80")</f>
        <v>0</v>
      </c>
    </row>
    <row r="165" spans="2:31">
      <c r="B165" s="1045"/>
      <c r="C165" s="1045"/>
      <c r="D165" s="1045"/>
      <c r="E165" s="1045"/>
      <c r="F165" s="1045"/>
      <c r="G165" s="1045"/>
      <c r="H165" s="211"/>
      <c r="I165" s="211"/>
      <c r="J165" s="232"/>
      <c r="K165" s="228"/>
      <c r="L165" s="221" t="str">
        <f>+AD179</f>
        <v>B</v>
      </c>
      <c r="M165" s="264" t="s">
        <v>214</v>
      </c>
      <c r="N165" s="264"/>
      <c r="O165" s="264"/>
      <c r="P165" s="264"/>
      <c r="Q165" s="264"/>
      <c r="R165" s="264"/>
      <c r="S165" s="264"/>
      <c r="T165" s="264"/>
      <c r="U165" s="211"/>
      <c r="V165" s="232"/>
    </row>
    <row r="166" spans="2:31" ht="15" thickBot="1">
      <c r="B166" s="1045"/>
      <c r="C166" s="1045"/>
      <c r="D166" s="1045"/>
      <c r="E166" s="1045"/>
      <c r="F166" s="1045"/>
      <c r="G166" s="1045"/>
      <c r="H166" s="211"/>
      <c r="I166" s="211"/>
      <c r="J166" s="232"/>
      <c r="K166" s="33"/>
      <c r="L166" s="221" t="str">
        <f>++IF(K161=$BL$35,$BL$35,+IF(MIN(epm,ede,epe,elm,ek,epg)&lt;70%,"C",+IF(MIN(epm,ede,epe,elm,ek,epg)&lt;80%,"B","kA")))</f>
        <v>B</v>
      </c>
      <c r="M166" s="265" t="s">
        <v>272</v>
      </c>
      <c r="N166" s="264"/>
      <c r="O166" s="264"/>
      <c r="P166" s="264"/>
      <c r="Q166" s="264"/>
      <c r="R166" s="264"/>
      <c r="S166" s="264"/>
      <c r="T166" s="264"/>
      <c r="U166" s="211"/>
      <c r="V166" s="232"/>
    </row>
    <row r="167" spans="2:31" ht="15" thickBot="1">
      <c r="B167" s="1045"/>
      <c r="C167" s="1045"/>
      <c r="D167" s="1045"/>
      <c r="E167" s="1045"/>
      <c r="F167" s="1045"/>
      <c r="G167" s="1045"/>
      <c r="H167" s="211"/>
      <c r="I167" s="211"/>
      <c r="J167" s="232"/>
      <c r="K167" s="228"/>
      <c r="L167" s="235" t="str">
        <f>IF(COUNTIF(L161:L166,$BL$35)=6,$BL$35,IF(COUNTIF(L161:L166,"C")&gt;=1,"C",IF(COUNTIF(L161:L166,"B")&gt;=1,"B","A")))</f>
        <v>B</v>
      </c>
      <c r="M167" s="266" t="s">
        <v>215</v>
      </c>
      <c r="N167" s="266"/>
      <c r="O167" s="267"/>
      <c r="P167" s="264"/>
      <c r="Q167" s="264"/>
      <c r="R167" s="264"/>
      <c r="S167" s="264"/>
      <c r="T167" s="264"/>
      <c r="U167" s="211"/>
      <c r="V167" s="232"/>
    </row>
    <row r="168" spans="2:31">
      <c r="B168" s="1045"/>
      <c r="C168" s="1045"/>
      <c r="D168" s="1045"/>
      <c r="E168" s="1045"/>
      <c r="F168" s="1045"/>
      <c r="G168" s="1045"/>
      <c r="H168" s="211"/>
      <c r="I168" s="211"/>
      <c r="J168" s="232"/>
      <c r="K168" s="228"/>
      <c r="L168" s="158"/>
      <c r="M168" s="264"/>
      <c r="N168" s="264"/>
      <c r="O168" s="264"/>
      <c r="P168" s="264"/>
      <c r="Q168" s="264"/>
      <c r="R168" s="264"/>
      <c r="S168" s="264"/>
      <c r="T168" s="264"/>
      <c r="U168" s="211"/>
      <c r="V168" s="232"/>
    </row>
    <row r="169" spans="2:31">
      <c r="B169" s="1045"/>
      <c r="C169" s="1045"/>
      <c r="D169" s="1045"/>
      <c r="E169" s="1045"/>
      <c r="F169" s="1045"/>
      <c r="G169" s="1045"/>
      <c r="H169" s="211"/>
      <c r="I169" s="211"/>
      <c r="J169" s="232"/>
      <c r="K169" s="228"/>
      <c r="L169" s="158"/>
      <c r="M169" s="264"/>
      <c r="N169" s="264"/>
      <c r="O169" s="264"/>
      <c r="P169" s="264"/>
      <c r="Q169" s="264"/>
      <c r="R169" s="264"/>
      <c r="S169" s="264"/>
      <c r="T169" s="264"/>
      <c r="U169" s="211"/>
      <c r="V169" s="232"/>
      <c r="Y169" s="193"/>
      <c r="Z169" s="23" t="s">
        <v>30</v>
      </c>
      <c r="AA169" s="23" t="s">
        <v>244</v>
      </c>
      <c r="AB169" s="159">
        <f>+AS36</f>
        <v>0.99</v>
      </c>
    </row>
    <row r="170" spans="2:31">
      <c r="B170" s="1045"/>
      <c r="C170" s="1045"/>
      <c r="D170" s="1045"/>
      <c r="E170" s="1045"/>
      <c r="F170" s="1045"/>
      <c r="G170" s="1045"/>
      <c r="H170" s="211"/>
      <c r="I170" s="211"/>
      <c r="J170" s="232"/>
      <c r="K170" s="227">
        <f>+IF(ISERROR(+AVERAGE(epm,ede,epe)),$BL$35,+ROUND((+AVERAGE(epm,ede,epe)),2))</f>
        <v>0.85</v>
      </c>
      <c r="L170" s="226" t="str">
        <f>+IF(K170=$BL$35,$BL$35,(+IF(K170&lt;80%,"C",+IF(K170&lt;90%,"B","A"))))</f>
        <v>B</v>
      </c>
      <c r="M170" s="264" t="s">
        <v>219</v>
      </c>
      <c r="N170" s="264"/>
      <c r="O170" s="264"/>
      <c r="P170" s="264"/>
      <c r="Q170" s="264"/>
      <c r="R170" s="264"/>
      <c r="S170" s="264"/>
      <c r="T170" s="264"/>
      <c r="U170" s="211"/>
      <c r="V170" s="232"/>
      <c r="Y170" s="193"/>
      <c r="Z170" s="23" t="s">
        <v>31</v>
      </c>
      <c r="AA170" s="23" t="s">
        <v>245</v>
      </c>
      <c r="AB170" s="159">
        <f>+AS38</f>
        <v>0.71</v>
      </c>
    </row>
    <row r="171" spans="2:31">
      <c r="B171" s="1045"/>
      <c r="C171" s="1045"/>
      <c r="D171" s="1045"/>
      <c r="E171" s="1045"/>
      <c r="F171" s="1045"/>
      <c r="G171" s="1045"/>
      <c r="H171" s="211"/>
      <c r="I171" s="211"/>
      <c r="J171" s="232"/>
      <c r="K171" s="228"/>
      <c r="L171" s="221" t="str">
        <f>+IF(COUNTIF(H94:H109,$BL$35)=3,$BL$35,+IF(COUNTIF((H94:H109),"C")&gt;=1,"C",+IF(+COUNTIF((H94:H109),"B")&gt;=1,"B","A")))</f>
        <v>A</v>
      </c>
      <c r="M171" s="264" t="s">
        <v>256</v>
      </c>
      <c r="N171" s="264"/>
      <c r="O171" s="264"/>
      <c r="P171" s="264"/>
      <c r="Q171" s="264"/>
      <c r="R171" s="264"/>
      <c r="S171" s="264"/>
      <c r="T171" s="264"/>
      <c r="U171" s="211"/>
      <c r="V171" s="232"/>
      <c r="Y171" s="193"/>
      <c r="Z171" s="23" t="s">
        <v>32</v>
      </c>
      <c r="AA171" s="23" t="s">
        <v>246</v>
      </c>
      <c r="AB171" s="159">
        <f>+AS40</f>
        <v>0.99</v>
      </c>
    </row>
    <row r="172" spans="2:31">
      <c r="B172" s="1045"/>
      <c r="C172" s="1045"/>
      <c r="D172" s="1045"/>
      <c r="E172" s="1045"/>
      <c r="F172" s="1045"/>
      <c r="G172" s="1045"/>
      <c r="H172" s="211"/>
      <c r="I172" s="211"/>
      <c r="J172" s="232"/>
      <c r="K172" s="33"/>
      <c r="L172" s="221" t="str">
        <f>++IF(K170=$BL$35,$BL$35,+IF(MIN(epm,ede,epe)&lt;70%,"C",+IF(MIN(epm,ede,epe)&lt;80%,"B","kA")))</f>
        <v>kA</v>
      </c>
      <c r="M172" s="265" t="s">
        <v>265</v>
      </c>
      <c r="N172" s="264"/>
      <c r="O172" s="264"/>
      <c r="P172" s="211"/>
      <c r="Q172" s="264"/>
      <c r="R172" s="264"/>
      <c r="S172" s="264"/>
      <c r="T172" s="264"/>
      <c r="U172" s="211"/>
      <c r="V172" s="232"/>
      <c r="Y172" s="193"/>
      <c r="AB172" s="159"/>
    </row>
    <row r="173" spans="2:31" ht="15" thickBot="1">
      <c r="B173" s="1045"/>
      <c r="C173" s="1045"/>
      <c r="D173" s="1045"/>
      <c r="E173" s="1045"/>
      <c r="F173" s="1045"/>
      <c r="G173" s="1045"/>
      <c r="H173" s="211"/>
      <c r="I173" s="211"/>
      <c r="J173" s="232"/>
      <c r="K173" s="33"/>
      <c r="L173" s="221" t="str">
        <f>IF(COUNT((A8:A22)=0),$BL$35,+IF(+COUNTIF((A8:A22),"C")&gt;=1,"C",+IF(+COUNTIF((A8:A22),"B")&gt;=1,"B","A")))</f>
        <v>A</v>
      </c>
      <c r="M173" s="265" t="s">
        <v>252</v>
      </c>
      <c r="N173" s="264"/>
      <c r="O173" s="264"/>
      <c r="P173" s="211"/>
      <c r="Q173" s="264"/>
      <c r="R173" s="264"/>
      <c r="S173" s="264"/>
      <c r="T173" s="264"/>
      <c r="U173" s="211"/>
      <c r="V173" s="232"/>
      <c r="Y173" s="193"/>
      <c r="AB173" s="159"/>
    </row>
    <row r="174" spans="2:31" ht="15" thickBot="1">
      <c r="B174" s="1045"/>
      <c r="C174" s="1045"/>
      <c r="D174" s="1045"/>
      <c r="E174" s="1045"/>
      <c r="F174" s="1045"/>
      <c r="G174" s="1045"/>
      <c r="H174" s="211"/>
      <c r="I174" s="211"/>
      <c r="J174" s="232"/>
      <c r="K174" s="228"/>
      <c r="L174" s="235" t="str">
        <f>+IF(L170=$BL$35,$BL$35,+IF(COUNTIF(L170:L173,"C")&gt;=1,"C",+IF(COUNTIF(L170:L173,"B")&gt;=1,"B","A")))</f>
        <v>B</v>
      </c>
      <c r="M174" s="266" t="s">
        <v>220</v>
      </c>
      <c r="N174" s="267"/>
      <c r="O174" s="264"/>
      <c r="P174" s="264"/>
      <c r="Q174" s="264"/>
      <c r="R174" s="264"/>
      <c r="S174" s="264"/>
      <c r="T174" s="264"/>
      <c r="U174" s="211"/>
      <c r="V174" s="232"/>
      <c r="Y174" s="193"/>
      <c r="AB174" s="159"/>
    </row>
    <row r="175" spans="2:31">
      <c r="B175" s="1045"/>
      <c r="C175" s="1045"/>
      <c r="D175" s="1045"/>
      <c r="E175" s="1045"/>
      <c r="F175" s="1045"/>
      <c r="G175" s="1045"/>
      <c r="H175" s="211"/>
      <c r="I175" s="211"/>
      <c r="J175" s="232"/>
      <c r="K175" s="228"/>
      <c r="L175" s="158"/>
      <c r="M175" s="264"/>
      <c r="N175" s="264"/>
      <c r="O175" s="264"/>
      <c r="P175" s="264"/>
      <c r="Q175" s="264"/>
      <c r="R175" s="264"/>
      <c r="S175" s="264"/>
      <c r="T175" s="264"/>
      <c r="U175" s="211"/>
      <c r="V175" s="232"/>
      <c r="Y175" s="193"/>
      <c r="AB175" s="159"/>
    </row>
    <row r="176" spans="2:31">
      <c r="B176" s="1045"/>
      <c r="C176" s="1045"/>
      <c r="D176" s="1045"/>
      <c r="E176" s="1045"/>
      <c r="F176" s="1045"/>
      <c r="G176" s="1045"/>
      <c r="H176" s="211"/>
      <c r="I176" s="211"/>
      <c r="J176" s="232"/>
      <c r="K176" s="227">
        <f>++IF(ISERROR(AVERAGE(ez,epg,ek)),$BL$35,+ROUND((+AVERAGE(ez,epg,ek)),2))</f>
        <v>0.85</v>
      </c>
      <c r="L176" s="226" t="str">
        <f>+IF(K176=$BL$35,$BL$35,+IF(K176&lt;80%,"C",+IF(K176&lt;90%,"B","A")))</f>
        <v>B</v>
      </c>
      <c r="M176" s="264" t="s">
        <v>221</v>
      </c>
      <c r="N176" s="264"/>
      <c r="O176" s="264"/>
      <c r="P176" s="264"/>
      <c r="Q176" s="264"/>
      <c r="R176" s="264"/>
      <c r="S176" s="264"/>
      <c r="T176" s="264"/>
      <c r="U176" s="211"/>
      <c r="V176" s="232"/>
      <c r="Y176" s="193"/>
      <c r="AB176" s="159"/>
    </row>
    <row r="177" spans="2:30">
      <c r="B177" s="1045"/>
      <c r="C177" s="1045"/>
      <c r="D177" s="1045"/>
      <c r="E177" s="1045"/>
      <c r="F177" s="1045"/>
      <c r="G177" s="1045"/>
      <c r="H177" s="211"/>
      <c r="I177" s="211"/>
      <c r="J177" s="232"/>
      <c r="K177" s="228"/>
      <c r="L177" s="221" t="str">
        <f>+IF(K176=$BL$35,$BL$35,+IF(MIN(elm,epg,ek,AS36:AS40,G62,M62,Q62,W62,AB62,AG62,BD62)&lt;70%,"C",IF(MIN(elm,epg,ek,AS36:AS40,G62,M62,Q62,W62,AB62,AG62,BD62)&lt;80%,"B","A")))</f>
        <v>B</v>
      </c>
      <c r="M177" s="264" t="s">
        <v>273</v>
      </c>
      <c r="N177" s="264"/>
      <c r="O177" s="264"/>
      <c r="P177" s="264"/>
      <c r="Q177" s="264"/>
      <c r="R177" s="264"/>
      <c r="S177" s="264"/>
      <c r="T177" s="264"/>
      <c r="U177" s="211"/>
      <c r="V177" s="232"/>
      <c r="Y177" s="159"/>
      <c r="AB177" s="159"/>
    </row>
    <row r="178" spans="2:30">
      <c r="B178" s="1045"/>
      <c r="C178" s="1045"/>
      <c r="D178" s="1045"/>
      <c r="E178" s="1045"/>
      <c r="F178" s="1045"/>
      <c r="G178" s="1045"/>
      <c r="H178" s="211"/>
      <c r="I178" s="211"/>
      <c r="J178" s="232"/>
      <c r="K178" s="33"/>
      <c r="L178" s="221" t="str">
        <f>IF(COUNT((A29:A66)=0),$BL$35,+IF(+COUNTIF((A29:A66),"C")&gt;=1,"C",+IF(+COUNTIF((A29:A66),"B")&gt;=1,"B","A")))</f>
        <v>A</v>
      </c>
      <c r="M178" s="265" t="s">
        <v>251</v>
      </c>
      <c r="N178" s="264"/>
      <c r="O178" s="264"/>
      <c r="P178" s="264"/>
      <c r="Q178" s="264"/>
      <c r="R178" s="264"/>
      <c r="S178" s="264"/>
      <c r="T178" s="264"/>
      <c r="U178" s="211"/>
      <c r="V178" s="232"/>
      <c r="Y178" s="159"/>
      <c r="AB178" s="159"/>
    </row>
    <row r="179" spans="2:30" ht="15" thickBot="1">
      <c r="B179" s="1045"/>
      <c r="C179" s="1045"/>
      <c r="D179" s="1045"/>
      <c r="E179" s="1045"/>
      <c r="F179" s="1045"/>
      <c r="G179" s="1045"/>
      <c r="H179" s="211"/>
      <c r="I179" s="211"/>
      <c r="J179" s="232"/>
      <c r="K179" s="228"/>
      <c r="L179" s="221" t="str">
        <f>+IF(K176=$BL$35,$BL$35,+IF(COUNTIF((H116:H156),"C")&gt;=1,"C",+IF(+COUNTIF((H116:H156),"B")&gt;=1,"B","A")))</f>
        <v>B</v>
      </c>
      <c r="M179" s="264" t="s">
        <v>250</v>
      </c>
      <c r="N179" s="264"/>
      <c r="O179" s="264"/>
      <c r="P179" s="264"/>
      <c r="Q179" s="264"/>
      <c r="R179" s="264"/>
      <c r="S179" s="264"/>
      <c r="T179" s="264"/>
      <c r="U179" s="211"/>
      <c r="V179" s="232"/>
      <c r="AB179" s="23">
        <f>+COUNTIF(AB169:AB178,$BL$35)</f>
        <v>0</v>
      </c>
      <c r="AD179" s="272" t="str">
        <f>+IF(AB179=3,$BL$35,+IF(MIN(AB169:AB171)&lt;70%,"C",+IF(MIN(AB169:AB171)&lt;80%,"B","A")))</f>
        <v>B</v>
      </c>
    </row>
    <row r="180" spans="2:30" ht="15" thickBot="1">
      <c r="B180" s="1045"/>
      <c r="C180" s="1045"/>
      <c r="D180" s="1045"/>
      <c r="E180" s="1045"/>
      <c r="F180" s="1045"/>
      <c r="G180" s="1045"/>
      <c r="H180" s="211"/>
      <c r="I180" s="211"/>
      <c r="J180" s="232"/>
      <c r="K180" s="229"/>
      <c r="L180" s="235" t="str">
        <f>++IF(K176=$BL$35,$BL$35,+IF(ISERROR(K176),$BL$35,+IF(COUNTIF(L176:L179,"C")&gt;=1,"C",+IF(COUNTIF(L176:L179,"B")&gt;=1,"B","A"))))</f>
        <v>B</v>
      </c>
      <c r="M180" s="266" t="s">
        <v>258</v>
      </c>
      <c r="N180" s="267"/>
      <c r="O180" s="268"/>
      <c r="P180" s="268"/>
      <c r="Q180" s="268"/>
      <c r="R180" s="268"/>
      <c r="S180" s="268"/>
      <c r="T180" s="268"/>
      <c r="U180" s="273"/>
      <c r="V180" s="269"/>
    </row>
    <row r="181" spans="2:30">
      <c r="B181" s="1045"/>
      <c r="C181" s="1045"/>
      <c r="D181" s="1045"/>
      <c r="E181" s="1045"/>
      <c r="F181" s="1045"/>
      <c r="G181" s="1045"/>
      <c r="K181" s="158"/>
      <c r="L181" s="158"/>
      <c r="M181" s="158"/>
      <c r="N181" s="158"/>
      <c r="O181" s="158"/>
      <c r="P181" s="158"/>
      <c r="Q181" s="158"/>
      <c r="R181" s="158"/>
      <c r="S181" s="158"/>
      <c r="T181" s="158"/>
    </row>
    <row r="183" spans="2:30">
      <c r="K183" s="240" t="s">
        <v>248</v>
      </c>
      <c r="L183" s="1092"/>
      <c r="M183" s="1092"/>
      <c r="N183" s="1092"/>
      <c r="O183" s="1092"/>
      <c r="P183" s="1093"/>
    </row>
    <row r="184" spans="2:30">
      <c r="K184" s="1094" t="s">
        <v>247</v>
      </c>
      <c r="L184" s="1095"/>
      <c r="M184" s="1095"/>
      <c r="N184" s="1095"/>
      <c r="O184" s="1095"/>
      <c r="P184" s="1096"/>
      <c r="R184" s="158"/>
      <c r="S184" s="23" t="s">
        <v>222</v>
      </c>
      <c r="T184" s="158"/>
    </row>
    <row r="185" spans="2:30">
      <c r="K185" s="1097" t="s">
        <v>249</v>
      </c>
      <c r="L185" s="1098"/>
      <c r="M185" s="1098"/>
      <c r="N185" s="1098"/>
      <c r="O185" s="1098"/>
      <c r="P185" s="1099"/>
      <c r="S185" s="23">
        <v>1</v>
      </c>
      <c r="T185" s="23">
        <v>2</v>
      </c>
      <c r="U185" s="23">
        <v>3</v>
      </c>
      <c r="V185" s="23">
        <v>4</v>
      </c>
      <c r="W185" s="23">
        <v>5</v>
      </c>
      <c r="X185" s="23">
        <v>6</v>
      </c>
      <c r="Y185" s="23">
        <v>7</v>
      </c>
      <c r="Z185" s="23">
        <v>8</v>
      </c>
      <c r="AA185" s="23">
        <v>9</v>
      </c>
      <c r="AB185" s="23">
        <v>10</v>
      </c>
    </row>
    <row r="186" spans="2:30">
      <c r="P186" s="23" t="s">
        <v>223</v>
      </c>
      <c r="S186" s="23" t="str">
        <f t="shared" ref="S186:AB186" si="3">+J150</f>
        <v>A</v>
      </c>
      <c r="T186" s="23" t="str">
        <f t="shared" si="3"/>
        <v>B</v>
      </c>
      <c r="U186" s="23" t="str">
        <f t="shared" si="3"/>
        <v>A</v>
      </c>
      <c r="V186" s="23">
        <f t="shared" si="3"/>
        <v>0</v>
      </c>
      <c r="W186" s="23">
        <f t="shared" si="3"/>
        <v>0</v>
      </c>
      <c r="X186" s="23">
        <f t="shared" si="3"/>
        <v>0</v>
      </c>
      <c r="Y186" s="23">
        <f t="shared" si="3"/>
        <v>0</v>
      </c>
      <c r="Z186" s="23">
        <f t="shared" si="3"/>
        <v>0</v>
      </c>
      <c r="AA186" s="23">
        <f t="shared" si="3"/>
        <v>0</v>
      </c>
      <c r="AB186" s="23">
        <f t="shared" si="3"/>
        <v>0</v>
      </c>
    </row>
    <row r="187" spans="2:30">
      <c r="R187" s="23" t="s">
        <v>47</v>
      </c>
      <c r="S187" s="23" t="str">
        <f>+IF(ISERROR(AVERAGE(D36:H36)),$BL$35,(+IF(AVERAGE(D36:H36)&lt;70%,"C",+IF(AVERAGE(D36:H36)&lt;80%,"B","A"))))</f>
        <v>A</v>
      </c>
      <c r="T187" s="23" t="str">
        <f>+IF(ISERROR(AVERAGE(D38:H38)),$BL$35,(+IF(AVERAGE(D38:H38)&lt;70%,"C",+IF(AVERAGE(D38:H38)&lt;80%,"B","A"))))</f>
        <v>A</v>
      </c>
      <c r="U187" s="23" t="str">
        <f>+IF(ISERROR(AVERAGE(D40:H40)),$BL$35,(+IF(AVERAGE(D40:H40)&lt;70%,"C",+IF(AVERAGE(D40:H40)&lt;80%,"B","A"))))</f>
        <v>A</v>
      </c>
      <c r="V187" s="23" t="str">
        <f>+IF(ISERROR(AVERAGE(#REF!)),$BL$35,(+IF(AVERAGE(#REF!)&lt;70%,"C",+IF(AVERAGE(#REF!)&lt;80%,"B","A"))))</f>
        <v>n.e.</v>
      </c>
      <c r="W187" s="23" t="str">
        <f>+IF(ISERROR(AVERAGE(#REF!)),$BL$35,(+IF(AVERAGE(#REF!)&lt;70%,"C",+IF(AVERAGE(#REF!)&lt;80%,"B","A"))))</f>
        <v>n.e.</v>
      </c>
      <c r="X187" s="23" t="str">
        <f>+IF(ISERROR(AVERAGE(#REF!)),$BL$35,(+IF(AVERAGE(#REF!)&lt;70%,"C",+IF(AVERAGE(#REF!)&lt;80%,"B","A"))))</f>
        <v>n.e.</v>
      </c>
      <c r="Y187" s="23" t="str">
        <f>+IF(ISERROR(AVERAGE(#REF!)),$BL$35,(+IF(AVERAGE(#REF!)&lt;70%,"C",+IF(AVERAGE(#REF!)&lt;80%,"B","A"))))</f>
        <v>n.e.</v>
      </c>
      <c r="Z187" s="23" t="str">
        <f>+IF(ISERROR(AVERAGE(#REF!)),$BL$35,(+IF(AVERAGE(#REF!)&lt;70%,"C",+IF(AVERAGE(#REF!)&lt;80%,"B","A"))))</f>
        <v>n.e.</v>
      </c>
      <c r="AA187" s="23" t="str">
        <f>+IF(ISERROR(AVERAGE(#REF!)),$BL$35,(+IF(AVERAGE(#REF!)&lt;70%,"C",+IF(AVERAGE(#REF!)&lt;80%,"B","A"))))</f>
        <v>n.e.</v>
      </c>
      <c r="AB187" s="23" t="str">
        <f>+IF(ISERROR(AVERAGE(#REF!)),$BL$35,(+IF(AVERAGE(#REF!)&lt;70%,"C",+IF(AVERAGE(#REF!)&lt;80%,"B","A"))))</f>
        <v>n.e.</v>
      </c>
    </row>
    <row r="188" spans="2:30">
      <c r="R188" s="23" t="s">
        <v>48</v>
      </c>
      <c r="S188" s="23" t="str">
        <f>+IF(ISERROR(AVERAGE(J36:O36)),$BL$35,(+IF(AVERAGE(J36:O36)&lt;70%,"C",+IF(AVERAGE(J36:O36)&lt;80%,"B","A"))))</f>
        <v>A</v>
      </c>
      <c r="T188" s="23" t="str">
        <f>+IF(ISERROR(AVERAGE(J38:O38)),$BL$35,(+IF(AVERAGE(J38:O38)&lt;70%,"C",+IF(AVERAGE(J38:O38)&lt;80%,"B","A"))))</f>
        <v>A</v>
      </c>
      <c r="U188" s="23" t="str">
        <f>+IF(ISERROR(AVERAGE(J40:O40)),$BL$35,(+IF(AVERAGE(J40:O40)&lt;70%,"C",+IF(AVERAGE(J40:O40)&lt;80%,"B","A"))))</f>
        <v>A</v>
      </c>
      <c r="V188" s="23" t="str">
        <f>+IF(ISERROR(AVERAGE(#REF!)),$BL$35,(+IF(AVERAGE(#REF!)&lt;70%,"C",+IF(AVERAGE(#REF!)&lt;80%,"B","A"))))</f>
        <v>n.e.</v>
      </c>
      <c r="W188" s="23" t="str">
        <f>+IF(ISERROR(AVERAGE(#REF!)),$BL$35,(+IF(AVERAGE(#REF!)&lt;70%,"C",+IF(AVERAGE(#REF!)&lt;80%,"B","A"))))</f>
        <v>n.e.</v>
      </c>
      <c r="X188" s="23" t="str">
        <f>+IF(ISERROR(AVERAGE(#REF!)),$BL$35,(+IF(AVERAGE(#REF!)&lt;70%,"C",+IF(AVERAGE(#REF!)&lt;80%,"B","A"))))</f>
        <v>n.e.</v>
      </c>
      <c r="Y188" s="23" t="str">
        <f>+IF(ISERROR(AVERAGE(#REF!)),$BL$35,(+IF(AVERAGE(#REF!)&lt;70%,"C",+IF(AVERAGE(#REF!)&lt;80%,"B","A"))))</f>
        <v>n.e.</v>
      </c>
      <c r="Z188" s="23" t="str">
        <f>+IF(ISERROR(AVERAGE(#REF!)),$BL$35,(+IF(AVERAGE(#REF!)&lt;70%,"C",+IF(AVERAGE(#REF!)&lt;80%,"B","A"))))</f>
        <v>n.e.</v>
      </c>
      <c r="AA188" s="23" t="str">
        <f>+IF(ISERROR(AVERAGE(#REF!)),$BL$35,(+IF(AVERAGE(#REF!)&lt;70%,"C",+IF(AVERAGE(#REF!)&lt;80%,"B","A"))))</f>
        <v>n.e.</v>
      </c>
      <c r="AB188" s="23" t="str">
        <f>+IF(ISERROR(AVERAGE(#REF!)),$BL$35,(+IF(AVERAGE(#REF!)&lt;70%,"C",+IF(AVERAGE(#REF!)&lt;80%,"B","A"))))</f>
        <v>n.e.</v>
      </c>
    </row>
    <row r="189" spans="2:30">
      <c r="R189" s="23" t="s">
        <v>49</v>
      </c>
      <c r="S189" s="23" t="str">
        <f>+IF(ISERROR(AVERAGE(P36:R36)),$BL$35,(+IF(AVERAGE(P36:R36)&lt;70%,"C",+IF(AVERAGE(P36:R36)&lt;80%,"B","A"))))</f>
        <v>A</v>
      </c>
      <c r="T189" s="23" t="str">
        <f>+IF(ISERROR(AVERAGE(P38:R38)),$BL$35,(+IF(AVERAGE(P38:R38)&lt;70%,"C",+IF(AVERAGE(P38:R38)&lt;80%,"B","A"))))</f>
        <v>A</v>
      </c>
      <c r="U189" s="23" t="str">
        <f>+IF(ISERROR(AVERAGE(P40:R40)),$BL$35,(+IF(AVERAGE(P40:R40)&lt;70%,"C",+IF(AVERAGE(P40:R40)&lt;80%,"B","A"))))</f>
        <v>A</v>
      </c>
      <c r="V189" s="23" t="str">
        <f>+IF(ISERROR(AVERAGE(#REF!)),$BL$35,(+IF(AVERAGE(#REF!)&lt;70%,"C",+IF(AVERAGE(#REF!)&lt;80%,"B","A"))))</f>
        <v>n.e.</v>
      </c>
      <c r="W189" s="23" t="str">
        <f>+IF(ISERROR(AVERAGE(#REF!)),$BL$35,(+IF(AVERAGE(#REF!)&lt;70%,"C",+IF(AVERAGE(#REF!)&lt;80%,"B","A"))))</f>
        <v>n.e.</v>
      </c>
      <c r="X189" s="23" t="str">
        <f>+IF(ISERROR(AVERAGE(#REF!)),$BL$35,(+IF(AVERAGE(#REF!)&lt;70%,"C",+IF(AVERAGE(#REF!)&lt;80%,"B","A"))))</f>
        <v>n.e.</v>
      </c>
      <c r="Y189" s="23" t="str">
        <f>+IF(ISERROR(AVERAGE(#REF!)),$BL$35,(+IF(AVERAGE(#REF!)&lt;70%,"C",+IF(AVERAGE(#REF!)&lt;80%,"B","A"))))</f>
        <v>n.e.</v>
      </c>
      <c r="Z189" s="23" t="str">
        <f>+IF(ISERROR(AVERAGE(#REF!)),$BL$35,(+IF(AVERAGE(#REF!)&lt;70%,"C",+IF(AVERAGE(#REF!)&lt;80%,"B","A"))))</f>
        <v>n.e.</v>
      </c>
      <c r="AA189" s="23" t="str">
        <f>+IF(ISERROR(AVERAGE(#REF!)),$BL$35,(+IF(AVERAGE(#REF!)&lt;70%,"C",+IF(AVERAGE(#REF!)&lt;80%,"B","A"))))</f>
        <v>n.e.</v>
      </c>
      <c r="AB189" s="23" t="str">
        <f>+IF(ISERROR(AVERAGE(#REF!)),$BL$35,(+IF(AVERAGE(#REF!)&lt;70%,"C",+IF(AVERAGE(#REF!)&lt;80%,"B","A"))))</f>
        <v>n.e.</v>
      </c>
    </row>
    <row r="190" spans="2:30">
      <c r="R190" s="23" t="s">
        <v>50</v>
      </c>
      <c r="S190" s="23" t="str">
        <f>+IF(ISERROR(AVERAGE($T36:$V36)),$BL$35,(+IF(AVERAGE($T36:$V36)&lt;70%,"C",+IF(AVERAGE($T36:$V36)&lt;80%,"B","A"))))</f>
        <v>A</v>
      </c>
      <c r="T190" s="23" t="str">
        <f>+IF(ISERROR(AVERAGE($T38:$V38)),$BL$35,(+IF(AVERAGE($T38:$V38)&lt;70%,"C",+IF(AVERAGE($T38:$V38)&lt;80%,"B","A"))))</f>
        <v>A</v>
      </c>
      <c r="U190" s="23" t="str">
        <f>+IF(ISERROR(AVERAGE($T40:$V40)),$BL$35,(+IF(AVERAGE($T40:$V40)&lt;70%,"C",+IF(AVERAGE($T40:$V40)&lt;80%,"B","A"))))</f>
        <v>A</v>
      </c>
      <c r="V190" s="23" t="str">
        <f>+IF(ISERROR(AVERAGE(#REF!)),$BL$35,(+IF(AVERAGE(#REF!)&lt;70%,"C",+IF(AVERAGE(#REF!)&lt;80%,"B","A"))))</f>
        <v>n.e.</v>
      </c>
      <c r="W190" s="23" t="str">
        <f>+IF(ISERROR(AVERAGE(#REF!)),$BL$35,(+IF(AVERAGE(#REF!)&lt;70%,"C",+IF(AVERAGE(#REF!)&lt;80%,"B","A"))))</f>
        <v>n.e.</v>
      </c>
      <c r="X190" s="23" t="str">
        <f>+IF(ISERROR(AVERAGE(#REF!)),$BL$35,(+IF(AVERAGE(#REF!)&lt;70%,"C",+IF(AVERAGE(#REF!)&lt;80%,"B","A"))))</f>
        <v>n.e.</v>
      </c>
      <c r="Y190" s="23" t="str">
        <f>+IF(ISERROR(AVERAGE(#REF!)),$BL$35,(+IF(AVERAGE(#REF!)&lt;70%,"C",+IF(AVERAGE(#REF!)&lt;80%,"B","A"))))</f>
        <v>n.e.</v>
      </c>
      <c r="Z190" s="23" t="str">
        <f>+IF(ISERROR(AVERAGE(#REF!)),$BL$35,(+IF(AVERAGE(#REF!)&lt;70%,"C",+IF(AVERAGE(#REF!)&lt;80%,"B","A"))))</f>
        <v>n.e.</v>
      </c>
      <c r="AA190" s="23" t="str">
        <f>+IF(ISERROR(AVERAGE(#REF!)),$BL$35,(+IF(AVERAGE(#REF!)&lt;70%,"C",+IF(AVERAGE(#REF!)&lt;80%,"B","A"))))</f>
        <v>n.e.</v>
      </c>
      <c r="AB190" s="23" t="str">
        <f>+IF(ISERROR(AVERAGE(#REF!)),$BL$35,(+IF(AVERAGE(#REF!)&lt;70%,"C",+IF(AVERAGE(#REF!)&lt;80%,"B","A"))))</f>
        <v>n.e.</v>
      </c>
    </row>
    <row r="191" spans="2:30">
      <c r="R191" s="23" t="s">
        <v>144</v>
      </c>
      <c r="S191" s="23" t="str">
        <f>+IF(ISERROR(AVERAGE($Z36:$AC36)),$BL$35,(+IF(AVERAGE($Z36:$AC36)&lt;70%,"C",+IF(AVERAGE($Z36:$AC36)&lt;80%,"B","A"))))</f>
        <v>A</v>
      </c>
      <c r="T191" s="23" t="str">
        <f>+IF(ISERROR(AVERAGE($Z38:$AC38)),$BL$35,(+IF(AVERAGE($Z38:$AC38)&lt;70%,"C",+IF(AVERAGE($Z38:$AC38)&lt;80%,"B","A"))))</f>
        <v>A</v>
      </c>
      <c r="U191" s="23" t="str">
        <f>+IF(ISERROR(AVERAGE($Z40:$AC40)),$BL$35,(+IF(AVERAGE($Z40:$AC40)&lt;70%,"C",+IF(AVERAGE($Z40:$AC40)&lt;80%,"B","A"))))</f>
        <v>A</v>
      </c>
      <c r="V191" s="23" t="str">
        <f>+IF(ISERROR(AVERAGE(#REF!)),$BL$35,(+IF(AVERAGE(#REF!)&lt;70%,"C",+IF(AVERAGE(#REF!)&lt;80%,"B","A"))))</f>
        <v>n.e.</v>
      </c>
      <c r="W191" s="23" t="str">
        <f>+IF(ISERROR(AVERAGE(#REF!)),$BL$35,(+IF(AVERAGE(#REF!)&lt;70%,"C",+IF(AVERAGE(#REF!)&lt;80%,"B","A"))))</f>
        <v>n.e.</v>
      </c>
      <c r="X191" s="23" t="str">
        <f>+IF(ISERROR(AVERAGE(#REF!)),$BL$35,(+IF(AVERAGE(#REF!)&lt;70%,"C",+IF(AVERAGE(#REF!)&lt;80%,"B","A"))))</f>
        <v>n.e.</v>
      </c>
      <c r="Y191" s="23" t="str">
        <f>+IF(ISERROR(AVERAGE(#REF!)),$BL$35,(+IF(AVERAGE(#REF!)&lt;70%,"C",+IF(AVERAGE(#REF!)&lt;80%,"B","A"))))</f>
        <v>n.e.</v>
      </c>
      <c r="Z191" s="23" t="str">
        <f>+IF(ISERROR(AVERAGE(#REF!)),$BL$35,(+IF(AVERAGE(#REF!)&lt;70%,"C",+IF(AVERAGE(#REF!)&lt;80%,"B","A"))))</f>
        <v>n.e.</v>
      </c>
      <c r="AA191" s="23" t="str">
        <f>+IF(ISERROR(AVERAGE(#REF!)),$BL$35,(+IF(AVERAGE(#REF!)&lt;70%,"C",+IF(AVERAGE(#REF!)&lt;80%,"B","A"))))</f>
        <v>n.e.</v>
      </c>
      <c r="AB191" s="23" t="str">
        <f>+IF(ISERROR(AVERAGE(#REF!)),$BL$35,(+IF(AVERAGE(#REF!)&lt;70%,"C",+IF(AVERAGE(#REF!)&lt;80%,"B","A"))))</f>
        <v>n.e.</v>
      </c>
    </row>
    <row r="192" spans="2:30">
      <c r="R192" s="23" t="s">
        <v>145</v>
      </c>
      <c r="S192" s="23" t="str">
        <f>+IF(ISERROR(AVERAGE($AE36:$AH36)),$BL$35,(+IF(AVERAGE($AE36:$AH36)&lt;70%,"C",+IF(AVERAGE($AE36:$AH36)&lt;80%,"B","A"))))</f>
        <v>A</v>
      </c>
      <c r="T192" s="23" t="str">
        <f>+IF(ISERROR(AVERAGE($AE38:$AH38)),$BL$35,(+IF(AVERAGE($AE38:$AH38)&lt;70%,"C",+IF(AVERAGE($AE38:$AH38)&lt;80%,"B","A"))))</f>
        <v>A</v>
      </c>
      <c r="U192" s="23" t="str">
        <f>+IF(ISERROR(AVERAGE($AE40:$AH40)),$BL$35,(+IF(AVERAGE($AE40:$AH40)&lt;70%,"C",+IF(AVERAGE($AE40:$AH40)&lt;80%,"B","A"))))</f>
        <v>A</v>
      </c>
      <c r="V192" s="23" t="str">
        <f>+IF(ISERROR(AVERAGE(#REF!)),$BL$35,(+IF(AVERAGE(#REF!)&lt;70%,"C",+IF(AVERAGE(#REF!)&lt;80%,"B","A"))))</f>
        <v>n.e.</v>
      </c>
      <c r="W192" s="23" t="str">
        <f>+IF(ISERROR(AVERAGE(#REF!)),$BL$35,(+IF(AVERAGE(#REF!)&lt;70%,"C",+IF(AVERAGE(#REF!)&lt;80%,"B","A"))))</f>
        <v>n.e.</v>
      </c>
      <c r="X192" s="23" t="str">
        <f>+IF(ISERROR(AVERAGE(#REF!)),$BL$35,(+IF(AVERAGE(#REF!)&lt;70%,"C",+IF(AVERAGE(#REF!)&lt;80%,"B","A"))))</f>
        <v>n.e.</v>
      </c>
      <c r="Y192" s="23" t="str">
        <f>+IF(ISERROR(AVERAGE(#REF!)),$BL$35,(+IF(AVERAGE(#REF!)&lt;70%,"C",+IF(AVERAGE(#REF!)&lt;80%,"B","A"))))</f>
        <v>n.e.</v>
      </c>
      <c r="Z192" s="23" t="str">
        <f>+IF(ISERROR(AVERAGE(#REF!)),$BL$35,(+IF(AVERAGE(#REF!)&lt;70%,"C",+IF(AVERAGE(#REF!)&lt;80%,"B","A"))))</f>
        <v>n.e.</v>
      </c>
      <c r="AA192" s="23" t="str">
        <f>+IF(ISERROR(AVERAGE(#REF!)),$BL$35,(+IF(AVERAGE(#REF!)&lt;70%,"C",+IF(AVERAGE(#REF!)&lt;80%,"B","A"))))</f>
        <v>n.e.</v>
      </c>
      <c r="AB192" s="23" t="str">
        <f>+IF(ISERROR(AVERAGE(#REF!)),$BL$35,(+IF(AVERAGE(#REF!)&lt;70%,"C",+IF(AVERAGE(#REF!)&lt;80%,"B","A"))))</f>
        <v>n.e.</v>
      </c>
    </row>
    <row r="193" spans="1:61">
      <c r="R193" s="23" t="s">
        <v>200</v>
      </c>
      <c r="S193" s="23" t="str">
        <f>+IF(ISERROR(AVERAGE($AX36:$BE36)),$BL$35,(+IF(AVERAGE($AX36:$BE36)&lt;70%,"C",+IF(AVERAGE($AX36:$BE36)&lt;80%,"B","A"))))</f>
        <v>A</v>
      </c>
      <c r="T193" s="23" t="str">
        <f>+IF(ISERROR(AVERAGE($AX38:$BE38)),$BL$35,(+IF(AVERAGE($AX38:$BE38)&lt;70%,"C",+IF(AVERAGE($AX38:$BE38)&lt;80%,"B","A"))))</f>
        <v>A</v>
      </c>
      <c r="U193" s="23" t="str">
        <f>+IF(ISERROR(AVERAGE($AX40:$BE40)),$BL$35,(+IF(AVERAGE($AX40:$BE40)&lt;70%,"C",+IF(AVERAGE($AX40:$BE40)&lt;80%,"B","A"))))</f>
        <v>A</v>
      </c>
      <c r="V193" s="23" t="str">
        <f>+IF(ISERROR(AVERAGE(#REF!)),$BL$35,(+IF(AVERAGE(#REF!)&lt;70%,"C",+IF(AVERAGE(#REF!)&lt;80%,"B","A"))))</f>
        <v>n.e.</v>
      </c>
      <c r="W193" s="23" t="str">
        <f>+IF(ISERROR(AVERAGE(#REF!)),$BL$35,(+IF(AVERAGE(#REF!)&lt;70%,"C",+IF(AVERAGE(#REF!)&lt;80%,"B","A"))))</f>
        <v>n.e.</v>
      </c>
      <c r="X193" s="23" t="str">
        <f>+IF(ISERROR(AVERAGE(#REF!)),$BL$35,(+IF(AVERAGE(#REF!)&lt;70%,"C",+IF(AVERAGE(#REF!)&lt;80%,"B","A"))))</f>
        <v>n.e.</v>
      </c>
      <c r="Y193" s="23" t="str">
        <f>+IF(ISERROR(AVERAGE(#REF!)),$BL$35,(+IF(AVERAGE(#REF!)&lt;70%,"C",+IF(AVERAGE(#REF!)&lt;80%,"B","A"))))</f>
        <v>n.e.</v>
      </c>
      <c r="Z193" s="23" t="str">
        <f>+IF(ISERROR(AVERAGE(#REF!)),$BL$35,(+IF(AVERAGE(#REF!)&lt;70%,"C",+IF(AVERAGE(#REF!)&lt;80%,"B","A"))))</f>
        <v>n.e.</v>
      </c>
      <c r="AA193" s="23" t="str">
        <f>+IF(ISERROR(AVERAGE(#REF!)),$BL$35,(+IF(AVERAGE(#REF!)&lt;70%,"C",+IF(AVERAGE(#REF!)&lt;80%,"B","A"))))</f>
        <v>n.e.</v>
      </c>
      <c r="AB193" s="23" t="str">
        <f>+IF(ISERROR(AVERAGE(#REF!)),$BL$35,(+IF(AVERAGE(#REF!)&lt;70%,"C",+IF(AVERAGE(#REF!)&lt;80%,"B","A"))))</f>
        <v>n.e.</v>
      </c>
    </row>
    <row r="195" spans="1:61">
      <c r="K195" s="193"/>
    </row>
    <row r="196" spans="1:61">
      <c r="K196" s="193"/>
      <c r="L196" s="158"/>
    </row>
    <row r="197" spans="1:61">
      <c r="B197" s="33"/>
      <c r="C197" s="22"/>
      <c r="D197" s="22"/>
      <c r="E197" s="22"/>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c r="AD197" s="22"/>
      <c r="AE197" s="22"/>
      <c r="AF197" s="22"/>
      <c r="AG197" s="22"/>
      <c r="AH197" s="22"/>
      <c r="AI197" s="22"/>
      <c r="AJ197" s="22"/>
      <c r="AK197" s="22"/>
      <c r="AL197" s="22"/>
      <c r="AM197" s="22"/>
      <c r="AN197" s="22"/>
      <c r="AO197" s="22"/>
      <c r="AP197" s="22"/>
      <c r="AQ197" s="22"/>
      <c r="AR197" s="22"/>
      <c r="AS197" s="22"/>
      <c r="AT197" s="22"/>
      <c r="AU197" s="22"/>
      <c r="AV197" s="22"/>
      <c r="AW197" s="22"/>
      <c r="AX197" s="22"/>
      <c r="AY197" s="22"/>
      <c r="AZ197" s="22"/>
      <c r="BA197" s="22"/>
      <c r="BB197" s="22"/>
      <c r="BC197" s="22"/>
      <c r="BD197" s="22"/>
      <c r="BE197" s="1045"/>
      <c r="BF197" s="1045"/>
      <c r="BG197" s="1045"/>
      <c r="BH197" s="34"/>
      <c r="BI197" s="22"/>
    </row>
    <row r="198" spans="1:61">
      <c r="A198" s="199"/>
      <c r="B198" s="33"/>
      <c r="C198" s="421"/>
      <c r="D198" s="1100"/>
      <c r="E198" s="1100"/>
      <c r="F198" s="1100"/>
      <c r="G198" s="1100"/>
      <c r="H198" s="1100"/>
      <c r="I198" s="1100"/>
      <c r="J198" s="1100"/>
      <c r="K198" s="1100"/>
      <c r="L198" s="1100"/>
      <c r="M198" s="1100"/>
      <c r="N198" s="1100"/>
      <c r="O198" s="1100"/>
      <c r="P198" s="1100"/>
      <c r="Q198" s="1100"/>
      <c r="R198" s="1100"/>
      <c r="S198" s="1100"/>
      <c r="T198" s="1100"/>
      <c r="U198" s="1100"/>
      <c r="V198" s="1100"/>
      <c r="W198" s="1100"/>
      <c r="X198" s="1100"/>
      <c r="Y198" s="1100"/>
      <c r="Z198" s="1100"/>
      <c r="AA198" s="1100"/>
      <c r="AB198" s="1100"/>
      <c r="AC198" s="1045"/>
      <c r="AD198" s="1045"/>
      <c r="AE198" s="1045"/>
      <c r="AF198" s="1045"/>
      <c r="AG198" s="1045"/>
      <c r="AH198" s="1045"/>
      <c r="AI198" s="1045"/>
      <c r="AJ198" s="1045"/>
      <c r="AK198" s="1045"/>
      <c r="AL198" s="1045"/>
      <c r="AM198" s="1045"/>
      <c r="AN198" s="1045"/>
      <c r="AO198" s="1045"/>
      <c r="AP198" s="1045"/>
      <c r="AQ198" s="1045"/>
      <c r="AR198" s="1045"/>
      <c r="AS198" s="1045"/>
      <c r="AT198" s="1045"/>
      <c r="AU198" s="1045"/>
      <c r="AV198" s="1045"/>
      <c r="AW198" s="1045"/>
      <c r="AX198" s="1045"/>
      <c r="AY198" s="1045"/>
      <c r="AZ198" s="1045"/>
      <c r="BA198" s="1045"/>
      <c r="BB198" s="1045"/>
      <c r="BC198" s="1045"/>
      <c r="BD198" s="1045"/>
      <c r="BE198" s="1045"/>
      <c r="BF198" s="1045"/>
      <c r="BG198" s="1045"/>
      <c r="BH198" s="1053"/>
      <c r="BI198" s="1045"/>
    </row>
    <row r="199" spans="1:61">
      <c r="B199" s="33"/>
      <c r="C199" s="1100"/>
      <c r="D199" s="1100"/>
      <c r="E199" s="1100"/>
      <c r="F199" s="1100"/>
      <c r="G199" s="1100"/>
      <c r="H199" s="1100"/>
      <c r="I199" s="1100"/>
      <c r="J199" s="1100"/>
      <c r="K199" s="1100"/>
      <c r="L199" s="1100"/>
      <c r="M199" s="1100"/>
      <c r="N199" s="1100"/>
      <c r="O199" s="1100"/>
      <c r="P199" s="1100"/>
      <c r="Q199" s="1100"/>
      <c r="R199" s="1100"/>
      <c r="S199" s="1100"/>
      <c r="T199" s="1100"/>
      <c r="U199" s="1100"/>
      <c r="V199" s="1100"/>
      <c r="W199" s="1100"/>
      <c r="X199" s="1100"/>
      <c r="Y199" s="1100"/>
      <c r="Z199" s="1100"/>
      <c r="AA199" s="1100"/>
      <c r="AB199" s="1100"/>
      <c r="AC199" s="1045"/>
      <c r="AD199" s="1045"/>
      <c r="AE199" s="1045"/>
      <c r="AF199" s="1045"/>
      <c r="AG199" s="1045"/>
      <c r="AH199" s="1045"/>
      <c r="AI199" s="1045"/>
      <c r="AJ199" s="1045"/>
      <c r="AK199" s="1045"/>
      <c r="AL199" s="1045"/>
      <c r="AM199" s="1045"/>
      <c r="AN199" s="1045"/>
      <c r="AO199" s="1045"/>
      <c r="AP199" s="1045"/>
      <c r="AQ199" s="1045"/>
      <c r="AR199" s="1045"/>
      <c r="AS199" s="1045"/>
      <c r="AT199" s="1045"/>
      <c r="AU199" s="1045"/>
      <c r="AV199" s="1045"/>
      <c r="BE199" s="1045"/>
      <c r="BF199" s="1045"/>
      <c r="BG199" s="1045"/>
      <c r="BH199" s="1053"/>
      <c r="BI199" s="1045"/>
    </row>
    <row r="200" spans="1:61" s="183" customFormat="1" ht="15.75">
      <c r="A200" s="197" t="s">
        <v>216</v>
      </c>
      <c r="B200" s="33"/>
      <c r="C200" s="1101"/>
      <c r="D200" s="1276"/>
      <c r="E200" s="1276"/>
      <c r="F200" s="1276"/>
      <c r="G200" s="1276"/>
      <c r="H200" s="1276"/>
      <c r="I200" s="1282"/>
      <c r="J200" s="1282"/>
      <c r="K200" s="1282"/>
      <c r="L200" s="1282"/>
      <c r="M200" s="1282"/>
      <c r="N200" s="1282"/>
      <c r="O200" s="1282"/>
      <c r="P200" s="1282"/>
      <c r="Q200" s="1282"/>
      <c r="R200" s="1282"/>
      <c r="S200" s="1282"/>
      <c r="T200" s="1282"/>
      <c r="U200" s="1282"/>
      <c r="V200" s="1282"/>
      <c r="W200" s="1282"/>
      <c r="X200" s="1282"/>
      <c r="Y200" s="1102"/>
      <c r="Z200" s="1102"/>
      <c r="AA200" s="1102"/>
      <c r="AB200" s="1103"/>
      <c r="AC200" s="1104"/>
      <c r="AD200" s="1104"/>
      <c r="AE200" s="1223"/>
      <c r="AF200" s="1223"/>
      <c r="AG200" s="1223"/>
      <c r="AH200" s="1223"/>
      <c r="AI200" s="1223"/>
      <c r="AJ200" s="1223"/>
      <c r="AK200" s="1223"/>
      <c r="AL200" s="1223"/>
      <c r="AM200" s="1223"/>
      <c r="AN200" s="1223"/>
      <c r="AO200" s="1223"/>
      <c r="AP200" s="1223"/>
      <c r="AQ200" s="1223"/>
      <c r="AR200" s="1223"/>
      <c r="AS200" s="1223"/>
      <c r="AT200" s="1223"/>
      <c r="AU200" s="1105"/>
      <c r="AV200" s="1105"/>
      <c r="AW200" s="1279"/>
      <c r="AX200" s="1279"/>
      <c r="AY200" s="1279"/>
      <c r="AZ200" s="1279"/>
      <c r="BA200" s="1279"/>
      <c r="BB200" s="1279"/>
      <c r="BC200" s="1279"/>
      <c r="BD200" s="1106"/>
      <c r="BE200" s="1045"/>
      <c r="BF200" s="1045"/>
      <c r="BG200" s="1045"/>
      <c r="BH200" s="1107"/>
      <c r="BI200" s="1108"/>
    </row>
    <row r="201" spans="1:61" ht="21" customHeight="1">
      <c r="A201" s="198" t="str">
        <f>IF(COUNTIF(G62,$BL$35)+COUNTIF(M62,$BL$35)+COUNTIF(M62,$BL$35)+COUNTIF(Q62,$BL$35)+COUNTIF(W62,$BL$35)+COUNTIF(AB62,$BL$35)+COUNTIF(AG62,$BL$35)+COUNTIF(BD62,$BL$35)=7,$BL$35,IF(MIN(G62,M62,Q62,W62,AB62,AG62,BD62)&lt;70%,"C",IF(MIN(G62,M62,Q62,W62,AB62,AG62,BD62)&lt;80%,"B","A")))</f>
        <v>A</v>
      </c>
      <c r="B201" s="33"/>
      <c r="C201" s="1100"/>
      <c r="D201" s="1276"/>
      <c r="E201" s="1276"/>
      <c r="F201" s="1276"/>
      <c r="G201" s="1276"/>
      <c r="H201" s="1276"/>
      <c r="I201" s="1280"/>
      <c r="J201" s="1280"/>
      <c r="K201" s="1280"/>
      <c r="L201" s="1280"/>
      <c r="M201" s="1280"/>
      <c r="N201" s="1280"/>
      <c r="O201" s="1280"/>
      <c r="P201" s="1280"/>
      <c r="Q201" s="1280"/>
      <c r="R201" s="1280"/>
      <c r="S201" s="1280"/>
      <c r="T201" s="1280"/>
      <c r="U201" s="1280"/>
      <c r="V201" s="1280"/>
      <c r="W201" s="1280"/>
      <c r="X201" s="1280"/>
      <c r="Y201" s="1109"/>
      <c r="Z201" s="1109"/>
      <c r="AA201" s="1109"/>
      <c r="AB201" s="1110"/>
      <c r="AC201" s="1111"/>
      <c r="AD201" s="1111"/>
      <c r="AE201" s="1223"/>
      <c r="AF201" s="1223"/>
      <c r="AG201" s="1223"/>
      <c r="AH201" s="1223"/>
      <c r="AI201" s="1223"/>
      <c r="AJ201" s="1223"/>
      <c r="AK201" s="1223"/>
      <c r="AL201" s="1223"/>
      <c r="AM201" s="1223"/>
      <c r="AN201" s="1223"/>
      <c r="AO201" s="1223"/>
      <c r="AP201" s="1223"/>
      <c r="AQ201" s="1223"/>
      <c r="AR201" s="1223"/>
      <c r="AS201" s="1223"/>
      <c r="AT201" s="1223"/>
      <c r="AW201" s="1279"/>
      <c r="AX201" s="1279"/>
      <c r="AY201" s="1279"/>
      <c r="AZ201" s="1279"/>
      <c r="BA201" s="1279"/>
      <c r="BB201" s="1279"/>
      <c r="BC201" s="1279"/>
      <c r="BD201" s="1106"/>
      <c r="BE201" s="1045"/>
      <c r="BF201" s="1045"/>
      <c r="BG201" s="1045"/>
      <c r="BH201" s="1053"/>
      <c r="BI201" s="1045"/>
    </row>
    <row r="202" spans="1:61" ht="5.0999999999999996" customHeight="1">
      <c r="B202" s="33"/>
      <c r="C202" s="1100"/>
      <c r="D202" s="1100"/>
      <c r="E202" s="1100"/>
      <c r="F202" s="1100"/>
      <c r="G202" s="1100"/>
      <c r="H202" s="1100"/>
      <c r="I202" s="1100"/>
      <c r="J202" s="1100"/>
      <c r="K202" s="1100"/>
      <c r="L202" s="1100"/>
      <c r="M202" s="1100"/>
      <c r="N202" s="1100"/>
      <c r="O202" s="1100"/>
      <c r="P202" s="1100"/>
      <c r="Q202" s="1100"/>
      <c r="R202" s="1100"/>
      <c r="S202" s="1100"/>
      <c r="T202" s="1100"/>
      <c r="U202" s="1100"/>
      <c r="V202" s="1100"/>
      <c r="W202" s="1100"/>
      <c r="X202" s="1100"/>
      <c r="Y202" s="1100"/>
      <c r="Z202" s="1100"/>
      <c r="AA202" s="1100"/>
      <c r="AB202" s="1100"/>
      <c r="AC202" s="1045"/>
      <c r="AD202" s="1045"/>
      <c r="AE202" s="1223"/>
      <c r="AF202" s="1223"/>
      <c r="AG202" s="1223"/>
      <c r="AH202" s="1223"/>
      <c r="AI202" s="1223"/>
      <c r="AJ202" s="1223"/>
      <c r="AK202" s="1223"/>
      <c r="AL202" s="1223"/>
      <c r="AM202" s="1223"/>
      <c r="AN202" s="1223"/>
      <c r="AO202" s="1223"/>
      <c r="AP202" s="1223"/>
      <c r="AQ202" s="1223"/>
      <c r="AR202" s="1223"/>
      <c r="AS202" s="1223"/>
      <c r="AT202" s="1223"/>
      <c r="AU202" s="1045"/>
      <c r="AV202" s="1045"/>
      <c r="AW202" s="1279"/>
      <c r="AX202" s="1279"/>
      <c r="AY202" s="1279"/>
      <c r="AZ202" s="1279"/>
      <c r="BA202" s="1279"/>
      <c r="BB202" s="1279"/>
      <c r="BC202" s="1279"/>
      <c r="BD202" s="1106"/>
      <c r="BE202" s="1045"/>
      <c r="BF202" s="1045"/>
      <c r="BG202" s="1045"/>
      <c r="BH202" s="1053"/>
      <c r="BI202" s="1045"/>
    </row>
    <row r="203" spans="1:61" ht="13.5" customHeight="1">
      <c r="B203" s="33"/>
      <c r="C203" s="1100"/>
      <c r="D203" s="217"/>
      <c r="E203" s="1100"/>
      <c r="F203" s="1100"/>
      <c r="G203" s="1100"/>
      <c r="H203" s="1100"/>
      <c r="I203" s="1100"/>
      <c r="J203" s="1278"/>
      <c r="K203" s="1278"/>
      <c r="L203" s="1100"/>
      <c r="M203" s="1100"/>
      <c r="N203" s="1278"/>
      <c r="O203" s="1278"/>
      <c r="P203" s="1100"/>
      <c r="Q203" s="1100"/>
      <c r="R203" s="1278"/>
      <c r="S203" s="1278"/>
      <c r="T203" s="1100"/>
      <c r="U203" s="1100"/>
      <c r="V203" s="1278"/>
      <c r="W203" s="1278"/>
      <c r="X203" s="209"/>
      <c r="Y203" s="1278"/>
      <c r="Z203" s="1278"/>
      <c r="AA203" s="209"/>
      <c r="AB203" s="209"/>
      <c r="AC203" s="171"/>
      <c r="AD203" s="171"/>
      <c r="AE203" s="209"/>
      <c r="AF203" s="1100"/>
      <c r="AG203" s="1100"/>
      <c r="AH203" s="211"/>
      <c r="AI203" s="211"/>
      <c r="AJ203" s="211"/>
      <c r="AK203" s="211"/>
      <c r="AL203" s="211"/>
      <c r="AM203" s="1100"/>
      <c r="AN203" s="1100"/>
      <c r="AO203" s="1100"/>
      <c r="AP203" s="1100"/>
      <c r="AQ203" s="1100"/>
      <c r="AR203" s="212"/>
      <c r="AS203" s="212"/>
      <c r="AT203" s="1100"/>
      <c r="AU203" s="1045"/>
      <c r="AV203" s="1045"/>
      <c r="AW203" s="1045"/>
      <c r="AX203" s="1045"/>
      <c r="AY203" s="1045"/>
      <c r="AZ203" s="1045"/>
      <c r="BA203" s="1045"/>
      <c r="BB203" s="1045"/>
      <c r="BC203" s="1045"/>
      <c r="BD203" s="1045"/>
      <c r="BE203" s="1112"/>
      <c r="BF203" s="1045"/>
      <c r="BG203" s="1045"/>
      <c r="BH203" s="1053"/>
      <c r="BI203" s="1045"/>
    </row>
    <row r="204" spans="1:61" ht="21" customHeight="1">
      <c r="A204" s="197" t="s">
        <v>209</v>
      </c>
      <c r="B204" s="33"/>
      <c r="C204" s="1045"/>
      <c r="D204" s="1045"/>
      <c r="E204" s="1045"/>
      <c r="F204" s="1045"/>
      <c r="G204" s="1045"/>
      <c r="H204" s="1045"/>
      <c r="I204" s="1045"/>
      <c r="J204" s="1045"/>
      <c r="K204" s="1045"/>
      <c r="L204" s="1045"/>
      <c r="M204" s="1045"/>
      <c r="N204" s="1045"/>
      <c r="O204" s="1045"/>
      <c r="P204" s="1045"/>
      <c r="Q204" s="1045"/>
      <c r="R204" s="1045"/>
      <c r="S204" s="1045"/>
      <c r="T204" s="1045"/>
      <c r="U204" s="1045"/>
      <c r="V204" s="1045"/>
      <c r="W204" s="1045"/>
      <c r="X204" s="1045"/>
      <c r="Y204" s="1045"/>
      <c r="Z204" s="1045"/>
      <c r="AA204" s="1045"/>
      <c r="AB204" s="1045"/>
      <c r="AC204" s="1045"/>
      <c r="AD204" s="1045"/>
      <c r="AE204" s="1276"/>
      <c r="AF204" s="1277"/>
      <c r="AG204" s="1277"/>
      <c r="AH204" s="1277"/>
      <c r="AI204" s="1276"/>
      <c r="AJ204" s="1276"/>
      <c r="AK204" s="1276"/>
      <c r="AL204" s="1276"/>
      <c r="AM204" s="1276"/>
      <c r="AN204" s="1276"/>
      <c r="AO204" s="1276"/>
      <c r="AP204" s="1276"/>
      <c r="AQ204" s="1276"/>
      <c r="AR204" s="1045"/>
      <c r="AS204" s="1045"/>
      <c r="AT204" s="1045"/>
      <c r="AU204" s="1045"/>
      <c r="AV204" s="1045"/>
      <c r="AW204" s="1045"/>
      <c r="AX204" s="1045"/>
      <c r="AY204" s="1045"/>
      <c r="AZ204" s="1045"/>
      <c r="BA204" s="1045"/>
      <c r="BB204" s="1045"/>
      <c r="BC204" s="1045"/>
      <c r="BD204" s="1045"/>
      <c r="BE204" s="1045"/>
      <c r="BF204" s="1045"/>
      <c r="BG204" s="1045"/>
      <c r="BH204" s="1045"/>
      <c r="BI204" s="1045"/>
    </row>
    <row r="205" spans="1:61" ht="15.2" customHeight="1" thickBot="1">
      <c r="A205" s="198" t="str">
        <f>IF(MIN(AT36:AT40)&lt;70%,"C",IF(MIN(AT36:AT40)&lt;80%,"B","A"))</f>
        <v>C</v>
      </c>
      <c r="B205" s="33"/>
      <c r="D205" s="1045"/>
      <c r="E205" s="1045"/>
      <c r="F205" s="1045"/>
      <c r="G205" s="1045"/>
      <c r="H205" s="1045"/>
      <c r="I205" s="1045"/>
      <c r="J205" s="1045"/>
      <c r="K205" s="1045"/>
      <c r="L205" s="1045"/>
      <c r="M205" s="1045"/>
      <c r="N205" s="1045"/>
      <c r="O205" s="1045"/>
      <c r="P205" s="1045"/>
      <c r="Q205" s="1045"/>
      <c r="R205" s="1045"/>
      <c r="S205" s="1045"/>
      <c r="T205" s="1045"/>
      <c r="U205" s="1045"/>
      <c r="V205" s="1045"/>
      <c r="W205" s="1045"/>
      <c r="X205" s="1045"/>
      <c r="Y205" s="1045" t="s">
        <v>77</v>
      </c>
      <c r="Z205" s="1045"/>
      <c r="AB205" s="1113" t="s">
        <v>97</v>
      </c>
      <c r="AC205" s="1045"/>
      <c r="AD205" s="1045"/>
      <c r="AE205" s="1277"/>
      <c r="AF205" s="1277"/>
      <c r="AG205" s="1277"/>
      <c r="AH205" s="1277"/>
      <c r="AI205" s="1277"/>
      <c r="AJ205" s="1277"/>
      <c r="AK205" s="1277"/>
      <c r="AL205" s="1277"/>
      <c r="AM205" s="1277"/>
      <c r="AN205" s="1277"/>
      <c r="AO205" s="1277"/>
      <c r="AP205" s="1277"/>
      <c r="AQ205" s="1277"/>
      <c r="AR205" s="1045"/>
      <c r="AS205" s="1045"/>
      <c r="AT205" s="1045"/>
      <c r="AU205" s="1045"/>
      <c r="AV205" s="1045"/>
      <c r="AW205" s="1045"/>
      <c r="AX205" s="1045"/>
      <c r="AY205" s="1045"/>
      <c r="AZ205" s="1045"/>
      <c r="BA205" s="1045"/>
      <c r="BB205" s="1045"/>
      <c r="BC205" s="1045"/>
      <c r="BD205" s="1045"/>
      <c r="BE205" s="1045"/>
      <c r="BF205" s="1045"/>
      <c r="BG205" s="1045"/>
      <c r="BH205" s="1045"/>
      <c r="BI205" s="1045"/>
    </row>
    <row r="206" spans="1:61" ht="15" customHeight="1">
      <c r="B206" s="33"/>
      <c r="C206" s="1045"/>
      <c r="D206" s="1045"/>
      <c r="E206" s="1045"/>
      <c r="F206" s="1045"/>
      <c r="G206" s="1045"/>
      <c r="H206" s="1045"/>
      <c r="I206" s="1045"/>
      <c r="J206" s="1045"/>
      <c r="K206" s="1045"/>
      <c r="L206" s="1045"/>
      <c r="M206" s="1045"/>
      <c r="N206" s="1045"/>
      <c r="O206" s="1045"/>
      <c r="P206" s="1045"/>
      <c r="Q206" s="1045"/>
      <c r="R206" s="1045"/>
      <c r="S206" s="1045"/>
      <c r="T206" s="1045"/>
      <c r="U206" s="1045"/>
      <c r="V206" s="1265" t="s">
        <v>104</v>
      </c>
      <c r="W206" s="1266"/>
      <c r="X206" s="1267"/>
      <c r="Y206" s="1247">
        <f>IF(ISERROR(AVERAGE(epm,epp,epr)),$BL$35,ROUND(AVERAGE(D8:J8,D14:H14,O14:S14,D22:K22,Q22:X22)/10,2))</f>
        <v>0.86</v>
      </c>
      <c r="Z206" s="1248"/>
      <c r="AA206" s="1249"/>
      <c r="AB206" s="1271" t="str">
        <f>+L174</f>
        <v>B</v>
      </c>
      <c r="AC206" s="1272"/>
      <c r="AD206" s="1045"/>
      <c r="AE206" s="1262"/>
      <c r="AF206" s="1263"/>
      <c r="AG206" s="1263"/>
      <c r="AH206" s="1263"/>
      <c r="AI206" s="1228"/>
      <c r="AJ206" s="1228"/>
      <c r="AK206" s="1228"/>
      <c r="AL206" s="1228"/>
      <c r="AM206" s="1228"/>
      <c r="AN206" s="1228"/>
      <c r="AO206" s="1228"/>
      <c r="AP206" s="1228"/>
      <c r="AQ206" s="1264"/>
      <c r="AR206" s="1045"/>
      <c r="AS206" s="1045"/>
      <c r="AT206" s="1045"/>
      <c r="AU206" s="1045"/>
      <c r="AV206" s="1045"/>
      <c r="AW206" s="1045"/>
      <c r="AX206" s="1045"/>
      <c r="AY206" s="1045"/>
      <c r="AZ206" s="1045"/>
      <c r="BA206" s="1045"/>
      <c r="BB206" s="1045"/>
      <c r="BC206" s="1045"/>
      <c r="BD206" s="1045"/>
      <c r="BE206" s="1045"/>
      <c r="BF206" s="1045"/>
      <c r="BG206" s="1045"/>
      <c r="BH206" s="1045"/>
      <c r="BI206" s="1045"/>
    </row>
    <row r="207" spans="1:61" ht="19.5" customHeight="1" thickBot="1">
      <c r="B207" s="33"/>
      <c r="C207" s="1045"/>
      <c r="D207" s="1045"/>
      <c r="E207" s="1045"/>
      <c r="F207" s="1114"/>
      <c r="G207" s="1045"/>
      <c r="I207" s="1045"/>
      <c r="J207" s="1115"/>
      <c r="K207" s="166"/>
      <c r="L207" s="1045"/>
      <c r="M207" s="1045"/>
      <c r="N207" s="1045"/>
      <c r="O207" s="1045"/>
      <c r="P207" s="1045"/>
      <c r="Q207" s="1045"/>
      <c r="R207" s="1045"/>
      <c r="S207" s="1045"/>
      <c r="T207" s="1045"/>
      <c r="U207" s="1045"/>
      <c r="V207" s="1268"/>
      <c r="W207" s="1269"/>
      <c r="X207" s="1270"/>
      <c r="Y207" s="1250"/>
      <c r="Z207" s="1251"/>
      <c r="AA207" s="1252"/>
      <c r="AB207" s="1273"/>
      <c r="AC207" s="1274"/>
      <c r="AD207" s="1045"/>
      <c r="AE207" s="1262"/>
      <c r="AF207" s="1263"/>
      <c r="AG207" s="1263"/>
      <c r="AH207" s="1263"/>
      <c r="AI207" s="1228"/>
      <c r="AJ207" s="1228"/>
      <c r="AK207" s="1228"/>
      <c r="AL207" s="1228"/>
      <c r="AM207" s="1228"/>
      <c r="AN207" s="1228"/>
      <c r="AO207" s="1228"/>
      <c r="AP207" s="1228"/>
      <c r="AQ207" s="1264"/>
      <c r="AR207" s="1045"/>
      <c r="AS207" s="1045"/>
      <c r="AT207" s="1045"/>
      <c r="AU207" s="1045"/>
      <c r="AV207" s="1045"/>
      <c r="AW207" s="1045"/>
      <c r="AX207" s="1045"/>
      <c r="AY207" s="1045"/>
      <c r="AZ207" s="1045"/>
      <c r="BA207" s="1045"/>
      <c r="BB207" s="1045"/>
      <c r="BC207" s="1045"/>
      <c r="BD207" s="1045"/>
      <c r="BE207" s="1045"/>
      <c r="BF207" s="1045"/>
      <c r="BG207" s="1045"/>
      <c r="BH207" s="1045"/>
      <c r="BI207" s="1045"/>
    </row>
    <row r="208" spans="1:61" ht="15" customHeight="1" thickBot="1">
      <c r="B208" s="33"/>
      <c r="C208" s="1045"/>
      <c r="D208" s="1045"/>
      <c r="E208" s="1045"/>
      <c r="F208" s="1045"/>
      <c r="G208" s="1045"/>
      <c r="H208" s="1045"/>
      <c r="I208" s="1045"/>
      <c r="J208" s="1045"/>
      <c r="K208" s="166"/>
      <c r="L208" s="1045"/>
      <c r="M208" s="1045"/>
      <c r="N208" s="1045"/>
      <c r="O208" s="1045"/>
      <c r="P208" s="1045"/>
      <c r="Q208" s="1045"/>
      <c r="R208" s="1045"/>
      <c r="S208" s="1045"/>
      <c r="T208" s="1045"/>
      <c r="U208" s="1045"/>
      <c r="V208" s="1045"/>
      <c r="W208" s="1045"/>
      <c r="X208" s="1045"/>
      <c r="Y208" s="1112"/>
      <c r="Z208" s="1045"/>
      <c r="AA208" s="1045"/>
      <c r="AB208" s="1045"/>
      <c r="AC208" s="1045"/>
      <c r="AD208" s="1045"/>
      <c r="AE208" s="1262"/>
      <c r="AF208" s="1263"/>
      <c r="AG208" s="1263"/>
      <c r="AH208" s="1263"/>
      <c r="AI208" s="1228"/>
      <c r="AJ208" s="1228"/>
      <c r="AK208" s="1228"/>
      <c r="AL208" s="1228"/>
      <c r="AM208" s="1228"/>
      <c r="AN208" s="1228"/>
      <c r="AO208" s="1228"/>
      <c r="AP208" s="1228"/>
      <c r="AQ208" s="1264"/>
      <c r="AR208" s="1045"/>
      <c r="AS208" s="1045"/>
      <c r="AT208" s="1045"/>
      <c r="AU208" s="1045"/>
      <c r="AV208" s="1045"/>
      <c r="AW208" s="1045"/>
      <c r="AX208" s="1045"/>
      <c r="AY208" s="1045"/>
      <c r="AZ208" s="1045"/>
      <c r="BA208" s="1045"/>
      <c r="BB208" s="1045"/>
      <c r="BC208" s="1045"/>
      <c r="BD208" s="1045"/>
      <c r="BE208" s="1045"/>
      <c r="BF208" s="1045"/>
      <c r="BG208" s="1045"/>
      <c r="BH208" s="1045"/>
      <c r="BI208" s="1045"/>
    </row>
    <row r="209" spans="2:61" ht="19.5" customHeight="1">
      <c r="B209" s="33"/>
      <c r="C209" s="1045"/>
      <c r="D209" s="1045"/>
      <c r="E209" s="1045"/>
      <c r="F209" s="1114"/>
      <c r="G209" s="1045"/>
      <c r="H209" s="1045"/>
      <c r="I209" s="1045"/>
      <c r="J209" s="1115"/>
      <c r="K209" s="166"/>
      <c r="L209" s="1045"/>
      <c r="M209" s="1045"/>
      <c r="N209" s="1045"/>
      <c r="O209" s="1045"/>
      <c r="P209" s="1045"/>
      <c r="Q209" s="1045"/>
      <c r="R209" s="1045"/>
      <c r="S209" s="1045"/>
      <c r="T209" s="1045"/>
      <c r="U209" s="1045"/>
      <c r="V209" s="1265" t="s">
        <v>105</v>
      </c>
      <c r="W209" s="1266"/>
      <c r="X209" s="1267"/>
      <c r="Y209" s="1247">
        <f>IF(ISERROR(AVERAGE(ez,epg,ek)),$BL$35,ROUND(AVERAGE(L29:R29,D36:AH40,U66:Y66)/10,2))</f>
        <v>0.87</v>
      </c>
      <c r="Z209" s="1248"/>
      <c r="AA209" s="1249"/>
      <c r="AB209" s="1271" t="str">
        <f>+L180</f>
        <v>B</v>
      </c>
      <c r="AC209" s="1272"/>
      <c r="AD209" s="1045"/>
      <c r="AE209" s="1262"/>
      <c r="AF209" s="1263"/>
      <c r="AG209" s="1263"/>
      <c r="AH209" s="1263"/>
      <c r="AI209" s="1228"/>
      <c r="AJ209" s="1228"/>
      <c r="AK209" s="1228"/>
      <c r="AL209" s="1228"/>
      <c r="AM209" s="1228"/>
      <c r="AN209" s="1228"/>
      <c r="AO209" s="1228"/>
      <c r="AP209" s="1228"/>
      <c r="AQ209" s="1264"/>
      <c r="AR209" s="1045"/>
      <c r="AS209" s="1045"/>
      <c r="AT209" s="1045"/>
      <c r="AU209" s="1045"/>
      <c r="AV209" s="1045"/>
      <c r="AW209" s="1045"/>
      <c r="AX209" s="1045"/>
      <c r="AY209" s="1045"/>
      <c r="AZ209" s="1045"/>
      <c r="BA209" s="1045"/>
      <c r="BB209" s="1045"/>
      <c r="BC209" s="1045"/>
      <c r="BD209" s="1045"/>
      <c r="BE209" s="1045"/>
      <c r="BF209" s="1045"/>
      <c r="BG209" s="1045"/>
      <c r="BH209" s="1045"/>
      <c r="BI209" s="1045"/>
    </row>
    <row r="210" spans="2:61" ht="15" customHeight="1" thickBot="1">
      <c r="B210" s="33"/>
      <c r="C210" s="22"/>
      <c r="D210" s="22"/>
      <c r="E210" s="22"/>
      <c r="F210" s="22"/>
      <c r="G210" s="22"/>
      <c r="H210" s="22"/>
      <c r="I210" s="22"/>
      <c r="J210" s="22"/>
      <c r="K210" s="22"/>
      <c r="L210" s="22"/>
      <c r="M210" s="22"/>
      <c r="N210" s="22"/>
      <c r="O210" s="149"/>
      <c r="P210" s="22"/>
      <c r="Q210" s="22"/>
      <c r="R210" s="22"/>
      <c r="S210" s="22"/>
      <c r="T210" s="22"/>
      <c r="U210" s="22"/>
      <c r="V210" s="1268"/>
      <c r="W210" s="1269"/>
      <c r="X210" s="1270"/>
      <c r="Y210" s="1250"/>
      <c r="Z210" s="1251"/>
      <c r="AA210" s="1252"/>
      <c r="AB210" s="1273"/>
      <c r="AC210" s="1274"/>
      <c r="AD210" s="22"/>
      <c r="AE210" s="1275"/>
      <c r="AF210" s="1264"/>
      <c r="AG210" s="1264"/>
      <c r="AH210" s="1264"/>
      <c r="AI210" s="1228"/>
      <c r="AJ210" s="1228"/>
      <c r="AK210" s="1228"/>
      <c r="AL210" s="1228"/>
      <c r="AM210" s="1228"/>
      <c r="AN210" s="1228"/>
      <c r="AO210" s="1228"/>
      <c r="AP210" s="1228"/>
      <c r="AQ210" s="1264"/>
      <c r="AR210" s="1045"/>
      <c r="AS210" s="1045"/>
      <c r="AT210" s="1045"/>
      <c r="AU210" s="1045"/>
      <c r="AV210" s="1045"/>
      <c r="AW210" s="1045"/>
      <c r="AX210" s="1045"/>
      <c r="AY210" s="1045"/>
      <c r="AZ210" s="1045"/>
      <c r="BA210" s="1045"/>
      <c r="BB210" s="1045"/>
      <c r="BC210" s="1045"/>
      <c r="BD210" s="1045"/>
      <c r="BE210" s="1045"/>
      <c r="BF210" s="1045"/>
      <c r="BG210" s="1045"/>
      <c r="BH210" s="1045"/>
      <c r="BI210" s="22"/>
    </row>
    <row r="211" spans="2:61" ht="7.5" customHeight="1">
      <c r="B211" s="33"/>
      <c r="C211" s="22"/>
      <c r="D211" s="22"/>
      <c r="E211" s="22"/>
      <c r="F211" s="22"/>
      <c r="G211" s="22"/>
      <c r="H211" s="22"/>
      <c r="I211" s="22"/>
      <c r="J211" s="22"/>
      <c r="K211" s="22"/>
      <c r="L211" s="22"/>
      <c r="M211" s="22"/>
      <c r="N211" s="22"/>
      <c r="O211" s="149"/>
      <c r="P211" s="22"/>
      <c r="Q211" s="22"/>
      <c r="R211" s="22"/>
      <c r="S211" s="22"/>
      <c r="T211" s="22"/>
      <c r="U211" s="22"/>
      <c r="V211" s="1116"/>
      <c r="W211" s="1116"/>
      <c r="X211" s="1116"/>
      <c r="Y211" s="1112"/>
      <c r="Z211" s="174"/>
      <c r="AA211" s="174"/>
      <c r="AB211" s="22"/>
      <c r="AC211" s="22"/>
      <c r="AD211" s="22"/>
      <c r="AE211" s="1117"/>
      <c r="AF211" s="1108"/>
      <c r="AG211" s="1108"/>
      <c r="AH211" s="1108"/>
      <c r="AI211" s="175"/>
      <c r="AJ211" s="175"/>
      <c r="AK211" s="175"/>
      <c r="AL211" s="175"/>
      <c r="AM211" s="175"/>
      <c r="AN211" s="175"/>
      <c r="AO211" s="175"/>
      <c r="AP211" s="175"/>
      <c r="AQ211" s="1108"/>
      <c r="AR211" s="174"/>
      <c r="AS211" s="174"/>
      <c r="AT211" s="1116"/>
      <c r="AX211" s="1118"/>
      <c r="AY211" s="1118"/>
      <c r="BF211" s="1118"/>
      <c r="BG211" s="1118"/>
      <c r="BH211" s="1119"/>
      <c r="BI211" s="22"/>
    </row>
    <row r="212" spans="2:61" ht="15" customHeight="1">
      <c r="B212" s="33"/>
      <c r="C212" s="1120" t="s">
        <v>518</v>
      </c>
      <c r="D212" s="1045"/>
      <c r="E212" s="1045"/>
      <c r="F212" s="1045"/>
      <c r="G212" s="1045"/>
      <c r="H212" s="1045"/>
      <c r="I212" s="22"/>
      <c r="J212" s="1045"/>
      <c r="K212" s="1045"/>
      <c r="L212" s="1045"/>
      <c r="M212" s="1045"/>
      <c r="N212" s="1100"/>
      <c r="O212" s="1121"/>
      <c r="P212" s="1100"/>
      <c r="Q212" s="1100"/>
      <c r="R212" s="1100"/>
      <c r="S212" s="218"/>
      <c r="T212" s="218"/>
      <c r="U212" s="1100"/>
      <c r="V212" s="1100"/>
      <c r="W212" s="1100"/>
      <c r="X212" s="1100"/>
      <c r="Y212" s="1100"/>
      <c r="Z212" s="1100"/>
      <c r="AA212" s="1045"/>
      <c r="AB212" s="1045"/>
      <c r="AC212" s="1045"/>
      <c r="AD212" s="1045"/>
      <c r="AH212" s="23" t="s">
        <v>274</v>
      </c>
      <c r="AX212" s="1118"/>
      <c r="AY212" s="1118"/>
      <c r="AZ212" s="1118"/>
      <c r="BA212" s="1118"/>
      <c r="BB212" s="1118"/>
      <c r="BC212" s="1118"/>
      <c r="BD212" s="1118"/>
      <c r="BE212" s="1118"/>
      <c r="BF212" s="1118"/>
      <c r="BG212" s="1118"/>
      <c r="BH212" s="1053"/>
      <c r="BI212" s="1045"/>
    </row>
    <row r="213" spans="2:61" ht="7.15" customHeight="1" thickBot="1">
      <c r="B213" s="79"/>
      <c r="C213" s="1122"/>
      <c r="D213" s="1123"/>
      <c r="E213" s="1123"/>
      <c r="F213" s="1123"/>
      <c r="G213" s="1123"/>
      <c r="H213" s="1123"/>
      <c r="I213" s="1123"/>
      <c r="J213" s="1123"/>
      <c r="K213" s="1123"/>
      <c r="L213" s="1123"/>
      <c r="M213" s="1123"/>
      <c r="N213" s="1123"/>
      <c r="O213" s="1123"/>
      <c r="P213" s="1123"/>
      <c r="Q213" s="1123"/>
      <c r="R213" s="1123"/>
      <c r="S213" s="1123"/>
      <c r="T213" s="1123"/>
      <c r="U213" s="1123"/>
      <c r="V213" s="1123"/>
      <c r="W213" s="1123"/>
      <c r="X213" s="1123"/>
      <c r="Y213" s="1123"/>
      <c r="Z213" s="1123"/>
      <c r="AA213" s="1123"/>
      <c r="AB213" s="1123"/>
      <c r="AC213" s="1123"/>
      <c r="AD213" s="1123"/>
      <c r="AE213" s="1123"/>
      <c r="AF213" s="1123"/>
      <c r="AG213" s="1123"/>
      <c r="AH213" s="1123"/>
      <c r="AI213" s="1123"/>
      <c r="AJ213" s="1123"/>
      <c r="AK213" s="1123"/>
      <c r="AL213" s="1123"/>
      <c r="AM213" s="1123"/>
      <c r="AN213" s="1123"/>
      <c r="AO213" s="1123"/>
      <c r="AP213" s="1123"/>
      <c r="AQ213" s="1123"/>
      <c r="AR213" s="1123"/>
      <c r="AS213" s="1123"/>
      <c r="AT213" s="1123"/>
      <c r="AU213" s="1123"/>
      <c r="AV213" s="1123"/>
      <c r="AW213" s="1123"/>
      <c r="AX213" s="1123"/>
      <c r="AY213" s="1123"/>
      <c r="AZ213" s="1123"/>
      <c r="BA213" s="1123"/>
      <c r="BB213" s="1123"/>
      <c r="BC213" s="1123"/>
      <c r="BD213" s="1123"/>
      <c r="BE213" s="1123"/>
      <c r="BF213" s="1123"/>
      <c r="BG213" s="1123"/>
      <c r="BH213" s="1124"/>
      <c r="BI213" s="1045"/>
    </row>
    <row r="214" spans="2:61">
      <c r="K214" s="193"/>
      <c r="L214" s="158"/>
    </row>
    <row r="224" spans="2:61">
      <c r="K224" s="193"/>
      <c r="L224" s="158"/>
    </row>
    <row r="225" spans="11:12">
      <c r="L225" s="158"/>
    </row>
    <row r="236" spans="11:12">
      <c r="K236" s="193"/>
      <c r="L236" s="158"/>
    </row>
    <row r="237" spans="11:12">
      <c r="L237" s="158"/>
    </row>
    <row r="248" spans="11:12">
      <c r="K248" s="193"/>
      <c r="L248" s="158"/>
    </row>
    <row r="249" spans="11:12">
      <c r="L249" s="158"/>
    </row>
  </sheetData>
  <sheetProtection formatColumns="0" formatRows="0" selectLockedCells="1" selectUnlockedCells="1"/>
  <mergeCells count="132">
    <mergeCell ref="L16:M16"/>
    <mergeCell ref="W16:X16"/>
    <mergeCell ref="AQ22:AR22"/>
    <mergeCell ref="AS22:AT22"/>
    <mergeCell ref="O24:P24"/>
    <mergeCell ref="AB24:AC24"/>
    <mergeCell ref="B1:H2"/>
    <mergeCell ref="I1:BC2"/>
    <mergeCell ref="BF1:BH1"/>
    <mergeCell ref="AQ8:AR8"/>
    <mergeCell ref="AS8:AT8"/>
    <mergeCell ref="AQ14:AR14"/>
    <mergeCell ref="AS14:AT14"/>
    <mergeCell ref="AS36:AT36"/>
    <mergeCell ref="AS38:AT38"/>
    <mergeCell ref="AS40:AT40"/>
    <mergeCell ref="AS42:AT42"/>
    <mergeCell ref="AS44:AT44"/>
    <mergeCell ref="AS46:AT46"/>
    <mergeCell ref="AQ29:AR29"/>
    <mergeCell ref="AS29:AT29"/>
    <mergeCell ref="J33:O33"/>
    <mergeCell ref="P33:R33"/>
    <mergeCell ref="T33:X33"/>
    <mergeCell ref="Z33:AC33"/>
    <mergeCell ref="AE33:AH33"/>
    <mergeCell ref="AQ33:AT33"/>
    <mergeCell ref="AS48:AT48"/>
    <mergeCell ref="AS50:AT50"/>
    <mergeCell ref="AS52:AT52"/>
    <mergeCell ref="AS54:AT54"/>
    <mergeCell ref="AS59:AT59"/>
    <mergeCell ref="G62:H62"/>
    <mergeCell ref="M62:N62"/>
    <mergeCell ref="Q62:R62"/>
    <mergeCell ref="W62:X62"/>
    <mergeCell ref="AB62:AC62"/>
    <mergeCell ref="AG62:AH62"/>
    <mergeCell ref="BD62:BE62"/>
    <mergeCell ref="AS66:AT66"/>
    <mergeCell ref="M71:P71"/>
    <mergeCell ref="Q71:T71"/>
    <mergeCell ref="D72:H72"/>
    <mergeCell ref="I72:L72"/>
    <mergeCell ref="M72:P72"/>
    <mergeCell ref="Q72:T72"/>
    <mergeCell ref="BB75:BD75"/>
    <mergeCell ref="BE75:BF75"/>
    <mergeCell ref="AL75:AX76"/>
    <mergeCell ref="AY75:AZ76"/>
    <mergeCell ref="T76:V76"/>
    <mergeCell ref="W76:AA76"/>
    <mergeCell ref="AB76:AC76"/>
    <mergeCell ref="AD76:AF76"/>
    <mergeCell ref="BB76:BD78"/>
    <mergeCell ref="BE76:BF78"/>
    <mergeCell ref="T77:V77"/>
    <mergeCell ref="W77:AA77"/>
    <mergeCell ref="T74:V75"/>
    <mergeCell ref="W74:AA75"/>
    <mergeCell ref="AB74:AC75"/>
    <mergeCell ref="AD74:AF75"/>
    <mergeCell ref="T79:V79"/>
    <mergeCell ref="W79:AA79"/>
    <mergeCell ref="AB79:AC79"/>
    <mergeCell ref="AD79:AF79"/>
    <mergeCell ref="AB77:AC77"/>
    <mergeCell ref="AD77:AF77"/>
    <mergeCell ref="T78:V78"/>
    <mergeCell ref="W78:AA78"/>
    <mergeCell ref="AB78:AC78"/>
    <mergeCell ref="AD78:AF78"/>
    <mergeCell ref="AW84:BH85"/>
    <mergeCell ref="AW86:BH87"/>
    <mergeCell ref="AW88:BH89"/>
    <mergeCell ref="W90:AV91"/>
    <mergeCell ref="AW90:BH91"/>
    <mergeCell ref="W92:AV93"/>
    <mergeCell ref="AW92:BH93"/>
    <mergeCell ref="AL78:AX79"/>
    <mergeCell ref="AY78:AZ79"/>
    <mergeCell ref="U99:AV100"/>
    <mergeCell ref="AW99:BH100"/>
    <mergeCell ref="U101:AV102"/>
    <mergeCell ref="AW101:BH102"/>
    <mergeCell ref="U103:AV104"/>
    <mergeCell ref="AW103:BH104"/>
    <mergeCell ref="W94:AV94"/>
    <mergeCell ref="AW94:BH94"/>
    <mergeCell ref="W95:AV96"/>
    <mergeCell ref="AW95:BH96"/>
    <mergeCell ref="W97:AV98"/>
    <mergeCell ref="AW97:BH98"/>
    <mergeCell ref="AW200:BC202"/>
    <mergeCell ref="D201:H201"/>
    <mergeCell ref="I201:L201"/>
    <mergeCell ref="M201:P201"/>
    <mergeCell ref="Q201:T201"/>
    <mergeCell ref="U201:X201"/>
    <mergeCell ref="U105:AV106"/>
    <mergeCell ref="AW105:BH106"/>
    <mergeCell ref="U108:AV108"/>
    <mergeCell ref="AW108:BH108"/>
    <mergeCell ref="D200:H200"/>
    <mergeCell ref="I200:L200"/>
    <mergeCell ref="M200:P200"/>
    <mergeCell ref="Q200:T200"/>
    <mergeCell ref="U200:X200"/>
    <mergeCell ref="AE200:AT202"/>
    <mergeCell ref="AI204:AQ205"/>
    <mergeCell ref="V206:X207"/>
    <mergeCell ref="Y206:AA207"/>
    <mergeCell ref="AB206:AC207"/>
    <mergeCell ref="AE206:AH206"/>
    <mergeCell ref="AI206:AQ206"/>
    <mergeCell ref="AE207:AH207"/>
    <mergeCell ref="AI207:AQ207"/>
    <mergeCell ref="J203:K203"/>
    <mergeCell ref="N203:O203"/>
    <mergeCell ref="R203:S203"/>
    <mergeCell ref="V203:W203"/>
    <mergeCell ref="Y203:Z203"/>
    <mergeCell ref="AE204:AH205"/>
    <mergeCell ref="AE208:AH208"/>
    <mergeCell ref="AI208:AQ208"/>
    <mergeCell ref="V209:X210"/>
    <mergeCell ref="Y209:AA210"/>
    <mergeCell ref="AB209:AC210"/>
    <mergeCell ref="AE209:AH209"/>
    <mergeCell ref="AI209:AQ209"/>
    <mergeCell ref="AE210:AH210"/>
    <mergeCell ref="AI210:AQ210"/>
  </mergeCells>
  <conditionalFormatting sqref="L176:L180 L170:L174 L161:L167">
    <cfRule type="cellIs" dxfId="20" priority="4" stopIfTrue="1" operator="equal">
      <formula>"A"</formula>
    </cfRule>
    <cfRule type="cellIs" dxfId="19" priority="5" stopIfTrue="1" operator="equal">
      <formula>"B"</formula>
    </cfRule>
    <cfRule type="cellIs" dxfId="18" priority="6" stopIfTrue="1" operator="equal">
      <formula>"C"</formula>
    </cfRule>
  </conditionalFormatting>
  <conditionalFormatting sqref="D73:D79">
    <cfRule type="cellIs" dxfId="17" priority="1" stopIfTrue="1" operator="equal">
      <formula>"A"</formula>
    </cfRule>
    <cfRule type="cellIs" dxfId="16" priority="2" stopIfTrue="1" operator="equal">
      <formula>"B"</formula>
    </cfRule>
    <cfRule type="cellIs" dxfId="15" priority="3" stopIfTrue="1" operator="equal">
      <formula>"C"</formula>
    </cfRule>
  </conditionalFormatting>
  <pageMargins left="0.39370078740157483" right="0" top="0.39370078740157483" bottom="0.39370078740157483" header="0" footer="0.19685039370078741"/>
  <pageSetup paperSize="9" scale="44" orientation="landscape" r:id="rId1"/>
  <headerFooter scaleWithDoc="0">
    <oddFooter>&amp;L&amp;8QM-18_s2_ed.6-Audit_Report_VDA_6.3 - Evaluation&amp;R&amp;8Page &amp;P of &amp;N</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2"/>
  <dimension ref="A1:AI90"/>
  <sheetViews>
    <sheetView topLeftCell="B14" workbookViewId="0">
      <selection activeCell="S36" sqref="S36"/>
    </sheetView>
  </sheetViews>
  <sheetFormatPr baseColWidth="10" defaultColWidth="11.42578125" defaultRowHeight="14.25"/>
  <cols>
    <col min="1" max="1" width="11.28515625" style="7" hidden="1" customWidth="1"/>
    <col min="2" max="2" width="1" style="7" customWidth="1"/>
    <col min="3" max="3" width="12.7109375" style="7" customWidth="1"/>
    <col min="4" max="4" width="0.7109375" style="7" customWidth="1"/>
    <col min="5" max="5" width="8.42578125" style="7" customWidth="1"/>
    <col min="6" max="6" width="5" style="7" customWidth="1"/>
    <col min="7" max="7" width="0.7109375" style="7" customWidth="1"/>
    <col min="8" max="8" width="16.42578125" style="7" customWidth="1"/>
    <col min="9" max="9" width="0.7109375" style="7" customWidth="1"/>
    <col min="10" max="10" width="18.28515625" style="7" customWidth="1"/>
    <col min="11" max="11" width="0.7109375" style="7" customWidth="1"/>
    <col min="12" max="12" width="16.140625" style="7" customWidth="1"/>
    <col min="13" max="13" width="0.7109375" style="7" customWidth="1"/>
    <col min="14" max="14" width="13.42578125" style="7" bestFit="1" customWidth="1"/>
    <col min="15" max="15" width="1.5703125" style="7" customWidth="1"/>
    <col min="16" max="16" width="0.7109375" style="7" customWidth="1"/>
    <col min="17" max="17" width="1" style="7" customWidth="1"/>
    <col min="18" max="18" width="1.5703125" style="7" customWidth="1"/>
    <col min="19" max="19" width="18.7109375" style="7" customWidth="1"/>
    <col min="20" max="20" width="2.140625" style="7" customWidth="1"/>
    <col min="21" max="21" width="7.140625" style="7" customWidth="1"/>
    <col min="22" max="22" width="0.7109375" style="7" customWidth="1"/>
    <col min="23" max="23" width="17.7109375" style="7" customWidth="1"/>
    <col min="24" max="24" width="15" style="7" customWidth="1"/>
    <col min="25" max="25" width="15.140625" style="7" customWidth="1"/>
    <col min="26" max="26" width="16" style="7" customWidth="1"/>
    <col min="27" max="27" width="13.42578125" style="7" customWidth="1"/>
    <col min="28" max="28" width="14.28515625" style="7" customWidth="1"/>
    <col min="29" max="29" width="16" style="7" customWidth="1"/>
    <col min="30" max="30" width="2.140625" style="7" customWidth="1"/>
    <col min="31" max="31" width="1" style="7" customWidth="1"/>
    <col min="32" max="32" width="5.140625" style="7" customWidth="1"/>
    <col min="33" max="33" width="2.28515625" style="7" customWidth="1"/>
    <col min="34" max="34" width="1.5703125" style="7" customWidth="1"/>
    <col min="35" max="35" width="2.28515625" style="7" customWidth="1"/>
    <col min="36" max="16384" width="11.42578125" style="7"/>
  </cols>
  <sheetData>
    <row r="1" spans="1:35" ht="7.5" customHeight="1">
      <c r="B1" s="59"/>
      <c r="C1" s="59"/>
      <c r="D1" s="59"/>
      <c r="E1" s="59"/>
      <c r="F1" s="60"/>
      <c r="G1" s="60"/>
      <c r="H1" s="60"/>
      <c r="I1" s="60"/>
      <c r="J1" s="61"/>
      <c r="K1" s="61"/>
      <c r="L1" s="61"/>
      <c r="M1" s="61"/>
      <c r="N1" s="61"/>
      <c r="O1" s="61"/>
      <c r="P1" s="61"/>
      <c r="Q1" s="61"/>
      <c r="R1" s="61"/>
      <c r="S1" s="408"/>
      <c r="T1" s="408"/>
      <c r="U1" s="409"/>
      <c r="V1" s="409"/>
      <c r="W1" s="409"/>
      <c r="X1" s="409"/>
      <c r="Y1" s="409"/>
      <c r="Z1" s="409"/>
      <c r="AA1" s="409"/>
      <c r="AB1" s="409"/>
      <c r="AC1" s="409"/>
      <c r="AD1" s="409"/>
      <c r="AE1" s="409"/>
      <c r="AH1" s="8"/>
      <c r="AI1" s="8"/>
    </row>
    <row r="2" spans="1:35" ht="29.25" customHeight="1">
      <c r="C2" s="1319" t="s">
        <v>588</v>
      </c>
      <c r="D2" s="1319" t="e">
        <v>#N/A</v>
      </c>
      <c r="E2" s="1319" t="e">
        <v>#N/A</v>
      </c>
      <c r="F2" s="1319" t="e">
        <v>#N/A</v>
      </c>
      <c r="G2" s="1319" t="e">
        <v>#N/A</v>
      </c>
      <c r="H2" s="1319" t="e">
        <v>#N/A</v>
      </c>
      <c r="I2" s="1319" t="e">
        <v>#N/A</v>
      </c>
      <c r="J2" s="1319" t="e">
        <v>#N/A</v>
      </c>
      <c r="K2" s="1319" t="e">
        <v>#N/A</v>
      </c>
      <c r="L2" s="1319" t="e">
        <v>#N/A</v>
      </c>
      <c r="M2" s="1319" t="e">
        <v>#N/A</v>
      </c>
      <c r="N2" s="1319" t="e">
        <v>#N/A</v>
      </c>
      <c r="O2" s="1319" t="e">
        <v>#N/A</v>
      </c>
      <c r="P2" s="1319" t="e">
        <v>#N/A</v>
      </c>
      <c r="Q2" s="1319" t="e">
        <v>#N/A</v>
      </c>
      <c r="R2" s="1319" t="e">
        <v>#N/A</v>
      </c>
      <c r="S2" s="1319" t="e">
        <v>#N/A</v>
      </c>
      <c r="T2" s="1319" t="e">
        <v>#N/A</v>
      </c>
      <c r="U2" s="1319" t="e">
        <v>#N/A</v>
      </c>
      <c r="V2" s="1319" t="e">
        <v>#N/A</v>
      </c>
      <c r="W2" s="1319" t="e">
        <v>#N/A</v>
      </c>
      <c r="X2" s="1319" t="e">
        <v>#N/A</v>
      </c>
      <c r="Y2" s="1319" t="e">
        <v>#N/A</v>
      </c>
      <c r="Z2" s="1319" t="e">
        <v>#N/A</v>
      </c>
      <c r="AA2" s="1319" t="e">
        <v>#N/A</v>
      </c>
      <c r="AB2" s="1319" t="e">
        <v>#N/A</v>
      </c>
      <c r="AC2" s="300"/>
      <c r="AD2" s="300"/>
      <c r="AE2" s="1021"/>
      <c r="AH2" s="9"/>
      <c r="AI2" s="9"/>
    </row>
    <row r="3" spans="1:35" ht="8.25" customHeight="1">
      <c r="B3" s="58"/>
      <c r="C3" s="57"/>
      <c r="D3" s="57"/>
      <c r="E3" s="57"/>
    </row>
    <row r="4" spans="1:35" ht="16.5" customHeight="1">
      <c r="C4" s="410" t="s">
        <v>457</v>
      </c>
      <c r="D4" s="410"/>
      <c r="E4" s="410"/>
      <c r="F4" s="57"/>
      <c r="G4" s="57"/>
      <c r="H4" s="57"/>
      <c r="I4" s="57"/>
      <c r="J4" s="57"/>
      <c r="K4" s="57"/>
      <c r="L4" s="57"/>
      <c r="M4" s="57"/>
      <c r="N4" s="57"/>
      <c r="O4" s="57"/>
      <c r="P4" s="57"/>
      <c r="Q4" s="57"/>
      <c r="R4" s="57"/>
      <c r="S4" s="57"/>
      <c r="T4" s="57"/>
      <c r="U4" s="57"/>
      <c r="V4" s="57"/>
      <c r="W4" s="57"/>
      <c r="X4" s="57"/>
      <c r="Y4" s="57"/>
      <c r="Z4" s="57"/>
      <c r="AA4" s="57"/>
      <c r="AB4" s="57"/>
      <c r="AC4" s="57"/>
      <c r="AD4" s="57"/>
    </row>
    <row r="5" spans="1:35" ht="33" customHeight="1">
      <c r="B5" s="57"/>
      <c r="C5" s="1320"/>
      <c r="D5" s="1320"/>
      <c r="E5" s="1320"/>
      <c r="F5" s="1320"/>
      <c r="G5" s="1320"/>
      <c r="H5" s="1320"/>
      <c r="I5" s="1320"/>
      <c r="J5" s="1320"/>
      <c r="K5" s="1320"/>
      <c r="L5" s="1320"/>
      <c r="M5" s="1320"/>
      <c r="N5" s="1320"/>
      <c r="O5" s="411"/>
      <c r="P5" s="411"/>
      <c r="Q5" s="411"/>
      <c r="R5" s="412"/>
      <c r="S5" s="1321" t="s">
        <v>668</v>
      </c>
      <c r="T5" s="1321"/>
      <c r="U5" s="1322"/>
      <c r="V5" s="1322"/>
      <c r="W5" s="1322"/>
      <c r="X5" s="556" t="s">
        <v>669</v>
      </c>
      <c r="Y5" s="1322"/>
      <c r="Z5" s="1322"/>
      <c r="AB5" s="556" t="s">
        <v>363</v>
      </c>
      <c r="AC5" s="413"/>
      <c r="AE5" s="414"/>
      <c r="AF5" s="414"/>
      <c r="AG5" s="414"/>
    </row>
    <row r="6" spans="1:35" ht="18.75" customHeight="1">
      <c r="B6" s="415"/>
      <c r="C6" s="415"/>
      <c r="D6" s="415"/>
      <c r="E6" s="415"/>
      <c r="F6" s="415"/>
      <c r="G6" s="415"/>
      <c r="H6" s="412"/>
      <c r="I6" s="412"/>
      <c r="J6" s="570"/>
      <c r="K6" s="412"/>
      <c r="L6" s="57"/>
      <c r="M6" s="411"/>
      <c r="N6" s="411"/>
      <c r="O6" s="411"/>
      <c r="P6" s="411"/>
      <c r="Q6" s="411"/>
      <c r="R6" s="412"/>
      <c r="S6" s="1321" t="s">
        <v>666</v>
      </c>
      <c r="T6" s="1321"/>
      <c r="U6" s="1322"/>
      <c r="V6" s="1322"/>
      <c r="W6" s="1322"/>
      <c r="X6" s="1324" t="s">
        <v>464</v>
      </c>
      <c r="Y6" s="1322"/>
      <c r="Z6" s="1322"/>
      <c r="AB6" s="1321" t="s">
        <v>750</v>
      </c>
      <c r="AC6" s="1322"/>
      <c r="AE6" s="416"/>
      <c r="AF6" s="416"/>
      <c r="AG6" s="414"/>
    </row>
    <row r="7" spans="1:35" ht="18.75" customHeight="1">
      <c r="C7" s="362" t="s">
        <v>458</v>
      </c>
      <c r="D7" s="412"/>
      <c r="E7" s="412"/>
      <c r="F7" s="412"/>
      <c r="G7" s="572"/>
      <c r="H7" s="572"/>
      <c r="I7" s="572"/>
      <c r="J7" s="572"/>
      <c r="K7" s="572"/>
      <c r="L7" s="411"/>
      <c r="M7" s="411"/>
      <c r="N7" s="411"/>
      <c r="O7" s="411"/>
      <c r="P7" s="411"/>
      <c r="Q7" s="411"/>
      <c r="R7" s="412"/>
      <c r="S7" s="1321"/>
      <c r="T7" s="1321"/>
      <c r="U7" s="1322"/>
      <c r="V7" s="1322"/>
      <c r="W7" s="1322"/>
      <c r="X7" s="1324"/>
      <c r="Y7" s="1322"/>
      <c r="Z7" s="1322"/>
      <c r="AB7" s="1321"/>
      <c r="AC7" s="1322"/>
      <c r="AE7" s="416"/>
      <c r="AF7" s="416"/>
      <c r="AG7" s="416"/>
    </row>
    <row r="8" spans="1:35" ht="15" customHeight="1">
      <c r="C8" s="1323"/>
      <c r="D8" s="1323"/>
      <c r="E8" s="1323"/>
      <c r="F8" s="1323"/>
      <c r="G8" s="1323"/>
      <c r="H8" s="1323"/>
      <c r="I8" s="412"/>
      <c r="J8" s="411"/>
      <c r="K8" s="412"/>
      <c r="L8" s="1322"/>
      <c r="M8" s="1322"/>
      <c r="N8" s="1322"/>
      <c r="O8" s="1322"/>
      <c r="P8" s="412"/>
      <c r="Q8" s="412"/>
      <c r="R8" s="412"/>
      <c r="S8" s="1321" t="s">
        <v>456</v>
      </c>
      <c r="T8" s="1321"/>
      <c r="U8" s="1323"/>
      <c r="V8" s="1323"/>
      <c r="W8" s="1323"/>
      <c r="X8" s="1323"/>
      <c r="Y8" s="1323"/>
      <c r="Z8" s="1323"/>
      <c r="AA8" s="1323"/>
      <c r="AB8" s="1321" t="s">
        <v>665</v>
      </c>
      <c r="AC8" s="1322"/>
      <c r="AD8" s="299"/>
    </row>
    <row r="9" spans="1:35" ht="16.5" customHeight="1">
      <c r="C9" s="1323"/>
      <c r="D9" s="1323"/>
      <c r="E9" s="1323"/>
      <c r="F9" s="1323"/>
      <c r="G9" s="1323"/>
      <c r="H9" s="1323"/>
      <c r="I9" s="412"/>
      <c r="J9" s="411"/>
      <c r="K9" s="412"/>
      <c r="L9" s="1322"/>
      <c r="M9" s="1322"/>
      <c r="N9" s="1322"/>
      <c r="O9" s="1322"/>
      <c r="P9" s="412"/>
      <c r="Q9" s="412"/>
      <c r="R9" s="412"/>
      <c r="S9" s="1321"/>
      <c r="T9" s="1321"/>
      <c r="U9" s="1323"/>
      <c r="V9" s="1323"/>
      <c r="W9" s="1323"/>
      <c r="X9" s="1323"/>
      <c r="Y9" s="1323"/>
      <c r="Z9" s="1323"/>
      <c r="AA9" s="1323"/>
      <c r="AB9" s="1321"/>
      <c r="AC9" s="1322"/>
      <c r="AD9" s="299"/>
      <c r="AE9" s="188"/>
    </row>
    <row r="10" spans="1:35" ht="21" customHeight="1">
      <c r="B10" s="572"/>
      <c r="C10" s="1325"/>
      <c r="D10" s="1325"/>
      <c r="E10" s="1325"/>
      <c r="F10" s="1325"/>
      <c r="G10" s="1325"/>
      <c r="H10" s="1325"/>
      <c r="I10" s="417"/>
      <c r="J10" s="417"/>
      <c r="K10" s="417"/>
      <c r="L10" s="417"/>
      <c r="M10" s="417"/>
      <c r="N10" s="417"/>
      <c r="O10" s="417"/>
      <c r="P10" s="417"/>
      <c r="Q10" s="417"/>
      <c r="R10" s="417"/>
      <c r="S10" s="417"/>
      <c r="T10" s="417"/>
      <c r="U10" s="412"/>
      <c r="V10" s="412"/>
      <c r="W10" s="412"/>
      <c r="X10" s="412"/>
      <c r="Y10" s="412"/>
      <c r="Z10" s="417"/>
      <c r="AA10" s="417"/>
      <c r="AB10" s="417"/>
      <c r="AC10" s="417"/>
      <c r="AD10" s="417"/>
      <c r="AE10" s="188"/>
    </row>
    <row r="11" spans="1:35" ht="17.25" customHeight="1">
      <c r="A11" s="925"/>
      <c r="B11" s="926"/>
      <c r="C11" s="927" t="s">
        <v>589</v>
      </c>
      <c r="D11" s="927"/>
      <c r="E11" s="928"/>
      <c r="F11" s="928"/>
      <c r="G11" s="928"/>
      <c r="H11" s="928"/>
      <c r="I11" s="928"/>
      <c r="J11" s="929"/>
      <c r="K11" s="928"/>
      <c r="L11" s="927"/>
      <c r="M11" s="928"/>
      <c r="N11" s="927"/>
      <c r="O11" s="937"/>
      <c r="P11" s="417"/>
      <c r="Q11" s="417"/>
      <c r="R11" s="973"/>
      <c r="S11" s="976" t="s">
        <v>472</v>
      </c>
      <c r="T11" s="977"/>
      <c r="U11" s="977"/>
      <c r="V11" s="977"/>
      <c r="W11" s="977"/>
      <c r="X11" s="977"/>
      <c r="Y11" s="977"/>
      <c r="Z11" s="977"/>
      <c r="AA11" s="977"/>
      <c r="AB11" s="977"/>
      <c r="AC11" s="977"/>
      <c r="AD11" s="937"/>
      <c r="AE11" s="188"/>
    </row>
    <row r="12" spans="1:35" ht="33.75" customHeight="1">
      <c r="A12" s="925"/>
      <c r="B12" s="930"/>
      <c r="C12" s="363" t="s">
        <v>578</v>
      </c>
      <c r="D12" s="364"/>
      <c r="E12" s="365"/>
      <c r="F12" s="365"/>
      <c r="G12" s="365"/>
      <c r="H12" s="366"/>
      <c r="I12" s="939"/>
      <c r="J12" s="367" t="s">
        <v>579</v>
      </c>
      <c r="K12" s="943"/>
      <c r="L12" s="367" t="s">
        <v>439</v>
      </c>
      <c r="M12" s="943"/>
      <c r="N12" s="368" t="s">
        <v>674</v>
      </c>
      <c r="O12" s="938"/>
      <c r="P12" s="417"/>
      <c r="Q12" s="417"/>
      <c r="R12" s="974"/>
      <c r="S12" s="1326" t="s">
        <v>582</v>
      </c>
      <c r="T12" s="1326" t="e">
        <v>#N/A</v>
      </c>
      <c r="U12" s="1326" t="e">
        <v>#N/A</v>
      </c>
      <c r="V12" s="1326" t="e">
        <v>#N/A</v>
      </c>
      <c r="W12" s="1326" t="e">
        <v>#N/A</v>
      </c>
      <c r="X12" s="1326" t="e">
        <v>#N/A</v>
      </c>
      <c r="Y12" s="1326" t="e">
        <v>#N/A</v>
      </c>
      <c r="Z12" s="1326" t="e">
        <v>#N/A</v>
      </c>
      <c r="AA12" s="1326" t="e">
        <v>#N/A</v>
      </c>
      <c r="AB12" s="1326" t="e">
        <v>#N/A</v>
      </c>
      <c r="AC12" s="1326" t="e">
        <v>#N/A</v>
      </c>
      <c r="AD12" s="938"/>
      <c r="AE12" s="188"/>
    </row>
    <row r="13" spans="1:35" ht="20.25">
      <c r="A13" s="925" t="str">
        <f>IF(ISNUMBER(A14),", P2","")&amp;IF(ISNUMBER(A15),", P3","")&amp;IF(ISNUMBER(A16),", P4","")&amp;IF(ISNUMBER(A17),", P5","")&amp;IF(ISNUMBER(A18),", P6","")&amp;IF(ISNUMBER(A19),", P7","")</f>
        <v/>
      </c>
      <c r="B13" s="930"/>
      <c r="C13" s="1327"/>
      <c r="D13" s="1328"/>
      <c r="E13" s="1328"/>
      <c r="F13" s="1328"/>
      <c r="G13" s="1328"/>
      <c r="H13" s="1329"/>
      <c r="I13" s="940"/>
      <c r="J13" s="563" t="s">
        <v>1095</v>
      </c>
      <c r="K13" s="939"/>
      <c r="L13" s="369"/>
      <c r="M13" s="945"/>
      <c r="N13" s="370"/>
      <c r="O13" s="938"/>
      <c r="P13" s="417"/>
      <c r="Q13" s="417"/>
      <c r="R13" s="974"/>
      <c r="S13" s="1330"/>
      <c r="T13" s="1330"/>
      <c r="U13" s="1330"/>
      <c r="V13" s="1330"/>
      <c r="W13" s="1330"/>
      <c r="X13" s="1330"/>
      <c r="Y13" s="1330"/>
      <c r="Z13" s="1330"/>
      <c r="AA13" s="1330"/>
      <c r="AB13" s="1330"/>
      <c r="AC13" s="1330"/>
      <c r="AD13" s="978"/>
    </row>
    <row r="14" spans="1:35" ht="19.5" customHeight="1">
      <c r="A14" s="925" t="s">
        <v>740</v>
      </c>
      <c r="B14" s="930"/>
      <c r="C14" s="555" t="s">
        <v>587</v>
      </c>
      <c r="D14" s="365"/>
      <c r="E14" s="364"/>
      <c r="F14" s="364"/>
      <c r="G14" s="364"/>
      <c r="H14" s="371"/>
      <c r="I14" s="941"/>
      <c r="J14" s="825" t="s">
        <v>590</v>
      </c>
      <c r="K14" s="944"/>
      <c r="L14" s="372"/>
      <c r="M14" s="946"/>
      <c r="N14" s="373"/>
      <c r="O14" s="938"/>
      <c r="P14" s="417"/>
      <c r="Q14" s="417"/>
      <c r="R14" s="974"/>
      <c r="S14" s="1330"/>
      <c r="T14" s="1330"/>
      <c r="U14" s="1330"/>
      <c r="V14" s="1330"/>
      <c r="W14" s="1330"/>
      <c r="X14" s="1330"/>
      <c r="Y14" s="1330"/>
      <c r="Z14" s="1330"/>
      <c r="AA14" s="1330"/>
      <c r="AB14" s="1330"/>
      <c r="AC14" s="1330"/>
      <c r="AD14" s="978"/>
    </row>
    <row r="15" spans="1:35" ht="21">
      <c r="A15" s="925" t="s">
        <v>740</v>
      </c>
      <c r="B15" s="930"/>
      <c r="C15" s="1332"/>
      <c r="D15" s="1333"/>
      <c r="E15" s="1333"/>
      <c r="F15" s="1333"/>
      <c r="G15" s="1333"/>
      <c r="H15" s="1334"/>
      <c r="I15" s="942"/>
      <c r="J15" s="374" t="s">
        <v>202</v>
      </c>
      <c r="K15" s="939"/>
      <c r="L15" s="375"/>
      <c r="M15" s="939"/>
      <c r="N15" s="376"/>
      <c r="O15" s="938"/>
      <c r="P15" s="417"/>
      <c r="Q15" s="417"/>
      <c r="R15" s="974"/>
      <c r="S15" s="1330"/>
      <c r="T15" s="1330"/>
      <c r="U15" s="1330"/>
      <c r="V15" s="1330"/>
      <c r="W15" s="1330"/>
      <c r="X15" s="1330"/>
      <c r="Y15" s="1330"/>
      <c r="Z15" s="1330"/>
      <c r="AA15" s="1330"/>
      <c r="AB15" s="1330"/>
      <c r="AC15" s="1330"/>
      <c r="AD15" s="978"/>
    </row>
    <row r="16" spans="1:35" ht="21">
      <c r="A16" s="925" t="s">
        <v>740</v>
      </c>
      <c r="B16" s="930"/>
      <c r="C16" s="1335"/>
      <c r="D16" s="1336"/>
      <c r="E16" s="1336"/>
      <c r="F16" s="1336"/>
      <c r="G16" s="1336"/>
      <c r="H16" s="1337"/>
      <c r="I16" s="942"/>
      <c r="J16" s="377" t="s">
        <v>202</v>
      </c>
      <c r="K16" s="939"/>
      <c r="L16" s="378"/>
      <c r="M16" s="939"/>
      <c r="N16" s="379"/>
      <c r="O16" s="938"/>
      <c r="P16" s="417"/>
      <c r="Q16" s="417"/>
      <c r="R16" s="974"/>
      <c r="S16" s="1330"/>
      <c r="T16" s="1330"/>
      <c r="U16" s="1330"/>
      <c r="V16" s="1330"/>
      <c r="W16" s="1330"/>
      <c r="X16" s="1330"/>
      <c r="Y16" s="1330"/>
      <c r="Z16" s="1330"/>
      <c r="AA16" s="1330"/>
      <c r="AB16" s="1330"/>
      <c r="AC16" s="1330"/>
      <c r="AD16" s="978"/>
    </row>
    <row r="17" spans="1:31" ht="21">
      <c r="A17" s="925" t="s">
        <v>740</v>
      </c>
      <c r="B17" s="930"/>
      <c r="C17" s="1335"/>
      <c r="D17" s="1336"/>
      <c r="E17" s="1336"/>
      <c r="F17" s="1336"/>
      <c r="G17" s="1336"/>
      <c r="H17" s="1337"/>
      <c r="I17" s="942"/>
      <c r="J17" s="377" t="s">
        <v>202</v>
      </c>
      <c r="K17" s="939"/>
      <c r="L17" s="378"/>
      <c r="M17" s="939"/>
      <c r="N17" s="379"/>
      <c r="O17" s="938"/>
      <c r="P17" s="417"/>
      <c r="Q17" s="417"/>
      <c r="R17" s="974"/>
      <c r="S17" s="1331"/>
      <c r="T17" s="1331"/>
      <c r="U17" s="1331"/>
      <c r="V17" s="1331"/>
      <c r="W17" s="1331"/>
      <c r="X17" s="1331"/>
      <c r="Y17" s="1331"/>
      <c r="Z17" s="1331"/>
      <c r="AA17" s="1331"/>
      <c r="AB17" s="1331"/>
      <c r="AC17" s="1331"/>
      <c r="AD17" s="978"/>
    </row>
    <row r="18" spans="1:31" ht="21">
      <c r="A18" s="925" t="s">
        <v>740</v>
      </c>
      <c r="B18" s="930"/>
      <c r="C18" s="1350"/>
      <c r="D18" s="1351"/>
      <c r="E18" s="1351"/>
      <c r="F18" s="1351"/>
      <c r="G18" s="1351"/>
      <c r="H18" s="1352"/>
      <c r="I18" s="942"/>
      <c r="J18" s="380" t="s">
        <v>202</v>
      </c>
      <c r="K18" s="939"/>
      <c r="L18" s="381"/>
      <c r="M18" s="939"/>
      <c r="N18" s="382"/>
      <c r="O18" s="938"/>
      <c r="P18" s="417"/>
      <c r="Q18" s="417"/>
      <c r="R18" s="974"/>
      <c r="S18" s="1326" t="s">
        <v>583</v>
      </c>
      <c r="T18" s="1326" t="e">
        <v>#N/A</v>
      </c>
      <c r="U18" s="1326" t="e">
        <v>#N/A</v>
      </c>
      <c r="V18" s="1326" t="e">
        <v>#N/A</v>
      </c>
      <c r="W18" s="1326" t="e">
        <v>#N/A</v>
      </c>
      <c r="X18" s="1326" t="e">
        <v>#N/A</v>
      </c>
      <c r="Y18" s="1326" t="e">
        <v>#N/A</v>
      </c>
      <c r="Z18" s="1326" t="e">
        <v>#N/A</v>
      </c>
      <c r="AA18" s="1326" t="e">
        <v>#N/A</v>
      </c>
      <c r="AB18" s="1326" t="e">
        <v>#N/A</v>
      </c>
      <c r="AC18" s="1326" t="e">
        <v>#N/A</v>
      </c>
      <c r="AD18" s="978"/>
    </row>
    <row r="19" spans="1:31" ht="6.75" customHeight="1">
      <c r="A19" s="925" t="s">
        <v>740</v>
      </c>
      <c r="B19" s="931"/>
      <c r="C19" s="932"/>
      <c r="D19" s="932"/>
      <c r="E19" s="1022"/>
      <c r="F19" s="1022"/>
      <c r="G19" s="1022"/>
      <c r="H19" s="1022"/>
      <c r="I19" s="1022"/>
      <c r="J19" s="1022"/>
      <c r="K19" s="934"/>
      <c r="L19" s="1023"/>
      <c r="M19" s="1023"/>
      <c r="N19" s="1023"/>
      <c r="O19" s="936"/>
      <c r="P19" s="188"/>
      <c r="Q19" s="188"/>
      <c r="R19" s="950"/>
      <c r="S19" s="1330"/>
      <c r="T19" s="1330"/>
      <c r="U19" s="1330"/>
      <c r="V19" s="1330"/>
      <c r="W19" s="1330"/>
      <c r="X19" s="1330"/>
      <c r="Y19" s="1330"/>
      <c r="Z19" s="1330"/>
      <c r="AA19" s="1330"/>
      <c r="AB19" s="1330"/>
      <c r="AC19" s="1330"/>
      <c r="AD19" s="952"/>
      <c r="AE19" s="188"/>
    </row>
    <row r="20" spans="1:31" ht="31.5" customHeight="1">
      <c r="B20" s="1353" t="s">
        <v>580</v>
      </c>
      <c r="C20" s="1353" t="e">
        <v>#N/A</v>
      </c>
      <c r="D20" s="1353" t="e">
        <v>#N/A</v>
      </c>
      <c r="E20" s="1353" t="e">
        <v>#N/A</v>
      </c>
      <c r="F20" s="1353" t="e">
        <v>#N/A</v>
      </c>
      <c r="G20" s="1353" t="e">
        <v>#N/A</v>
      </c>
      <c r="H20" s="1353" t="e">
        <v>#N/A</v>
      </c>
      <c r="I20" s="1353" t="e">
        <v>#N/A</v>
      </c>
      <c r="J20" s="1353" t="e">
        <v>#N/A</v>
      </c>
      <c r="K20" s="1353" t="e">
        <v>#N/A</v>
      </c>
      <c r="L20" s="1353" t="e">
        <v>#N/A</v>
      </c>
      <c r="M20" s="1353" t="e">
        <v>#N/A</v>
      </c>
      <c r="N20" s="1353" t="e">
        <v>#N/A</v>
      </c>
      <c r="O20" s="1353" t="e">
        <v>#N/A</v>
      </c>
      <c r="P20" s="135"/>
      <c r="Q20" s="135"/>
      <c r="R20" s="975"/>
      <c r="S20" s="1330"/>
      <c r="T20" s="1330"/>
      <c r="U20" s="1330"/>
      <c r="V20" s="1330"/>
      <c r="W20" s="1330"/>
      <c r="X20" s="1330"/>
      <c r="Y20" s="1330"/>
      <c r="Z20" s="1330"/>
      <c r="AA20" s="1330"/>
      <c r="AB20" s="1330"/>
      <c r="AC20" s="1330"/>
      <c r="AD20" s="979"/>
      <c r="AE20" s="135"/>
    </row>
    <row r="21" spans="1:31" ht="93.75" customHeight="1">
      <c r="C21" s="1354"/>
      <c r="D21" s="1354"/>
      <c r="E21" s="1354"/>
      <c r="F21" s="1354"/>
      <c r="G21" s="1354"/>
      <c r="H21" s="1354"/>
      <c r="I21" s="1354"/>
      <c r="J21" s="1354"/>
      <c r="L21" s="1355"/>
      <c r="M21" s="1356"/>
      <c r="N21" s="1356"/>
      <c r="P21" s="188"/>
      <c r="Q21" s="188"/>
      <c r="R21" s="950"/>
      <c r="S21" s="1330"/>
      <c r="T21" s="1330"/>
      <c r="U21" s="1330"/>
      <c r="V21" s="1330"/>
      <c r="W21" s="1330"/>
      <c r="X21" s="1330"/>
      <c r="Y21" s="1330"/>
      <c r="Z21" s="1330"/>
      <c r="AA21" s="1330"/>
      <c r="AB21" s="1330"/>
      <c r="AC21" s="1330"/>
      <c r="AD21" s="952"/>
      <c r="AE21" s="188"/>
    </row>
    <row r="22" spans="1:31" ht="15.75" customHeight="1">
      <c r="A22" s="947"/>
      <c r="B22" s="948"/>
      <c r="C22" s="953" t="s">
        <v>462</v>
      </c>
      <c r="D22" s="954"/>
      <c r="E22" s="1024"/>
      <c r="F22" s="1024"/>
      <c r="G22" s="1024"/>
      <c r="H22" s="1024"/>
      <c r="I22" s="1024"/>
      <c r="J22" s="1024"/>
      <c r="K22" s="956"/>
      <c r="L22" s="1025"/>
      <c r="M22" s="1025"/>
      <c r="N22" s="1025"/>
      <c r="O22" s="951"/>
      <c r="P22" s="188"/>
      <c r="Q22" s="188"/>
      <c r="R22" s="950"/>
      <c r="S22" s="1331"/>
      <c r="T22" s="1331"/>
      <c r="U22" s="1331"/>
      <c r="V22" s="1331"/>
      <c r="W22" s="1331"/>
      <c r="X22" s="1331"/>
      <c r="Y22" s="1331"/>
      <c r="Z22" s="1331"/>
      <c r="AA22" s="1331"/>
      <c r="AB22" s="1331"/>
      <c r="AC22" s="1331"/>
      <c r="AD22" s="952"/>
      <c r="AE22" s="188"/>
    </row>
    <row r="23" spans="1:31" ht="31.5" customHeight="1">
      <c r="A23" s="947"/>
      <c r="B23" s="949"/>
      <c r="C23" s="1338" t="s">
        <v>670</v>
      </c>
      <c r="D23" s="1339"/>
      <c r="E23" s="1339"/>
      <c r="F23" s="1340"/>
      <c r="G23" s="958"/>
      <c r="H23" s="383" t="s">
        <v>482</v>
      </c>
      <c r="I23" s="960"/>
      <c r="J23" s="384" t="s">
        <v>483</v>
      </c>
      <c r="K23" s="958"/>
      <c r="L23" s="1338" t="s">
        <v>484</v>
      </c>
      <c r="M23" s="1339"/>
      <c r="N23" s="1340"/>
      <c r="O23" s="952"/>
      <c r="P23" s="188"/>
      <c r="Q23" s="188"/>
      <c r="R23" s="950"/>
      <c r="S23" s="1326" t="s">
        <v>584</v>
      </c>
      <c r="T23" s="1326" t="e">
        <v>#N/A</v>
      </c>
      <c r="U23" s="1326" t="e">
        <v>#N/A</v>
      </c>
      <c r="V23" s="1326" t="e">
        <v>#N/A</v>
      </c>
      <c r="W23" s="1326" t="e">
        <v>#N/A</v>
      </c>
      <c r="X23" s="1326" t="e">
        <v>#N/A</v>
      </c>
      <c r="Y23" s="1326" t="e">
        <v>#N/A</v>
      </c>
      <c r="Z23" s="1326" t="e">
        <v>#N/A</v>
      </c>
      <c r="AA23" s="1326" t="e">
        <v>#N/A</v>
      </c>
      <c r="AB23" s="1326" t="e">
        <v>#N/A</v>
      </c>
      <c r="AC23" s="1326" t="e">
        <v>#N/A</v>
      </c>
      <c r="AD23" s="952"/>
      <c r="AE23" s="188"/>
    </row>
    <row r="24" spans="1:31" ht="15.75" customHeight="1">
      <c r="A24" s="947"/>
      <c r="B24" s="950"/>
      <c r="C24" s="1341"/>
      <c r="D24" s="1342"/>
      <c r="E24" s="1342"/>
      <c r="F24" s="1343"/>
      <c r="G24" s="959"/>
      <c r="H24" s="385"/>
      <c r="I24" s="961"/>
      <c r="J24" s="386"/>
      <c r="K24" s="959"/>
      <c r="L24" s="1341"/>
      <c r="M24" s="1342"/>
      <c r="N24" s="1343"/>
      <c r="O24" s="952"/>
      <c r="P24" s="188"/>
      <c r="Q24" s="188"/>
      <c r="R24" s="950"/>
      <c r="S24" s="1330"/>
      <c r="T24" s="1330"/>
      <c r="U24" s="1330"/>
      <c r="V24" s="1330"/>
      <c r="W24" s="1330"/>
      <c r="X24" s="1330"/>
      <c r="Y24" s="1330"/>
      <c r="Z24" s="1330"/>
      <c r="AA24" s="1330"/>
      <c r="AB24" s="1330"/>
      <c r="AC24" s="1330"/>
      <c r="AD24" s="952"/>
      <c r="AE24" s="188"/>
    </row>
    <row r="25" spans="1:31" ht="17.25" customHeight="1">
      <c r="A25" s="947"/>
      <c r="B25" s="950"/>
      <c r="C25" s="1344"/>
      <c r="D25" s="1345"/>
      <c r="E25" s="1345"/>
      <c r="F25" s="1346"/>
      <c r="G25" s="959"/>
      <c r="H25" s="387"/>
      <c r="I25" s="961"/>
      <c r="J25" s="388"/>
      <c r="K25" s="959"/>
      <c r="L25" s="1344"/>
      <c r="M25" s="1345"/>
      <c r="N25" s="1346"/>
      <c r="O25" s="952"/>
      <c r="P25" s="188"/>
      <c r="Q25" s="188"/>
      <c r="R25" s="950"/>
      <c r="S25" s="1330"/>
      <c r="T25" s="1330"/>
      <c r="U25" s="1330"/>
      <c r="V25" s="1330"/>
      <c r="W25" s="1330"/>
      <c r="X25" s="1330"/>
      <c r="Y25" s="1330"/>
      <c r="Z25" s="1330"/>
      <c r="AA25" s="1330"/>
      <c r="AB25" s="1330"/>
      <c r="AC25" s="1330"/>
      <c r="AD25" s="952"/>
      <c r="AE25" s="188"/>
    </row>
    <row r="26" spans="1:31" ht="15">
      <c r="A26" s="947"/>
      <c r="B26" s="950"/>
      <c r="C26" s="1344"/>
      <c r="D26" s="1345"/>
      <c r="E26" s="1345"/>
      <c r="F26" s="1346"/>
      <c r="G26" s="959"/>
      <c r="H26" s="387"/>
      <c r="I26" s="961"/>
      <c r="J26" s="388"/>
      <c r="K26" s="959"/>
      <c r="L26" s="1344"/>
      <c r="M26" s="1345"/>
      <c r="N26" s="1346"/>
      <c r="O26" s="952"/>
      <c r="P26" s="188"/>
      <c r="Q26" s="188"/>
      <c r="R26" s="950"/>
      <c r="S26" s="1330"/>
      <c r="T26" s="1330"/>
      <c r="U26" s="1330"/>
      <c r="V26" s="1330"/>
      <c r="W26" s="1330"/>
      <c r="X26" s="1330"/>
      <c r="Y26" s="1330"/>
      <c r="Z26" s="1330"/>
      <c r="AA26" s="1330"/>
      <c r="AB26" s="1330"/>
      <c r="AC26" s="1330"/>
      <c r="AD26" s="952"/>
      <c r="AE26" s="188"/>
    </row>
    <row r="27" spans="1:31" ht="15">
      <c r="A27" s="947"/>
      <c r="B27" s="950"/>
      <c r="C27" s="1347"/>
      <c r="D27" s="1348"/>
      <c r="E27" s="1348"/>
      <c r="F27" s="1349"/>
      <c r="G27" s="959"/>
      <c r="H27" s="389"/>
      <c r="I27" s="961"/>
      <c r="J27" s="390"/>
      <c r="K27" s="959"/>
      <c r="L27" s="1347"/>
      <c r="M27" s="1348"/>
      <c r="N27" s="1349"/>
      <c r="O27" s="952"/>
      <c r="P27" s="188"/>
      <c r="Q27" s="188"/>
      <c r="R27" s="950"/>
      <c r="S27" s="1331"/>
      <c r="T27" s="1331"/>
      <c r="U27" s="1331"/>
      <c r="V27" s="1331"/>
      <c r="W27" s="1331"/>
      <c r="X27" s="1331"/>
      <c r="Y27" s="1331"/>
      <c r="Z27" s="1331"/>
      <c r="AA27" s="1331"/>
      <c r="AB27" s="1331"/>
      <c r="AC27" s="1331"/>
      <c r="AD27" s="952"/>
      <c r="AE27" s="188"/>
    </row>
    <row r="28" spans="1:31" ht="18">
      <c r="A28" s="947"/>
      <c r="B28" s="931"/>
      <c r="C28" s="932"/>
      <c r="D28" s="932"/>
      <c r="E28" s="1022"/>
      <c r="F28" s="1022"/>
      <c r="G28" s="1022"/>
      <c r="H28" s="1022"/>
      <c r="I28" s="1022"/>
      <c r="J28" s="1022"/>
      <c r="K28" s="934"/>
      <c r="L28" s="1023"/>
      <c r="M28" s="1023"/>
      <c r="N28" s="1023"/>
      <c r="O28" s="936"/>
      <c r="P28" s="188"/>
      <c r="Q28" s="188"/>
      <c r="R28" s="950"/>
      <c r="S28" s="1326" t="s">
        <v>585</v>
      </c>
      <c r="T28" s="1326" t="e">
        <v>#N/A</v>
      </c>
      <c r="U28" s="1326" t="e">
        <v>#N/A</v>
      </c>
      <c r="V28" s="1326" t="e">
        <v>#N/A</v>
      </c>
      <c r="W28" s="1326" t="e">
        <v>#N/A</v>
      </c>
      <c r="X28" s="1326" t="e">
        <v>#N/A</v>
      </c>
      <c r="Y28" s="1326" t="e">
        <v>#N/A</v>
      </c>
      <c r="Z28" s="1326" t="e">
        <v>#N/A</v>
      </c>
      <c r="AA28" s="1326" t="e">
        <v>#N/A</v>
      </c>
      <c r="AB28" s="1326" t="e">
        <v>#N/A</v>
      </c>
      <c r="AC28" s="1326" t="e">
        <v>#N/A</v>
      </c>
      <c r="AD28" s="952"/>
      <c r="AE28" s="188"/>
    </row>
    <row r="29" spans="1:31" ht="10.5" customHeight="1">
      <c r="P29" s="188"/>
      <c r="Q29" s="188"/>
      <c r="R29" s="950"/>
      <c r="S29" s="1330"/>
      <c r="T29" s="1330"/>
      <c r="U29" s="1330"/>
      <c r="V29" s="1330"/>
      <c r="W29" s="1330"/>
      <c r="X29" s="1330"/>
      <c r="Y29" s="1330"/>
      <c r="Z29" s="1330"/>
      <c r="AA29" s="1330"/>
      <c r="AB29" s="1330"/>
      <c r="AC29" s="1330"/>
      <c r="AD29" s="952"/>
      <c r="AE29" s="188"/>
    </row>
    <row r="30" spans="1:31" ht="15.75" customHeight="1">
      <c r="B30" s="947"/>
      <c r="C30" s="962" t="s">
        <v>418</v>
      </c>
      <c r="D30" s="962"/>
      <c r="E30" s="963"/>
      <c r="F30" s="963"/>
      <c r="G30" s="963"/>
      <c r="H30" s="963"/>
      <c r="I30" s="963"/>
      <c r="J30" s="963"/>
      <c r="K30" s="963"/>
      <c r="L30" s="964" t="s">
        <v>502</v>
      </c>
      <c r="M30" s="963"/>
      <c r="N30" s="963"/>
      <c r="O30" s="947"/>
      <c r="P30" s="188"/>
      <c r="Q30" s="188"/>
      <c r="R30" s="950"/>
      <c r="S30" s="1330"/>
      <c r="T30" s="1330"/>
      <c r="U30" s="1330"/>
      <c r="V30" s="1330"/>
      <c r="W30" s="1330"/>
      <c r="X30" s="1330"/>
      <c r="Y30" s="1330"/>
      <c r="Z30" s="1330"/>
      <c r="AA30" s="1330"/>
      <c r="AB30" s="1330"/>
      <c r="AC30" s="1330"/>
      <c r="AD30" s="952"/>
      <c r="AE30" s="188"/>
    </row>
    <row r="31" spans="1:31" ht="17.25" customHeight="1">
      <c r="B31" s="965"/>
      <c r="C31" s="391" t="s">
        <v>547</v>
      </c>
      <c r="D31" s="392"/>
      <c r="E31" s="1026"/>
      <c r="F31" s="1027"/>
      <c r="G31" s="1028"/>
      <c r="H31" s="391" t="s">
        <v>480</v>
      </c>
      <c r="I31" s="1026"/>
      <c r="J31" s="1027"/>
      <c r="K31" s="968"/>
      <c r="L31" s="391"/>
      <c r="M31" s="1029"/>
      <c r="N31" s="1030"/>
      <c r="O31" s="950"/>
      <c r="P31" s="188"/>
      <c r="Q31" s="188"/>
      <c r="R31" s="950"/>
      <c r="S31" s="1330"/>
      <c r="T31" s="1330"/>
      <c r="U31" s="1330"/>
      <c r="V31" s="1330"/>
      <c r="W31" s="1330"/>
      <c r="X31" s="1330"/>
      <c r="Y31" s="1330"/>
      <c r="Z31" s="1330"/>
      <c r="AA31" s="1330"/>
      <c r="AB31" s="1330"/>
      <c r="AC31" s="1330"/>
      <c r="AD31" s="952"/>
      <c r="AE31" s="188"/>
    </row>
    <row r="32" spans="1:31" ht="19.5" customHeight="1">
      <c r="B32" s="965"/>
      <c r="C32" s="393" t="s">
        <v>1096</v>
      </c>
      <c r="D32" s="338"/>
      <c r="E32" s="1357" t="s">
        <v>1096</v>
      </c>
      <c r="F32" s="1358"/>
      <c r="G32" s="970"/>
      <c r="H32" s="394" t="s">
        <v>1096</v>
      </c>
      <c r="I32" s="336"/>
      <c r="J32" s="395" t="s">
        <v>1096</v>
      </c>
      <c r="K32" s="971"/>
      <c r="L32" s="1359" t="s">
        <v>465</v>
      </c>
      <c r="M32" s="1360"/>
      <c r="N32" s="571" t="s">
        <v>1096</v>
      </c>
      <c r="O32" s="972"/>
      <c r="P32" s="188"/>
      <c r="Q32" s="188"/>
      <c r="R32" s="950"/>
      <c r="S32" s="1331"/>
      <c r="T32" s="1331"/>
      <c r="U32" s="1331"/>
      <c r="V32" s="1331"/>
      <c r="W32" s="1331"/>
      <c r="X32" s="1331"/>
      <c r="Y32" s="1331"/>
      <c r="Z32" s="1331"/>
      <c r="AA32" s="1331"/>
      <c r="AB32" s="1331"/>
      <c r="AC32" s="1331"/>
      <c r="AD32" s="952"/>
      <c r="AE32" s="188"/>
    </row>
    <row r="33" spans="1:32" ht="20.25" customHeight="1">
      <c r="B33" s="965"/>
      <c r="C33" s="396" t="s">
        <v>1096</v>
      </c>
      <c r="D33" s="205"/>
      <c r="E33" s="1361" t="s">
        <v>1096</v>
      </c>
      <c r="F33" s="1362"/>
      <c r="G33" s="970"/>
      <c r="H33" s="397" t="s">
        <v>1096</v>
      </c>
      <c r="I33" s="335"/>
      <c r="J33" s="398" t="s">
        <v>1096</v>
      </c>
      <c r="K33" s="971"/>
      <c r="L33" s="1363" t="s">
        <v>466</v>
      </c>
      <c r="M33" s="1364"/>
      <c r="N33" s="400" t="s">
        <v>1096</v>
      </c>
      <c r="O33" s="972"/>
      <c r="P33" s="188"/>
      <c r="Q33" s="188"/>
      <c r="R33" s="950"/>
      <c r="S33" s="976" t="s">
        <v>675</v>
      </c>
      <c r="T33" s="977"/>
      <c r="U33" s="977"/>
      <c r="V33" s="977"/>
      <c r="W33" s="977"/>
      <c r="X33" s="980"/>
      <c r="Y33" s="980"/>
      <c r="Z33" s="980"/>
      <c r="AA33" s="980"/>
      <c r="AB33" s="977"/>
      <c r="AC33" s="977"/>
      <c r="AD33" s="952"/>
      <c r="AE33" s="188"/>
    </row>
    <row r="34" spans="1:32" ht="22.5" customHeight="1">
      <c r="B34" s="965"/>
      <c r="C34" s="401" t="s">
        <v>1096</v>
      </c>
      <c r="D34" s="402"/>
      <c r="E34" s="1378" t="s">
        <v>1096</v>
      </c>
      <c r="F34" s="1379"/>
      <c r="G34" s="970"/>
      <c r="H34" s="403" t="s">
        <v>1096</v>
      </c>
      <c r="I34" s="404"/>
      <c r="J34" s="405" t="s">
        <v>1096</v>
      </c>
      <c r="K34" s="971"/>
      <c r="L34" s="1372" t="s">
        <v>20</v>
      </c>
      <c r="M34" s="1373"/>
      <c r="N34" s="407" t="s">
        <v>1096</v>
      </c>
      <c r="O34" s="972"/>
      <c r="P34" s="188"/>
      <c r="Q34" s="188"/>
      <c r="R34" s="950"/>
      <c r="S34" s="1367" t="s">
        <v>581</v>
      </c>
      <c r="T34" s="1368" t="e">
        <v>#N/A</v>
      </c>
      <c r="U34" s="1368" t="e">
        <v>#N/A</v>
      </c>
      <c r="V34" s="1368" t="e">
        <v>#N/A</v>
      </c>
      <c r="W34" s="1369" t="e">
        <v>#N/A</v>
      </c>
      <c r="X34" s="1365"/>
      <c r="Y34" s="1366"/>
      <c r="Z34" s="1367" t="s">
        <v>586</v>
      </c>
      <c r="AA34" s="1369" t="e">
        <v>#N/A</v>
      </c>
      <c r="AB34" s="1365"/>
      <c r="AC34" s="1366"/>
      <c r="AD34" s="952"/>
      <c r="AE34" s="188"/>
    </row>
    <row r="35" spans="1:32" ht="12" customHeight="1">
      <c r="A35" s="947"/>
      <c r="B35" s="965"/>
      <c r="C35" s="966"/>
      <c r="D35" s="966"/>
      <c r="E35" s="1028"/>
      <c r="F35" s="1028"/>
      <c r="G35" s="1028"/>
      <c r="H35" s="1028"/>
      <c r="I35" s="1028"/>
      <c r="J35" s="1028"/>
      <c r="K35" s="968"/>
      <c r="L35" s="1031"/>
      <c r="M35" s="1031"/>
      <c r="N35" s="947"/>
      <c r="O35" s="965"/>
      <c r="P35" s="188"/>
      <c r="Q35" s="188"/>
      <c r="R35" s="931"/>
      <c r="S35" s="981"/>
      <c r="T35" s="981"/>
      <c r="U35" s="981"/>
      <c r="V35" s="981"/>
      <c r="W35" s="981"/>
      <c r="X35" s="981"/>
      <c r="Y35" s="981"/>
      <c r="Z35" s="981"/>
      <c r="AA35" s="981"/>
      <c r="AB35" s="981"/>
      <c r="AC35" s="981"/>
      <c r="AD35" s="936"/>
      <c r="AE35" s="188"/>
    </row>
    <row r="36" spans="1:32" ht="17.25" customHeight="1">
      <c r="C36" s="62"/>
      <c r="D36" s="62"/>
      <c r="E36" s="1032"/>
      <c r="F36" s="1032"/>
      <c r="G36" s="1032"/>
      <c r="H36" s="1032"/>
      <c r="I36" s="1032"/>
      <c r="J36" s="1032"/>
      <c r="K36" s="63"/>
      <c r="L36" s="1033"/>
      <c r="M36" s="1033"/>
      <c r="N36" s="1033"/>
      <c r="O36" s="136"/>
      <c r="P36" s="136"/>
      <c r="Q36" s="136"/>
      <c r="R36" s="136"/>
      <c r="S36" s="412" t="s">
        <v>489</v>
      </c>
      <c r="T36" s="136"/>
      <c r="U36" s="136"/>
      <c r="V36" s="86"/>
      <c r="X36" s="137"/>
      <c r="Y36" s="137"/>
      <c r="AB36" s="188"/>
      <c r="AC36" s="188"/>
      <c r="AD36" s="188"/>
      <c r="AE36" s="188"/>
    </row>
    <row r="37" spans="1:32" ht="20.25" customHeight="1">
      <c r="B37" s="188"/>
      <c r="C37" s="62"/>
      <c r="D37" s="62"/>
      <c r="E37" s="1032"/>
      <c r="F37" s="1371"/>
      <c r="G37" s="1371"/>
      <c r="H37" s="1371"/>
      <c r="I37" s="569"/>
      <c r="J37" s="136"/>
      <c r="K37" s="418"/>
      <c r="L37" s="204"/>
      <c r="M37" s="204"/>
      <c r="N37" s="136"/>
      <c r="O37" s="136"/>
      <c r="P37" s="188"/>
      <c r="Q37" s="188"/>
      <c r="R37" s="188"/>
      <c r="T37" s="138"/>
      <c r="U37" s="138"/>
      <c r="V37" s="138"/>
      <c r="W37" s="138"/>
      <c r="X37" s="138"/>
      <c r="Y37" s="138"/>
      <c r="Z37" s="138"/>
      <c r="AA37" s="138"/>
      <c r="AB37" s="188"/>
      <c r="AC37" s="188"/>
      <c r="AD37" s="188"/>
      <c r="AE37" s="188"/>
    </row>
    <row r="38" spans="1:32" ht="3" customHeight="1">
      <c r="B38" s="188"/>
      <c r="C38" s="62"/>
      <c r="D38" s="62"/>
      <c r="E38" s="1032"/>
      <c r="F38" s="1032"/>
      <c r="G38" s="1032"/>
      <c r="H38" s="1032"/>
      <c r="I38" s="1032"/>
      <c r="J38" s="1032"/>
      <c r="K38" s="63"/>
      <c r="L38" s="1033"/>
      <c r="M38" s="1033"/>
      <c r="N38" s="1033"/>
      <c r="O38" s="188"/>
      <c r="P38" s="188"/>
      <c r="Q38" s="188"/>
      <c r="R38" s="188"/>
      <c r="S38" s="188"/>
      <c r="T38" s="188"/>
      <c r="U38" s="188"/>
      <c r="V38" s="188"/>
      <c r="W38" s="188"/>
      <c r="X38" s="188"/>
      <c r="Y38" s="188"/>
      <c r="Z38" s="188"/>
      <c r="AA38" s="188"/>
      <c r="AB38" s="188"/>
      <c r="AC38" s="188"/>
      <c r="AD38" s="188"/>
      <c r="AE38" s="188"/>
    </row>
    <row r="39" spans="1:32" ht="52.5" customHeight="1">
      <c r="B39" s="188"/>
      <c r="C39" s="188"/>
      <c r="D39" s="62"/>
      <c r="E39" s="1032"/>
      <c r="F39" s="1032"/>
      <c r="G39" s="1032"/>
      <c r="H39" s="1032"/>
      <c r="I39" s="1032"/>
      <c r="J39" s="1034"/>
      <c r="K39" s="63"/>
      <c r="L39" s="1033"/>
      <c r="M39" s="1033"/>
      <c r="N39" s="1033"/>
      <c r="O39" s="188"/>
      <c r="P39" s="188"/>
      <c r="Q39" s="188"/>
      <c r="R39" s="188"/>
      <c r="S39" s="1374"/>
      <c r="T39" s="1374"/>
      <c r="U39" s="1374"/>
      <c r="V39" s="1374"/>
      <c r="W39" s="1374"/>
      <c r="X39" s="1374"/>
      <c r="Y39" s="188"/>
      <c r="Z39" s="188"/>
      <c r="AA39" s="188"/>
      <c r="AB39" s="188"/>
      <c r="AC39" s="188"/>
      <c r="AD39" s="188"/>
      <c r="AE39" s="188"/>
    </row>
    <row r="40" spans="1:32" ht="13.5" customHeight="1">
      <c r="B40" s="188"/>
      <c r="I40" s="1032"/>
      <c r="J40" s="1032"/>
      <c r="K40" s="77"/>
      <c r="L40" s="1035"/>
      <c r="M40" s="1035"/>
      <c r="N40" s="1035"/>
      <c r="O40" s="408"/>
      <c r="P40" s="408"/>
      <c r="Q40" s="408"/>
      <c r="R40" s="408"/>
      <c r="S40" s="408"/>
      <c r="T40" s="337"/>
      <c r="U40" s="408"/>
      <c r="V40" s="188"/>
      <c r="W40" s="188"/>
      <c r="X40" s="188"/>
      <c r="Y40" s="408"/>
      <c r="Z40" s="408"/>
      <c r="AA40" s="408"/>
      <c r="AB40" s="408"/>
      <c r="AC40" s="408"/>
      <c r="AD40" s="188"/>
      <c r="AE40" s="188"/>
    </row>
    <row r="41" spans="1:32" ht="15.75">
      <c r="B41" s="188"/>
      <c r="C41" s="822" t="s">
        <v>12</v>
      </c>
      <c r="D41" s="419"/>
      <c r="E41" s="1375" t="s">
        <v>1096</v>
      </c>
      <c r="F41" s="1375"/>
      <c r="G41" s="1375"/>
      <c r="H41" s="1375"/>
      <c r="I41" s="1036"/>
      <c r="J41" s="57"/>
      <c r="K41" s="1037"/>
      <c r="L41" s="1376" t="s">
        <v>667</v>
      </c>
      <c r="M41" s="1376"/>
      <c r="N41" s="1376"/>
      <c r="O41" s="1376"/>
      <c r="P41" s="1376"/>
      <c r="Q41" s="1376"/>
      <c r="R41" s="1038"/>
      <c r="S41" s="1038" t="s">
        <v>1096</v>
      </c>
      <c r="T41" s="412"/>
      <c r="U41" s="412"/>
      <c r="V41" s="412"/>
      <c r="W41" s="412"/>
      <c r="X41" s="412"/>
      <c r="Y41" s="57" t="s">
        <v>534</v>
      </c>
      <c r="Z41" s="412"/>
      <c r="AA41" s="1377" t="s">
        <v>1096</v>
      </c>
      <c r="AB41" s="1377"/>
      <c r="AD41" s="136"/>
      <c r="AE41" s="188"/>
    </row>
    <row r="42" spans="1:32" ht="15.75">
      <c r="B42" s="188"/>
      <c r="C42" s="136" t="s">
        <v>713</v>
      </c>
      <c r="D42" s="62"/>
      <c r="E42" s="1370" t="s">
        <v>1096</v>
      </c>
      <c r="F42" s="1370"/>
      <c r="G42" s="1370"/>
      <c r="H42" s="1370"/>
      <c r="I42" s="1032"/>
      <c r="J42" s="1032"/>
      <c r="K42" s="63"/>
      <c r="L42" s="1034"/>
      <c r="M42" s="1033"/>
      <c r="N42" s="1039" t="s">
        <v>1096</v>
      </c>
      <c r="O42" s="1040"/>
      <c r="P42" s="1040"/>
      <c r="Q42" s="1040"/>
      <c r="R42" s="1040"/>
      <c r="S42" s="1040"/>
      <c r="T42" s="1040"/>
      <c r="U42" s="1040"/>
      <c r="V42" s="188"/>
      <c r="W42" s="188"/>
      <c r="X42" s="188"/>
      <c r="Y42" s="188"/>
      <c r="Z42" s="188"/>
      <c r="AC42" s="188"/>
      <c r="AD42" s="188"/>
      <c r="AE42" s="188"/>
    </row>
    <row r="43" spans="1:32" ht="7.5" customHeight="1">
      <c r="B43" s="188"/>
      <c r="C43" s="62"/>
      <c r="D43" s="62"/>
      <c r="E43" s="1032"/>
      <c r="F43" s="1032"/>
      <c r="G43" s="1032"/>
      <c r="H43" s="1032"/>
      <c r="I43" s="1032"/>
      <c r="J43" s="1032"/>
      <c r="K43" s="63"/>
      <c r="L43" s="1034"/>
      <c r="M43" s="1033"/>
      <c r="N43" s="1033"/>
      <c r="O43" s="188"/>
      <c r="P43" s="188"/>
      <c r="Q43" s="188"/>
      <c r="R43" s="188"/>
      <c r="S43" s="188"/>
      <c r="T43" s="188"/>
      <c r="U43" s="188"/>
      <c r="V43" s="188"/>
      <c r="W43" s="188"/>
      <c r="X43" s="188"/>
      <c r="Y43" s="188"/>
      <c r="Z43" s="188"/>
      <c r="AA43" s="188"/>
      <c r="AB43" s="188"/>
      <c r="AC43" s="188"/>
      <c r="AD43" s="188"/>
      <c r="AE43" s="188"/>
    </row>
    <row r="44" spans="1:32" ht="6.75" customHeight="1">
      <c r="C44" s="62"/>
      <c r="D44" s="62"/>
      <c r="E44" s="62"/>
      <c r="F44" s="62"/>
      <c r="G44" s="62"/>
      <c r="H44" s="62"/>
      <c r="I44" s="62"/>
      <c r="J44" s="62"/>
      <c r="K44" s="62"/>
      <c r="L44" s="62"/>
      <c r="M44" s="62"/>
      <c r="N44" s="62"/>
      <c r="O44" s="62"/>
      <c r="P44" s="62"/>
      <c r="Q44" s="62"/>
      <c r="R44" s="62"/>
      <c r="S44" s="62"/>
      <c r="T44" s="62"/>
      <c r="U44" s="62"/>
      <c r="V44" s="62"/>
      <c r="W44" s="62"/>
      <c r="X44" s="62"/>
      <c r="Y44" s="62"/>
      <c r="Z44" s="62"/>
      <c r="AA44" s="62"/>
      <c r="AB44" s="62"/>
      <c r="AC44" s="62"/>
      <c r="AD44" s="62"/>
      <c r="AE44" s="62"/>
      <c r="AF44" s="62"/>
    </row>
    <row r="45" spans="1:32" ht="14.25" customHeight="1">
      <c r="C45" s="62"/>
      <c r="D45" s="62"/>
      <c r="E45" s="62"/>
      <c r="F45" s="62"/>
      <c r="G45" s="62"/>
      <c r="H45" s="62"/>
      <c r="I45" s="62"/>
      <c r="J45" s="62"/>
      <c r="K45" s="62"/>
      <c r="L45" s="62"/>
      <c r="M45" s="62"/>
      <c r="N45" s="62"/>
      <c r="O45" s="62"/>
      <c r="P45" s="62"/>
      <c r="Q45" s="62"/>
      <c r="R45" s="62"/>
      <c r="S45" s="62"/>
      <c r="T45" s="62"/>
      <c r="U45" s="62"/>
      <c r="V45" s="62"/>
      <c r="W45" s="62"/>
      <c r="X45" s="62"/>
      <c r="Y45" s="62"/>
      <c r="Z45" s="62"/>
      <c r="AA45" s="62"/>
      <c r="AB45" s="62"/>
      <c r="AC45" s="62"/>
      <c r="AD45" s="62"/>
      <c r="AE45" s="62"/>
      <c r="AF45" s="62"/>
    </row>
    <row r="46" spans="1:32" ht="14.25" customHeight="1">
      <c r="C46" s="62"/>
      <c r="D46" s="62"/>
      <c r="E46" s="62"/>
      <c r="F46" s="62"/>
      <c r="G46" s="62"/>
      <c r="H46" s="62"/>
      <c r="I46" s="62"/>
      <c r="J46" s="62"/>
      <c r="K46" s="62"/>
      <c r="L46" s="62"/>
      <c r="M46" s="62"/>
      <c r="N46" s="62"/>
      <c r="O46" s="62"/>
      <c r="P46" s="62"/>
      <c r="Q46" s="62"/>
      <c r="R46" s="62"/>
      <c r="S46" s="62"/>
      <c r="T46" s="62"/>
      <c r="U46" s="62"/>
      <c r="V46" s="62"/>
      <c r="W46" s="62"/>
      <c r="X46" s="62"/>
      <c r="Y46" s="62"/>
      <c r="Z46" s="62"/>
      <c r="AA46" s="62"/>
      <c r="AB46" s="62"/>
      <c r="AC46" s="62"/>
      <c r="AD46" s="62"/>
      <c r="AE46" s="62"/>
      <c r="AF46" s="62"/>
    </row>
    <row r="47" spans="1:32" ht="14.25" customHeight="1">
      <c r="C47" s="62"/>
      <c r="D47" s="62"/>
      <c r="E47" s="62"/>
      <c r="F47" s="62"/>
      <c r="G47" s="62"/>
      <c r="H47" s="62"/>
      <c r="I47" s="62"/>
      <c r="J47" s="62"/>
      <c r="K47" s="62"/>
      <c r="L47" s="62"/>
      <c r="M47" s="62"/>
      <c r="N47" s="62"/>
      <c r="O47" s="62"/>
      <c r="P47" s="62"/>
      <c r="Q47" s="62"/>
      <c r="R47" s="62"/>
      <c r="S47" s="62"/>
      <c r="T47" s="62"/>
      <c r="U47" s="62"/>
      <c r="V47" s="62"/>
      <c r="W47" s="62"/>
      <c r="X47" s="62"/>
      <c r="Y47" s="62"/>
      <c r="Z47" s="62"/>
      <c r="AA47" s="62"/>
      <c r="AB47" s="62"/>
      <c r="AC47" s="62"/>
      <c r="AD47" s="62"/>
      <c r="AE47" s="62"/>
      <c r="AF47" s="62"/>
    </row>
    <row r="48" spans="1:32" ht="14.25" customHeight="1">
      <c r="C48" s="62"/>
      <c r="D48" s="62"/>
      <c r="E48" s="62"/>
      <c r="F48" s="62"/>
      <c r="G48" s="62"/>
      <c r="H48" s="62"/>
      <c r="I48" s="62"/>
      <c r="J48" s="62"/>
      <c r="K48" s="62"/>
      <c r="L48" s="62"/>
      <c r="M48" s="62"/>
      <c r="N48" s="62"/>
      <c r="O48" s="62"/>
      <c r="P48" s="62"/>
      <c r="Q48" s="62"/>
      <c r="R48" s="62"/>
      <c r="S48" s="62"/>
      <c r="T48" s="62"/>
      <c r="U48" s="62"/>
      <c r="V48" s="62"/>
      <c r="W48" s="62"/>
      <c r="X48" s="62"/>
      <c r="Y48" s="62"/>
      <c r="Z48" s="62"/>
      <c r="AA48" s="62"/>
      <c r="AB48" s="62"/>
      <c r="AC48" s="62"/>
      <c r="AD48" s="62"/>
      <c r="AE48" s="62"/>
      <c r="AF48" s="62"/>
    </row>
    <row r="49" spans="3:32" ht="14.25" customHeight="1">
      <c r="C49" s="62"/>
      <c r="D49" s="62"/>
      <c r="E49" s="62"/>
      <c r="F49" s="62"/>
      <c r="G49" s="62"/>
      <c r="H49" s="62"/>
      <c r="I49" s="62"/>
      <c r="J49" s="62"/>
      <c r="K49" s="62"/>
      <c r="L49" s="62"/>
      <c r="M49" s="62"/>
      <c r="N49" s="62"/>
      <c r="O49" s="62"/>
      <c r="P49" s="62"/>
      <c r="Q49" s="62"/>
      <c r="R49" s="62"/>
      <c r="S49" s="62"/>
      <c r="T49" s="62"/>
      <c r="U49" s="62"/>
      <c r="V49" s="62"/>
      <c r="W49" s="62"/>
      <c r="X49" s="62"/>
      <c r="Y49" s="62"/>
      <c r="Z49" s="62"/>
      <c r="AA49" s="62"/>
      <c r="AB49" s="62"/>
      <c r="AC49" s="62"/>
      <c r="AD49" s="62"/>
      <c r="AE49" s="62"/>
      <c r="AF49" s="62"/>
    </row>
    <row r="50" spans="3:32" ht="14.25" customHeight="1">
      <c r="C50" s="62"/>
      <c r="D50" s="62"/>
      <c r="E50" s="62"/>
      <c r="F50" s="62"/>
      <c r="G50" s="62"/>
      <c r="H50" s="62"/>
      <c r="I50" s="62"/>
      <c r="J50" s="62"/>
      <c r="K50" s="62"/>
      <c r="L50" s="62"/>
      <c r="M50" s="62"/>
      <c r="N50" s="62"/>
      <c r="O50" s="62"/>
      <c r="P50" s="62"/>
      <c r="Q50" s="62"/>
      <c r="R50" s="62"/>
      <c r="S50" s="62"/>
      <c r="T50" s="62"/>
      <c r="U50" s="62"/>
      <c r="V50" s="62"/>
      <c r="W50" s="62"/>
      <c r="X50" s="62"/>
      <c r="Y50" s="62"/>
      <c r="Z50" s="62"/>
      <c r="AA50" s="62"/>
      <c r="AB50" s="62"/>
      <c r="AC50" s="62"/>
      <c r="AD50" s="62"/>
      <c r="AE50" s="62"/>
      <c r="AF50" s="62"/>
    </row>
    <row r="51" spans="3:32" ht="14.25" customHeight="1">
      <c r="C51" s="62"/>
      <c r="D51" s="62"/>
      <c r="E51" s="62"/>
      <c r="F51" s="62"/>
      <c r="G51" s="62"/>
      <c r="H51" s="62"/>
      <c r="I51" s="62"/>
      <c r="J51" s="62"/>
      <c r="K51" s="62"/>
      <c r="L51" s="62"/>
      <c r="M51" s="62"/>
      <c r="N51" s="62"/>
      <c r="O51" s="62"/>
      <c r="P51" s="62"/>
      <c r="Q51" s="62"/>
      <c r="R51" s="62"/>
      <c r="S51" s="62"/>
      <c r="T51" s="62"/>
      <c r="U51" s="62"/>
      <c r="V51" s="62"/>
      <c r="W51" s="62"/>
      <c r="X51" s="62"/>
      <c r="Y51" s="62"/>
      <c r="Z51" s="62"/>
      <c r="AA51" s="62"/>
      <c r="AB51" s="62"/>
      <c r="AC51" s="62"/>
      <c r="AD51" s="62"/>
      <c r="AE51" s="62"/>
      <c r="AF51" s="62"/>
    </row>
    <row r="52" spans="3:32" ht="14.25" customHeight="1">
      <c r="C52" s="62"/>
      <c r="D52" s="62"/>
      <c r="E52" s="62"/>
      <c r="F52" s="62"/>
      <c r="G52" s="62"/>
      <c r="H52" s="62"/>
      <c r="I52" s="62"/>
      <c r="J52" s="62"/>
      <c r="K52" s="62"/>
      <c r="L52" s="62"/>
      <c r="M52" s="62"/>
      <c r="N52" s="62"/>
      <c r="O52" s="62"/>
      <c r="P52" s="62"/>
      <c r="Q52" s="62"/>
      <c r="R52" s="62"/>
      <c r="S52" s="62"/>
      <c r="T52" s="62"/>
      <c r="U52" s="62"/>
      <c r="V52" s="62"/>
      <c r="W52" s="62"/>
      <c r="X52" s="62"/>
      <c r="Y52" s="62"/>
      <c r="Z52" s="62"/>
      <c r="AA52" s="62"/>
      <c r="AB52" s="62"/>
      <c r="AC52" s="62"/>
      <c r="AD52" s="62"/>
      <c r="AE52" s="62"/>
      <c r="AF52" s="62"/>
    </row>
    <row r="53" spans="3:32" ht="14.25" customHeight="1">
      <c r="C53" s="62"/>
      <c r="D53" s="62"/>
      <c r="E53" s="62"/>
      <c r="F53" s="62"/>
      <c r="G53" s="62"/>
      <c r="H53" s="62"/>
      <c r="I53" s="62"/>
      <c r="J53" s="62"/>
      <c r="K53" s="62"/>
      <c r="L53" s="62"/>
      <c r="M53" s="62"/>
      <c r="N53" s="62"/>
      <c r="O53" s="62"/>
      <c r="P53" s="62"/>
      <c r="Q53" s="62"/>
      <c r="R53" s="62"/>
      <c r="S53" s="62"/>
      <c r="T53" s="62"/>
      <c r="U53" s="62"/>
      <c r="V53" s="62"/>
      <c r="W53" s="62"/>
      <c r="X53" s="62"/>
      <c r="Y53" s="62"/>
      <c r="Z53" s="62"/>
      <c r="AA53" s="62"/>
      <c r="AB53" s="62"/>
      <c r="AC53" s="62"/>
      <c r="AD53" s="62"/>
      <c r="AE53" s="62"/>
      <c r="AF53" s="62"/>
    </row>
    <row r="54" spans="3:32" ht="14.25" customHeight="1">
      <c r="C54" s="62"/>
      <c r="D54" s="62"/>
      <c r="E54" s="62"/>
      <c r="F54" s="62"/>
      <c r="G54" s="62"/>
      <c r="H54" s="62"/>
      <c r="I54" s="62"/>
      <c r="J54" s="62"/>
      <c r="K54" s="62"/>
      <c r="L54" s="62"/>
      <c r="M54" s="62"/>
      <c r="N54" s="62"/>
      <c r="O54" s="62"/>
      <c r="P54" s="62"/>
      <c r="Q54" s="62"/>
      <c r="R54" s="62"/>
      <c r="S54" s="62"/>
      <c r="T54" s="62"/>
      <c r="U54" s="62"/>
      <c r="V54" s="62"/>
      <c r="W54" s="62"/>
      <c r="X54" s="62"/>
      <c r="Y54" s="62"/>
      <c r="Z54" s="62"/>
      <c r="AA54" s="62"/>
      <c r="AB54" s="62"/>
      <c r="AC54" s="62"/>
      <c r="AD54" s="62"/>
      <c r="AE54" s="62"/>
      <c r="AF54" s="62"/>
    </row>
    <row r="55" spans="3:32" ht="14.25" customHeight="1">
      <c r="C55" s="62"/>
      <c r="D55" s="62"/>
      <c r="E55" s="62"/>
      <c r="F55" s="62"/>
      <c r="G55" s="62"/>
      <c r="H55" s="62"/>
      <c r="I55" s="62"/>
      <c r="J55" s="62"/>
      <c r="K55" s="62"/>
      <c r="L55" s="62"/>
      <c r="M55" s="62"/>
      <c r="N55" s="62"/>
      <c r="O55" s="62"/>
      <c r="P55" s="62"/>
      <c r="Q55" s="62"/>
      <c r="R55" s="62"/>
      <c r="S55" s="62"/>
      <c r="T55" s="62"/>
      <c r="U55" s="62"/>
      <c r="V55" s="62"/>
      <c r="W55" s="62"/>
      <c r="X55" s="62"/>
      <c r="Y55" s="62"/>
      <c r="Z55" s="62"/>
      <c r="AA55" s="62"/>
      <c r="AB55" s="62"/>
      <c r="AC55" s="62"/>
      <c r="AD55" s="62"/>
      <c r="AE55" s="62"/>
      <c r="AF55" s="62"/>
    </row>
    <row r="56" spans="3:32" ht="14.25" customHeight="1">
      <c r="C56" s="62"/>
      <c r="D56" s="62"/>
      <c r="E56" s="62"/>
      <c r="F56" s="62"/>
      <c r="G56" s="62"/>
      <c r="H56" s="62"/>
      <c r="I56" s="62"/>
      <c r="J56" s="62"/>
      <c r="K56" s="62"/>
      <c r="L56" s="62"/>
      <c r="M56" s="62"/>
      <c r="N56" s="62"/>
      <c r="O56" s="62"/>
      <c r="P56" s="62"/>
      <c r="Q56" s="62"/>
      <c r="R56" s="62"/>
      <c r="S56" s="62"/>
      <c r="T56" s="62"/>
      <c r="U56" s="62"/>
      <c r="V56" s="62"/>
      <c r="W56" s="62"/>
      <c r="X56" s="62"/>
      <c r="Y56" s="62"/>
      <c r="Z56" s="62"/>
      <c r="AA56" s="62"/>
      <c r="AB56" s="62"/>
      <c r="AC56" s="62"/>
      <c r="AD56" s="62"/>
      <c r="AE56" s="62"/>
      <c r="AF56" s="62"/>
    </row>
    <row r="57" spans="3:32" ht="14.25" customHeight="1">
      <c r="C57" s="62"/>
      <c r="D57" s="62"/>
      <c r="E57" s="62"/>
      <c r="F57" s="62"/>
      <c r="G57" s="62"/>
      <c r="H57" s="62"/>
      <c r="I57" s="62"/>
      <c r="J57" s="62"/>
      <c r="K57" s="62"/>
      <c r="L57" s="62"/>
      <c r="M57" s="62"/>
      <c r="N57" s="62"/>
      <c r="O57" s="62"/>
      <c r="P57" s="62"/>
      <c r="Q57" s="62"/>
      <c r="R57" s="62"/>
      <c r="S57" s="62"/>
      <c r="T57" s="62"/>
      <c r="U57" s="62"/>
      <c r="V57" s="62"/>
      <c r="W57" s="62"/>
      <c r="X57" s="62"/>
      <c r="Y57" s="62"/>
      <c r="Z57" s="62"/>
      <c r="AA57" s="62"/>
      <c r="AB57" s="62"/>
      <c r="AC57" s="62"/>
      <c r="AD57" s="62"/>
      <c r="AE57" s="62"/>
      <c r="AF57" s="62"/>
    </row>
    <row r="58" spans="3:32" ht="14.25" customHeight="1">
      <c r="C58" s="62"/>
      <c r="D58" s="62"/>
      <c r="E58" s="62"/>
      <c r="F58" s="62"/>
      <c r="G58" s="62"/>
      <c r="H58" s="62"/>
      <c r="I58" s="62"/>
      <c r="J58" s="62"/>
      <c r="K58" s="62"/>
      <c r="L58" s="62"/>
      <c r="M58" s="62"/>
      <c r="N58" s="62"/>
      <c r="O58" s="62"/>
      <c r="P58" s="62"/>
      <c r="Q58" s="62"/>
      <c r="R58" s="62"/>
      <c r="S58" s="62"/>
      <c r="T58" s="62"/>
      <c r="U58" s="62"/>
      <c r="V58" s="62"/>
      <c r="W58" s="62"/>
      <c r="X58" s="62"/>
      <c r="Y58" s="62"/>
      <c r="Z58" s="62"/>
      <c r="AA58" s="62"/>
      <c r="AB58" s="62"/>
      <c r="AC58" s="62"/>
      <c r="AD58" s="62"/>
      <c r="AE58" s="62"/>
      <c r="AF58" s="62"/>
    </row>
    <row r="59" spans="3:32" ht="14.25" customHeight="1">
      <c r="C59" s="62"/>
      <c r="D59" s="62"/>
      <c r="E59" s="62"/>
      <c r="F59" s="62"/>
      <c r="G59" s="62"/>
      <c r="H59" s="62"/>
      <c r="I59" s="62"/>
      <c r="J59" s="62"/>
      <c r="K59" s="62"/>
      <c r="L59" s="62"/>
      <c r="M59" s="62"/>
      <c r="N59" s="62"/>
      <c r="O59" s="62"/>
      <c r="P59" s="62"/>
      <c r="Q59" s="62"/>
      <c r="R59" s="62"/>
      <c r="S59" s="62"/>
      <c r="T59" s="62"/>
      <c r="U59" s="62"/>
      <c r="V59" s="62"/>
      <c r="W59" s="62"/>
      <c r="X59" s="62"/>
      <c r="Y59" s="62"/>
      <c r="Z59" s="62"/>
      <c r="AA59" s="62"/>
      <c r="AB59" s="62"/>
      <c r="AC59" s="62"/>
      <c r="AD59" s="62"/>
      <c r="AE59" s="62"/>
      <c r="AF59" s="62"/>
    </row>
    <row r="60" spans="3:32" ht="14.25" customHeight="1">
      <c r="C60" s="62"/>
      <c r="D60" s="62"/>
      <c r="E60" s="62"/>
      <c r="F60" s="62"/>
      <c r="G60" s="62"/>
      <c r="H60" s="62"/>
      <c r="I60" s="62"/>
      <c r="J60" s="62"/>
      <c r="K60" s="62"/>
      <c r="L60" s="62"/>
      <c r="M60" s="62"/>
      <c r="N60" s="62"/>
      <c r="O60" s="62"/>
      <c r="P60" s="62"/>
      <c r="Q60" s="62"/>
      <c r="R60" s="62"/>
      <c r="S60" s="62"/>
      <c r="T60" s="62"/>
      <c r="U60" s="62"/>
      <c r="V60" s="62"/>
      <c r="W60" s="62"/>
      <c r="X60" s="62"/>
      <c r="Y60" s="62"/>
      <c r="Z60" s="62"/>
      <c r="AA60" s="62"/>
      <c r="AB60" s="62"/>
      <c r="AC60" s="62"/>
      <c r="AD60" s="62"/>
      <c r="AE60" s="62"/>
      <c r="AF60" s="62"/>
    </row>
    <row r="61" spans="3:32" ht="14.25" customHeight="1">
      <c r="C61" s="62"/>
      <c r="D61" s="62"/>
      <c r="E61" s="62"/>
      <c r="F61" s="62"/>
      <c r="G61" s="62"/>
      <c r="H61" s="62"/>
      <c r="I61" s="62"/>
      <c r="J61" s="62"/>
      <c r="K61" s="62"/>
      <c r="L61" s="62"/>
      <c r="M61" s="62"/>
      <c r="N61" s="62"/>
      <c r="O61" s="62"/>
      <c r="P61" s="62"/>
      <c r="Q61" s="62"/>
      <c r="R61" s="62"/>
      <c r="S61" s="62"/>
      <c r="T61" s="62"/>
      <c r="U61" s="62"/>
      <c r="V61" s="62"/>
      <c r="W61" s="62"/>
      <c r="X61" s="62"/>
      <c r="Y61" s="62"/>
      <c r="Z61" s="62"/>
      <c r="AA61" s="62"/>
      <c r="AB61" s="62"/>
      <c r="AC61" s="62"/>
      <c r="AD61" s="62"/>
      <c r="AE61" s="62"/>
      <c r="AF61" s="62"/>
    </row>
    <row r="62" spans="3:32" ht="14.25" customHeight="1">
      <c r="C62" s="62"/>
      <c r="D62" s="62"/>
      <c r="E62" s="62"/>
      <c r="F62" s="62"/>
      <c r="G62" s="62"/>
      <c r="H62" s="62"/>
      <c r="I62" s="62"/>
      <c r="J62" s="62"/>
      <c r="K62" s="62"/>
      <c r="L62" s="62"/>
      <c r="M62" s="62"/>
      <c r="N62" s="62"/>
      <c r="O62" s="62"/>
      <c r="P62" s="62"/>
      <c r="Q62" s="62"/>
      <c r="R62" s="62"/>
      <c r="S62" s="62"/>
      <c r="T62" s="62"/>
      <c r="U62" s="62"/>
      <c r="V62" s="62"/>
      <c r="W62" s="62"/>
      <c r="X62" s="62"/>
      <c r="Y62" s="62"/>
      <c r="Z62" s="62"/>
      <c r="AA62" s="62"/>
      <c r="AB62" s="62"/>
      <c r="AC62" s="62"/>
      <c r="AD62" s="62"/>
      <c r="AE62" s="62"/>
      <c r="AF62" s="62"/>
    </row>
    <row r="63" spans="3:32" ht="14.25" customHeight="1">
      <c r="C63" s="62"/>
      <c r="D63" s="62"/>
      <c r="E63" s="62"/>
      <c r="F63" s="62"/>
      <c r="G63" s="62"/>
      <c r="H63" s="62"/>
      <c r="I63" s="62"/>
      <c r="J63" s="62"/>
      <c r="K63" s="62"/>
      <c r="L63" s="62"/>
      <c r="M63" s="62"/>
      <c r="N63" s="62"/>
      <c r="O63" s="62"/>
      <c r="P63" s="62"/>
      <c r="Q63" s="62"/>
      <c r="R63" s="62"/>
      <c r="S63" s="62"/>
      <c r="T63" s="62"/>
      <c r="U63" s="62"/>
      <c r="V63" s="62"/>
      <c r="W63" s="62"/>
      <c r="X63" s="62"/>
      <c r="Y63" s="62"/>
      <c r="Z63" s="62"/>
      <c r="AA63" s="62"/>
      <c r="AB63" s="62"/>
      <c r="AC63" s="62"/>
      <c r="AD63" s="62"/>
      <c r="AE63" s="62"/>
      <c r="AF63" s="62"/>
    </row>
    <row r="64" spans="3:32" ht="14.25" customHeight="1">
      <c r="C64" s="62"/>
      <c r="D64" s="62"/>
      <c r="E64" s="62"/>
      <c r="F64" s="62"/>
      <c r="G64" s="62"/>
      <c r="H64" s="62"/>
      <c r="I64" s="62"/>
      <c r="J64" s="62"/>
      <c r="K64" s="62"/>
      <c r="L64" s="62"/>
      <c r="M64" s="62"/>
      <c r="N64" s="62"/>
      <c r="O64" s="62"/>
      <c r="P64" s="62"/>
      <c r="Q64" s="62"/>
      <c r="R64" s="62"/>
      <c r="S64" s="62"/>
      <c r="T64" s="62"/>
      <c r="U64" s="62"/>
      <c r="V64" s="62"/>
      <c r="W64" s="62"/>
      <c r="X64" s="62"/>
      <c r="Y64" s="62"/>
      <c r="Z64" s="62"/>
      <c r="AA64" s="62"/>
      <c r="AB64" s="62"/>
      <c r="AC64" s="62"/>
      <c r="AD64" s="62"/>
      <c r="AE64" s="62"/>
      <c r="AF64" s="62"/>
    </row>
    <row r="65" spans="3:32" ht="14.25" customHeight="1">
      <c r="C65" s="62"/>
      <c r="D65" s="62"/>
      <c r="E65" s="62"/>
      <c r="F65" s="62"/>
      <c r="G65" s="62"/>
      <c r="H65" s="62"/>
      <c r="I65" s="62"/>
      <c r="J65" s="62"/>
      <c r="K65" s="62"/>
      <c r="L65" s="62"/>
      <c r="M65" s="62"/>
      <c r="N65" s="62"/>
      <c r="O65" s="62"/>
      <c r="P65" s="62"/>
      <c r="Q65" s="62"/>
      <c r="R65" s="62"/>
      <c r="S65" s="62"/>
      <c r="T65" s="62"/>
      <c r="U65" s="62"/>
      <c r="V65" s="62"/>
      <c r="W65" s="62"/>
      <c r="X65" s="62"/>
      <c r="Y65" s="62"/>
      <c r="Z65" s="62"/>
      <c r="AA65" s="62"/>
      <c r="AB65" s="62"/>
      <c r="AC65" s="62"/>
      <c r="AD65" s="62"/>
      <c r="AE65" s="62"/>
      <c r="AF65" s="62"/>
    </row>
    <row r="66" spans="3:32" ht="14.25" customHeight="1">
      <c r="C66" s="62"/>
      <c r="D66" s="62"/>
      <c r="E66" s="62"/>
      <c r="F66" s="62"/>
      <c r="G66" s="62"/>
      <c r="H66" s="62"/>
      <c r="I66" s="62"/>
      <c r="J66" s="62"/>
      <c r="K66" s="62"/>
      <c r="L66" s="62"/>
      <c r="M66" s="62"/>
      <c r="N66" s="62"/>
      <c r="O66" s="62"/>
      <c r="P66" s="62"/>
      <c r="Q66" s="62"/>
      <c r="R66" s="62"/>
      <c r="S66" s="62"/>
      <c r="T66" s="62"/>
      <c r="U66" s="62"/>
      <c r="V66" s="62"/>
      <c r="W66" s="62"/>
      <c r="X66" s="62"/>
      <c r="Y66" s="62"/>
      <c r="Z66" s="62"/>
      <c r="AA66" s="62"/>
      <c r="AB66" s="62"/>
      <c r="AC66" s="62"/>
      <c r="AD66" s="62"/>
      <c r="AE66" s="62"/>
      <c r="AF66" s="62"/>
    </row>
    <row r="67" spans="3:32" ht="14.25" customHeight="1">
      <c r="C67" s="62"/>
      <c r="D67" s="62"/>
      <c r="E67" s="62"/>
      <c r="F67" s="62"/>
      <c r="G67" s="62"/>
      <c r="H67" s="62"/>
      <c r="I67" s="62"/>
      <c r="J67" s="62"/>
      <c r="K67" s="62"/>
      <c r="L67" s="62"/>
      <c r="M67" s="62"/>
      <c r="N67" s="62"/>
      <c r="O67" s="62"/>
      <c r="P67" s="62"/>
      <c r="Q67" s="62"/>
      <c r="R67" s="62"/>
      <c r="S67" s="62"/>
      <c r="T67" s="62"/>
      <c r="U67" s="62"/>
      <c r="V67" s="62"/>
      <c r="W67" s="62"/>
      <c r="X67" s="62"/>
      <c r="Y67" s="62"/>
      <c r="Z67" s="62"/>
      <c r="AA67" s="62"/>
      <c r="AB67" s="62"/>
      <c r="AC67" s="62"/>
      <c r="AD67" s="62"/>
      <c r="AE67" s="62"/>
      <c r="AF67" s="62"/>
    </row>
    <row r="68" spans="3:32" ht="14.25" customHeight="1">
      <c r="C68" s="62"/>
      <c r="D68" s="62"/>
      <c r="E68" s="62"/>
      <c r="F68" s="62"/>
      <c r="G68" s="62"/>
      <c r="H68" s="62"/>
      <c r="I68" s="62"/>
      <c r="J68" s="62"/>
      <c r="K68" s="62"/>
      <c r="L68" s="62"/>
      <c r="M68" s="62"/>
      <c r="N68" s="62"/>
      <c r="O68" s="62"/>
      <c r="P68" s="62"/>
      <c r="Q68" s="62"/>
      <c r="R68" s="62"/>
      <c r="S68" s="62"/>
      <c r="T68" s="62"/>
      <c r="U68" s="62"/>
      <c r="V68" s="62"/>
      <c r="W68" s="62"/>
      <c r="X68" s="62"/>
      <c r="Y68" s="62"/>
      <c r="Z68" s="62"/>
      <c r="AA68" s="62"/>
      <c r="AB68" s="62"/>
      <c r="AC68" s="62"/>
      <c r="AD68" s="62"/>
      <c r="AE68" s="62"/>
      <c r="AF68" s="62"/>
    </row>
    <row r="69" spans="3:32" ht="14.25" customHeight="1">
      <c r="C69" s="62"/>
      <c r="D69" s="62"/>
      <c r="E69" s="62"/>
      <c r="F69" s="62"/>
      <c r="G69" s="62"/>
      <c r="H69" s="62"/>
      <c r="I69" s="62"/>
      <c r="J69" s="62"/>
      <c r="K69" s="62"/>
      <c r="L69" s="62"/>
      <c r="M69" s="62"/>
      <c r="N69" s="62"/>
      <c r="O69" s="62"/>
      <c r="P69" s="62"/>
      <c r="Q69" s="62"/>
      <c r="R69" s="62"/>
      <c r="S69" s="62"/>
      <c r="T69" s="62"/>
      <c r="U69" s="62"/>
      <c r="V69" s="62"/>
      <c r="W69" s="62"/>
      <c r="X69" s="62"/>
      <c r="Y69" s="62"/>
      <c r="Z69" s="62"/>
      <c r="AA69" s="62"/>
      <c r="AB69" s="62"/>
      <c r="AC69" s="62"/>
      <c r="AD69" s="62"/>
      <c r="AE69" s="62"/>
      <c r="AF69" s="62"/>
    </row>
    <row r="70" spans="3:32" ht="14.25" customHeight="1">
      <c r="C70" s="62"/>
      <c r="D70" s="62"/>
      <c r="E70" s="62"/>
      <c r="F70" s="62"/>
      <c r="G70" s="62"/>
      <c r="H70" s="62"/>
      <c r="I70" s="62"/>
      <c r="J70" s="62"/>
      <c r="K70" s="62"/>
      <c r="L70" s="62"/>
      <c r="M70" s="62"/>
      <c r="N70" s="62"/>
      <c r="O70" s="62"/>
      <c r="P70" s="62"/>
      <c r="Q70" s="62"/>
      <c r="R70" s="62"/>
      <c r="S70" s="62"/>
      <c r="T70" s="62"/>
      <c r="U70" s="62"/>
      <c r="V70" s="62"/>
      <c r="W70" s="62"/>
      <c r="X70" s="62"/>
      <c r="Y70" s="62"/>
      <c r="Z70" s="62"/>
      <c r="AA70" s="62"/>
      <c r="AB70" s="62"/>
      <c r="AC70" s="62"/>
      <c r="AD70" s="62"/>
      <c r="AE70" s="62"/>
      <c r="AF70" s="62"/>
    </row>
    <row r="71" spans="3:32" ht="14.25" customHeight="1">
      <c r="C71" s="62"/>
      <c r="D71" s="62"/>
      <c r="E71" s="62"/>
      <c r="F71" s="62"/>
      <c r="G71" s="62"/>
      <c r="H71" s="62"/>
      <c r="I71" s="62"/>
      <c r="J71" s="62"/>
      <c r="K71" s="62"/>
      <c r="L71" s="62"/>
      <c r="M71" s="62"/>
      <c r="N71" s="62"/>
      <c r="O71" s="62"/>
      <c r="P71" s="62"/>
      <c r="Q71" s="62"/>
      <c r="R71" s="62"/>
      <c r="S71" s="62"/>
      <c r="T71" s="62"/>
      <c r="U71" s="62"/>
      <c r="V71" s="62"/>
      <c r="W71" s="62"/>
      <c r="X71" s="62"/>
      <c r="Y71" s="62"/>
      <c r="Z71" s="62"/>
      <c r="AA71" s="62"/>
      <c r="AB71" s="62"/>
      <c r="AC71" s="62"/>
      <c r="AD71" s="62"/>
      <c r="AE71" s="62"/>
      <c r="AF71" s="62"/>
    </row>
    <row r="72" spans="3:32" ht="14.25" customHeight="1">
      <c r="C72" s="62"/>
      <c r="D72" s="62"/>
      <c r="E72" s="62"/>
      <c r="F72" s="62"/>
      <c r="G72" s="62"/>
      <c r="H72" s="62"/>
      <c r="I72" s="62"/>
      <c r="J72" s="62"/>
      <c r="K72" s="62"/>
      <c r="L72" s="62"/>
      <c r="M72" s="62"/>
      <c r="N72" s="62"/>
      <c r="O72" s="62"/>
      <c r="P72" s="62"/>
      <c r="Q72" s="62"/>
      <c r="R72" s="62"/>
      <c r="S72" s="62"/>
      <c r="T72" s="62"/>
      <c r="U72" s="62"/>
      <c r="V72" s="62"/>
      <c r="W72" s="62"/>
      <c r="X72" s="62"/>
      <c r="Y72" s="62"/>
      <c r="Z72" s="62"/>
      <c r="AA72" s="62"/>
      <c r="AB72" s="62"/>
      <c r="AC72" s="62"/>
      <c r="AD72" s="62"/>
      <c r="AE72" s="62"/>
      <c r="AF72" s="62"/>
    </row>
    <row r="73" spans="3:32" ht="14.25" customHeight="1">
      <c r="C73" s="62"/>
      <c r="D73" s="62"/>
      <c r="E73" s="62"/>
      <c r="F73" s="62"/>
      <c r="G73" s="62"/>
      <c r="H73" s="62"/>
      <c r="I73" s="62"/>
      <c r="J73" s="62"/>
      <c r="K73" s="62"/>
      <c r="L73" s="62"/>
      <c r="M73" s="62"/>
      <c r="N73" s="62"/>
      <c r="O73" s="62"/>
      <c r="P73" s="62"/>
      <c r="Q73" s="62"/>
      <c r="R73" s="62"/>
      <c r="S73" s="62"/>
      <c r="T73" s="62"/>
      <c r="U73" s="62"/>
      <c r="V73" s="62"/>
      <c r="W73" s="62"/>
      <c r="X73" s="62"/>
      <c r="Y73" s="62"/>
      <c r="Z73" s="62"/>
      <c r="AA73" s="62"/>
      <c r="AB73" s="62"/>
      <c r="AC73" s="62"/>
      <c r="AD73" s="62"/>
      <c r="AE73" s="62"/>
      <c r="AF73" s="62"/>
    </row>
    <row r="74" spans="3:32" ht="14.25" customHeight="1">
      <c r="C74" s="62"/>
      <c r="D74" s="62"/>
      <c r="E74" s="62"/>
      <c r="F74" s="62"/>
      <c r="G74" s="62"/>
      <c r="H74" s="62"/>
      <c r="I74" s="62"/>
      <c r="J74" s="62"/>
      <c r="K74" s="62"/>
      <c r="L74" s="62"/>
      <c r="M74" s="62"/>
      <c r="N74" s="62"/>
      <c r="O74" s="62"/>
      <c r="P74" s="62"/>
      <c r="Q74" s="62"/>
      <c r="R74" s="62"/>
      <c r="S74" s="62"/>
      <c r="T74" s="62"/>
      <c r="U74" s="62"/>
      <c r="V74" s="62"/>
      <c r="W74" s="62"/>
      <c r="X74" s="62"/>
      <c r="Y74" s="62"/>
      <c r="Z74" s="62"/>
      <c r="AA74" s="62"/>
      <c r="AB74" s="62"/>
      <c r="AC74" s="62"/>
      <c r="AD74" s="62"/>
      <c r="AE74" s="62"/>
      <c r="AF74" s="62"/>
    </row>
    <row r="75" spans="3:32" ht="14.25" customHeight="1">
      <c r="C75" s="62"/>
      <c r="D75" s="62"/>
      <c r="E75" s="62"/>
      <c r="F75" s="62"/>
      <c r="G75" s="62"/>
      <c r="H75" s="62"/>
      <c r="I75" s="62"/>
      <c r="J75" s="62"/>
      <c r="K75" s="62"/>
      <c r="L75" s="62"/>
      <c r="M75" s="62"/>
      <c r="N75" s="62"/>
      <c r="O75" s="62"/>
      <c r="P75" s="62"/>
      <c r="Q75" s="62"/>
      <c r="R75" s="62"/>
      <c r="S75" s="62"/>
      <c r="T75" s="62"/>
      <c r="U75" s="62"/>
      <c r="V75" s="62"/>
      <c r="W75" s="62"/>
      <c r="X75" s="62"/>
      <c r="Y75" s="62"/>
      <c r="Z75" s="62"/>
      <c r="AA75" s="62"/>
      <c r="AB75" s="62"/>
      <c r="AC75" s="62"/>
      <c r="AD75" s="62"/>
      <c r="AE75" s="62"/>
      <c r="AF75" s="62"/>
    </row>
    <row r="76" spans="3:32" ht="14.25" customHeight="1">
      <c r="C76" s="62"/>
      <c r="D76" s="62"/>
      <c r="E76" s="62"/>
      <c r="F76" s="62"/>
      <c r="G76" s="62"/>
      <c r="H76" s="62"/>
      <c r="I76" s="62"/>
      <c r="J76" s="62"/>
      <c r="K76" s="62"/>
      <c r="L76" s="62"/>
      <c r="M76" s="62"/>
      <c r="N76" s="62"/>
      <c r="O76" s="62"/>
      <c r="P76" s="62"/>
      <c r="Q76" s="62"/>
      <c r="R76" s="62"/>
      <c r="S76" s="62"/>
      <c r="T76" s="62"/>
      <c r="U76" s="62"/>
      <c r="V76" s="62"/>
      <c r="W76" s="62"/>
      <c r="X76" s="62"/>
      <c r="Y76" s="62"/>
      <c r="Z76" s="62"/>
      <c r="AA76" s="62"/>
      <c r="AB76" s="62"/>
      <c r="AC76" s="62"/>
      <c r="AD76" s="62"/>
      <c r="AE76" s="62"/>
      <c r="AF76" s="62"/>
    </row>
    <row r="77" spans="3:32" ht="14.25" customHeight="1">
      <c r="C77" s="62"/>
      <c r="D77" s="62"/>
      <c r="E77" s="62"/>
      <c r="F77" s="62"/>
      <c r="G77" s="62"/>
      <c r="H77" s="62"/>
      <c r="I77" s="62"/>
      <c r="J77" s="62"/>
      <c r="K77" s="62"/>
      <c r="L77" s="62"/>
      <c r="M77" s="62"/>
      <c r="N77" s="62"/>
      <c r="O77" s="62"/>
      <c r="P77" s="62"/>
      <c r="Q77" s="62"/>
      <c r="R77" s="62"/>
      <c r="S77" s="62"/>
      <c r="T77" s="62"/>
      <c r="U77" s="62"/>
      <c r="V77" s="62"/>
      <c r="W77" s="62"/>
      <c r="X77" s="62"/>
      <c r="Y77" s="62"/>
      <c r="Z77" s="62"/>
      <c r="AA77" s="62"/>
      <c r="AB77" s="62"/>
      <c r="AC77" s="62"/>
      <c r="AD77" s="62"/>
      <c r="AE77" s="62"/>
      <c r="AF77" s="62"/>
    </row>
    <row r="78" spans="3:32" ht="14.25" customHeight="1">
      <c r="C78" s="62"/>
      <c r="D78" s="62"/>
      <c r="E78" s="62"/>
      <c r="F78" s="62"/>
      <c r="G78" s="62"/>
      <c r="H78" s="62"/>
      <c r="I78" s="62"/>
      <c r="J78" s="62"/>
      <c r="K78" s="62"/>
      <c r="L78" s="62"/>
      <c r="M78" s="62"/>
      <c r="N78" s="62"/>
      <c r="O78" s="62"/>
      <c r="P78" s="62"/>
      <c r="Q78" s="62"/>
      <c r="R78" s="62"/>
      <c r="S78" s="62"/>
      <c r="T78" s="62"/>
      <c r="U78" s="62"/>
      <c r="V78" s="62"/>
      <c r="W78" s="62"/>
      <c r="X78" s="62"/>
      <c r="Y78" s="62"/>
      <c r="Z78" s="62"/>
      <c r="AA78" s="62"/>
      <c r="AB78" s="62"/>
      <c r="AC78" s="62"/>
      <c r="AD78" s="62"/>
      <c r="AE78" s="62"/>
      <c r="AF78" s="62"/>
    </row>
    <row r="79" spans="3:32" ht="14.25" customHeight="1">
      <c r="C79" s="62"/>
      <c r="D79" s="62"/>
      <c r="E79" s="62"/>
      <c r="F79" s="62"/>
      <c r="G79" s="62"/>
      <c r="H79" s="62"/>
      <c r="I79" s="62"/>
      <c r="J79" s="62"/>
      <c r="K79" s="62"/>
      <c r="L79" s="62"/>
      <c r="M79" s="62"/>
      <c r="N79" s="62"/>
      <c r="O79" s="62"/>
      <c r="P79" s="62"/>
      <c r="Q79" s="62"/>
      <c r="R79" s="62"/>
      <c r="S79" s="62"/>
      <c r="T79" s="62"/>
      <c r="U79" s="62"/>
      <c r="V79" s="62"/>
      <c r="W79" s="62"/>
      <c r="X79" s="62"/>
      <c r="Y79" s="62"/>
      <c r="Z79" s="62"/>
      <c r="AA79" s="62"/>
      <c r="AB79" s="62"/>
      <c r="AC79" s="62"/>
      <c r="AD79" s="62"/>
      <c r="AE79" s="62"/>
      <c r="AF79" s="62"/>
    </row>
    <row r="80" spans="3:32" ht="14.25" customHeight="1">
      <c r="C80" s="62"/>
      <c r="D80" s="62"/>
      <c r="E80" s="62"/>
      <c r="F80" s="62"/>
      <c r="G80" s="62"/>
      <c r="H80" s="62"/>
      <c r="I80" s="62"/>
      <c r="J80" s="62"/>
      <c r="K80" s="62"/>
      <c r="L80" s="62"/>
      <c r="M80" s="62"/>
      <c r="N80" s="62"/>
      <c r="O80" s="62"/>
      <c r="P80" s="62"/>
      <c r="Q80" s="62"/>
      <c r="R80" s="62"/>
      <c r="S80" s="62"/>
      <c r="T80" s="62"/>
      <c r="U80" s="62"/>
      <c r="V80" s="62"/>
      <c r="W80" s="62"/>
      <c r="X80" s="62"/>
      <c r="Y80" s="62"/>
      <c r="Z80" s="62"/>
      <c r="AA80" s="62"/>
      <c r="AB80" s="62"/>
      <c r="AC80" s="62"/>
      <c r="AD80" s="62"/>
      <c r="AE80" s="62"/>
      <c r="AF80" s="62"/>
    </row>
    <row r="81" spans="3:32" ht="14.25" customHeight="1">
      <c r="C81" s="62"/>
      <c r="D81" s="62"/>
      <c r="E81" s="62"/>
      <c r="F81" s="62"/>
      <c r="G81" s="62"/>
      <c r="H81" s="62"/>
      <c r="I81" s="62"/>
      <c r="J81" s="62"/>
      <c r="K81" s="62"/>
      <c r="L81" s="62"/>
      <c r="M81" s="62"/>
      <c r="N81" s="62"/>
      <c r="O81" s="62"/>
      <c r="P81" s="62"/>
      <c r="Q81" s="62"/>
      <c r="R81" s="62"/>
      <c r="S81" s="62"/>
      <c r="T81" s="62"/>
      <c r="U81" s="62"/>
      <c r="V81" s="62"/>
      <c r="W81" s="62"/>
      <c r="X81" s="62"/>
      <c r="Y81" s="62"/>
      <c r="Z81" s="62"/>
      <c r="AA81" s="62"/>
      <c r="AB81" s="62"/>
      <c r="AC81" s="62"/>
      <c r="AD81" s="62"/>
      <c r="AE81" s="62"/>
      <c r="AF81" s="62"/>
    </row>
    <row r="82" spans="3:32" ht="14.25" customHeight="1">
      <c r="C82" s="62"/>
      <c r="D82" s="62"/>
      <c r="E82" s="62"/>
      <c r="F82" s="62"/>
      <c r="G82" s="62"/>
      <c r="H82" s="62"/>
      <c r="I82" s="62"/>
      <c r="J82" s="62"/>
      <c r="K82" s="62"/>
      <c r="L82" s="62"/>
      <c r="M82" s="62"/>
      <c r="N82" s="62"/>
      <c r="O82" s="62"/>
      <c r="P82" s="62"/>
      <c r="Q82" s="62"/>
      <c r="R82" s="62"/>
      <c r="S82" s="62"/>
      <c r="T82" s="62"/>
      <c r="U82" s="62"/>
      <c r="V82" s="62"/>
      <c r="W82" s="62"/>
      <c r="X82" s="62"/>
      <c r="Y82" s="62"/>
      <c r="Z82" s="62"/>
      <c r="AA82" s="62"/>
      <c r="AB82" s="62"/>
      <c r="AC82" s="62"/>
      <c r="AD82" s="62"/>
      <c r="AE82" s="62"/>
      <c r="AF82" s="62"/>
    </row>
    <row r="83" spans="3:32" ht="14.25" customHeight="1">
      <c r="C83" s="62"/>
      <c r="D83" s="62"/>
      <c r="E83" s="62"/>
      <c r="F83" s="62"/>
      <c r="G83" s="62"/>
      <c r="H83" s="62"/>
      <c r="I83" s="62"/>
      <c r="J83" s="62"/>
      <c r="K83" s="62"/>
      <c r="L83" s="62"/>
      <c r="M83" s="62"/>
      <c r="N83" s="62"/>
      <c r="O83" s="62"/>
      <c r="P83" s="62"/>
      <c r="Q83" s="62"/>
      <c r="R83" s="62"/>
      <c r="S83" s="62"/>
      <c r="T83" s="62"/>
      <c r="U83" s="62"/>
      <c r="V83" s="62"/>
      <c r="W83" s="62"/>
      <c r="X83" s="62"/>
      <c r="Y83" s="62"/>
      <c r="Z83" s="62"/>
      <c r="AA83" s="62"/>
      <c r="AB83" s="62"/>
      <c r="AC83" s="62"/>
      <c r="AD83" s="62"/>
      <c r="AE83" s="62"/>
      <c r="AF83" s="62"/>
    </row>
    <row r="84" spans="3:32" ht="14.25" customHeight="1">
      <c r="C84" s="62"/>
      <c r="D84" s="62"/>
      <c r="E84" s="62"/>
      <c r="F84" s="62"/>
      <c r="G84" s="62"/>
      <c r="H84" s="62"/>
      <c r="I84" s="62"/>
      <c r="J84" s="62"/>
      <c r="K84" s="62"/>
      <c r="L84" s="62"/>
      <c r="M84" s="62"/>
      <c r="N84" s="62"/>
      <c r="O84" s="62"/>
      <c r="P84" s="62"/>
      <c r="Q84" s="62"/>
      <c r="R84" s="62"/>
      <c r="S84" s="62"/>
      <c r="T84" s="62"/>
      <c r="U84" s="62"/>
      <c r="V84" s="62"/>
      <c r="W84" s="62"/>
      <c r="X84" s="62"/>
      <c r="Y84" s="62"/>
      <c r="Z84" s="62"/>
      <c r="AA84" s="62"/>
      <c r="AB84" s="62"/>
      <c r="AC84" s="62"/>
      <c r="AD84" s="62"/>
      <c r="AE84" s="62"/>
      <c r="AF84" s="62"/>
    </row>
    <row r="85" spans="3:32" ht="14.25" customHeight="1">
      <c r="C85" s="62"/>
      <c r="D85" s="62"/>
      <c r="E85" s="62"/>
      <c r="F85" s="62"/>
      <c r="G85" s="62"/>
      <c r="H85" s="62"/>
      <c r="I85" s="62"/>
      <c r="J85" s="62"/>
      <c r="K85" s="62"/>
      <c r="L85" s="62"/>
      <c r="M85" s="62"/>
      <c r="N85" s="62"/>
      <c r="O85" s="62"/>
      <c r="P85" s="62"/>
      <c r="Q85" s="62"/>
      <c r="R85" s="62"/>
      <c r="S85" s="62"/>
      <c r="T85" s="62"/>
      <c r="U85" s="62"/>
      <c r="V85" s="62"/>
      <c r="W85" s="62"/>
      <c r="X85" s="62"/>
      <c r="Y85" s="62"/>
      <c r="Z85" s="62"/>
      <c r="AA85" s="62"/>
      <c r="AB85" s="62"/>
      <c r="AC85" s="62"/>
      <c r="AD85" s="62"/>
      <c r="AE85" s="62"/>
      <c r="AF85" s="62"/>
    </row>
    <row r="86" spans="3:32" ht="14.25" customHeight="1">
      <c r="C86" s="62"/>
      <c r="D86" s="62"/>
      <c r="E86" s="62"/>
      <c r="F86" s="62"/>
      <c r="G86" s="62"/>
      <c r="H86" s="62"/>
      <c r="I86" s="62"/>
      <c r="J86" s="62"/>
      <c r="K86" s="62"/>
      <c r="L86" s="62"/>
      <c r="M86" s="62"/>
      <c r="N86" s="62"/>
      <c r="O86" s="62"/>
      <c r="P86" s="62"/>
      <c r="Q86" s="62"/>
      <c r="R86" s="62"/>
      <c r="S86" s="62"/>
      <c r="T86" s="62"/>
      <c r="U86" s="62"/>
      <c r="V86" s="62"/>
      <c r="W86" s="62"/>
      <c r="X86" s="62"/>
      <c r="Y86" s="62"/>
      <c r="Z86" s="62"/>
      <c r="AA86" s="62"/>
      <c r="AB86" s="62"/>
      <c r="AC86" s="62"/>
      <c r="AD86" s="62"/>
      <c r="AE86" s="62"/>
      <c r="AF86" s="62"/>
    </row>
    <row r="87" spans="3:32" ht="14.25" customHeight="1">
      <c r="C87" s="62"/>
      <c r="D87" s="62"/>
      <c r="E87" s="62"/>
      <c r="F87" s="62"/>
      <c r="G87" s="62"/>
      <c r="H87" s="62"/>
      <c r="I87" s="62"/>
      <c r="J87" s="62"/>
      <c r="K87" s="62"/>
      <c r="L87" s="62"/>
      <c r="M87" s="62"/>
      <c r="N87" s="62"/>
      <c r="O87" s="62"/>
      <c r="P87" s="62"/>
      <c r="Q87" s="62"/>
      <c r="R87" s="62"/>
      <c r="S87" s="62"/>
      <c r="T87" s="62"/>
      <c r="U87" s="62"/>
      <c r="V87" s="62"/>
      <c r="W87" s="62"/>
      <c r="X87" s="62"/>
      <c r="Y87" s="62"/>
      <c r="Z87" s="62"/>
      <c r="AA87" s="62"/>
      <c r="AB87" s="62"/>
      <c r="AC87" s="62"/>
      <c r="AD87" s="62"/>
      <c r="AE87" s="62"/>
      <c r="AF87" s="62"/>
    </row>
    <row r="88" spans="3:32" ht="14.25" customHeight="1">
      <c r="C88" s="62"/>
      <c r="D88" s="62"/>
      <c r="E88" s="62"/>
      <c r="F88" s="62"/>
      <c r="G88" s="62"/>
      <c r="H88" s="62"/>
      <c r="I88" s="62"/>
      <c r="J88" s="62"/>
      <c r="K88" s="62"/>
      <c r="L88" s="62"/>
      <c r="M88" s="62"/>
      <c r="N88" s="62"/>
      <c r="O88" s="62"/>
      <c r="P88" s="62"/>
      <c r="Q88" s="62"/>
      <c r="R88" s="62"/>
      <c r="S88" s="62"/>
      <c r="T88" s="62"/>
      <c r="U88" s="62"/>
      <c r="V88" s="62"/>
      <c r="W88" s="62"/>
      <c r="X88" s="62"/>
      <c r="Y88" s="62"/>
      <c r="Z88" s="62"/>
      <c r="AA88" s="62"/>
      <c r="AB88" s="62"/>
      <c r="AC88" s="62"/>
      <c r="AD88" s="62"/>
      <c r="AE88" s="62"/>
      <c r="AF88" s="62"/>
    </row>
    <row r="89" spans="3:32" ht="14.25" customHeight="1">
      <c r="C89" s="62"/>
      <c r="D89" s="62"/>
      <c r="E89" s="62"/>
      <c r="F89" s="62"/>
      <c r="G89" s="62"/>
      <c r="H89" s="62"/>
      <c r="I89" s="62"/>
      <c r="J89" s="62"/>
      <c r="K89" s="62"/>
      <c r="L89" s="62"/>
      <c r="M89" s="62"/>
      <c r="N89" s="62"/>
      <c r="O89" s="62"/>
      <c r="P89" s="62"/>
      <c r="Q89" s="62"/>
      <c r="R89" s="62"/>
      <c r="S89" s="62"/>
      <c r="T89" s="62"/>
      <c r="U89" s="62"/>
      <c r="V89" s="62"/>
      <c r="W89" s="62"/>
      <c r="X89" s="62"/>
      <c r="Y89" s="62"/>
      <c r="Z89" s="62"/>
      <c r="AA89" s="62"/>
      <c r="AB89" s="62"/>
      <c r="AC89" s="62"/>
      <c r="AD89" s="62"/>
      <c r="AE89" s="62"/>
      <c r="AF89" s="62"/>
    </row>
    <row r="90" spans="3:32" ht="14.25" customHeight="1">
      <c r="C90" s="62"/>
      <c r="D90" s="62"/>
      <c r="E90" s="62"/>
      <c r="F90" s="62"/>
      <c r="G90" s="62"/>
      <c r="H90" s="62"/>
      <c r="I90" s="62"/>
      <c r="J90" s="62"/>
      <c r="K90" s="62"/>
      <c r="L90" s="62"/>
      <c r="M90" s="62"/>
      <c r="N90" s="62"/>
      <c r="O90" s="62"/>
      <c r="P90" s="62"/>
      <c r="Q90" s="62"/>
      <c r="R90" s="62"/>
      <c r="S90" s="62"/>
      <c r="T90" s="62"/>
      <c r="U90" s="62"/>
      <c r="V90" s="62"/>
      <c r="W90" s="62"/>
      <c r="X90" s="62"/>
      <c r="Y90" s="62"/>
      <c r="Z90" s="62"/>
      <c r="AA90" s="62"/>
      <c r="AB90" s="62"/>
      <c r="AC90" s="62"/>
      <c r="AD90" s="62"/>
      <c r="AE90" s="62"/>
      <c r="AF90" s="62"/>
    </row>
  </sheetData>
  <mergeCells count="61">
    <mergeCell ref="AB34:AC34"/>
    <mergeCell ref="S34:W34"/>
    <mergeCell ref="E42:H42"/>
    <mergeCell ref="F37:H37"/>
    <mergeCell ref="L34:M34"/>
    <mergeCell ref="S39:X39"/>
    <mergeCell ref="E41:H41"/>
    <mergeCell ref="L41:Q41"/>
    <mergeCell ref="AA41:AB41"/>
    <mergeCell ref="X34:Y34"/>
    <mergeCell ref="E34:F34"/>
    <mergeCell ref="Z34:AA34"/>
    <mergeCell ref="S28:AC28"/>
    <mergeCell ref="S29:AC32"/>
    <mergeCell ref="E32:F32"/>
    <mergeCell ref="L32:M32"/>
    <mergeCell ref="E33:F33"/>
    <mergeCell ref="L33:M33"/>
    <mergeCell ref="C18:H18"/>
    <mergeCell ref="S18:AC18"/>
    <mergeCell ref="S19:AC22"/>
    <mergeCell ref="B20:O20"/>
    <mergeCell ref="C21:J21"/>
    <mergeCell ref="L21:N21"/>
    <mergeCell ref="C23:F23"/>
    <mergeCell ref="L23:N23"/>
    <mergeCell ref="S23:AC23"/>
    <mergeCell ref="C24:F24"/>
    <mergeCell ref="L24:N24"/>
    <mergeCell ref="S24:AC27"/>
    <mergeCell ref="C25:F25"/>
    <mergeCell ref="L25:N25"/>
    <mergeCell ref="C26:F26"/>
    <mergeCell ref="L26:N26"/>
    <mergeCell ref="C27:F27"/>
    <mergeCell ref="L27:N27"/>
    <mergeCell ref="C10:H10"/>
    <mergeCell ref="S12:AC12"/>
    <mergeCell ref="C13:H13"/>
    <mergeCell ref="S13:AC17"/>
    <mergeCell ref="C15:H15"/>
    <mergeCell ref="C16:H16"/>
    <mergeCell ref="C17:H17"/>
    <mergeCell ref="AC6:AC7"/>
    <mergeCell ref="C8:H8"/>
    <mergeCell ref="L8:O9"/>
    <mergeCell ref="S8:T9"/>
    <mergeCell ref="U8:AA9"/>
    <mergeCell ref="AB8:AB9"/>
    <mergeCell ref="AC8:AC9"/>
    <mergeCell ref="C9:H9"/>
    <mergeCell ref="S6:T7"/>
    <mergeCell ref="U6:W7"/>
    <mergeCell ref="X6:X7"/>
    <mergeCell ref="Y6:Z7"/>
    <mergeCell ref="AB6:AB7"/>
    <mergeCell ref="C2:AB2"/>
    <mergeCell ref="C5:N5"/>
    <mergeCell ref="S5:T5"/>
    <mergeCell ref="U5:W5"/>
    <mergeCell ref="Y5:Z5"/>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
  <dimension ref="A1:O338"/>
  <sheetViews>
    <sheetView workbookViewId="0">
      <selection activeCell="D3" sqref="D3"/>
    </sheetView>
  </sheetViews>
  <sheetFormatPr baseColWidth="10" defaultColWidth="11.42578125" defaultRowHeight="12.75"/>
  <cols>
    <col min="1" max="1" width="4.42578125" style="987" customWidth="1"/>
    <col min="2" max="2" width="36.140625" style="987" customWidth="1"/>
    <col min="3" max="3" width="33.42578125" style="987" customWidth="1"/>
    <col min="4" max="4" width="16" style="990" bestFit="1" customWidth="1"/>
    <col min="5" max="13" width="11.42578125" style="987"/>
    <col min="14" max="14" width="23" style="987" bestFit="1" customWidth="1"/>
    <col min="15" max="16384" width="11.42578125" style="987"/>
  </cols>
  <sheetData>
    <row r="1" spans="1:15" ht="14.25">
      <c r="A1" s="985"/>
      <c r="B1" s="985"/>
      <c r="C1" s="985" t="s">
        <v>782</v>
      </c>
      <c r="D1" s="986">
        <f>DATA!A3</f>
        <v>29885</v>
      </c>
      <c r="E1" s="985"/>
      <c r="F1" s="985"/>
      <c r="G1" s="985"/>
    </row>
    <row r="2" spans="1:15" ht="14.25">
      <c r="A2" s="985"/>
      <c r="B2" s="985"/>
      <c r="C2" s="988" t="s">
        <v>783</v>
      </c>
      <c r="D2" s="989" t="s">
        <v>784</v>
      </c>
      <c r="E2" s="985"/>
      <c r="F2" s="985"/>
      <c r="G2" s="985"/>
      <c r="N2" s="988"/>
      <c r="O2" s="988"/>
    </row>
    <row r="3" spans="1:15" ht="14.25">
      <c r="A3" s="985"/>
      <c r="B3" s="985"/>
      <c r="C3" s="988" t="s">
        <v>786</v>
      </c>
      <c r="D3" s="1127">
        <v>87</v>
      </c>
      <c r="E3" s="985"/>
      <c r="F3" s="985"/>
      <c r="G3" s="985"/>
      <c r="N3" s="988"/>
    </row>
    <row r="4" spans="1:15" ht="14.25">
      <c r="A4" s="991"/>
      <c r="C4" s="988" t="s">
        <v>785</v>
      </c>
      <c r="D4" s="993" t="s">
        <v>39</v>
      </c>
      <c r="E4" s="985"/>
      <c r="F4" s="985"/>
      <c r="G4" s="985"/>
      <c r="N4" s="988"/>
      <c r="O4" s="994"/>
    </row>
    <row r="5" spans="1:15" ht="14.25">
      <c r="A5" s="991"/>
      <c r="B5" s="995"/>
      <c r="C5" s="988"/>
      <c r="D5" s="986"/>
      <c r="E5" s="985"/>
      <c r="F5" s="985"/>
      <c r="G5" s="985"/>
      <c r="N5" s="988"/>
      <c r="O5" s="996"/>
    </row>
    <row r="6" spans="1:15" ht="14.25">
      <c r="A6" s="991"/>
      <c r="B6" s="995"/>
      <c r="C6" s="988"/>
      <c r="D6" s="986"/>
      <c r="E6" s="985"/>
      <c r="F6" s="985"/>
      <c r="G6" s="985"/>
      <c r="N6" s="988"/>
      <c r="O6" s="996"/>
    </row>
    <row r="7" spans="1:15" ht="14.25">
      <c r="A7" s="991"/>
      <c r="B7" s="997"/>
      <c r="C7" s="988"/>
      <c r="D7" s="998"/>
      <c r="E7" s="985"/>
      <c r="F7" s="985"/>
      <c r="G7" s="985"/>
      <c r="N7" s="988"/>
      <c r="O7" s="999"/>
    </row>
    <row r="8" spans="1:15" ht="20.25">
      <c r="A8" s="991"/>
      <c r="B8" s="1000"/>
      <c r="C8" s="1001" t="s">
        <v>787</v>
      </c>
      <c r="D8" s="1002">
        <f>DATA!B3</f>
        <v>46069</v>
      </c>
      <c r="E8" s="985"/>
      <c r="F8" s="985"/>
      <c r="G8" s="985"/>
      <c r="N8" s="1001"/>
      <c r="O8" s="1003"/>
    </row>
    <row r="9" spans="1:15" ht="15" thickBot="1">
      <c r="A9" s="991"/>
      <c r="C9" s="992"/>
      <c r="D9" s="1004"/>
      <c r="E9" s="985"/>
      <c r="F9" s="985"/>
      <c r="G9" s="985"/>
    </row>
    <row r="10" spans="1:15" ht="49.5" customHeight="1" thickBot="1">
      <c r="A10" s="991"/>
      <c r="B10" s="1005" t="s">
        <v>788</v>
      </c>
      <c r="C10" s="1006" t="s">
        <v>789</v>
      </c>
      <c r="D10" s="1007" t="s">
        <v>490</v>
      </c>
      <c r="E10" s="985"/>
      <c r="F10" s="985"/>
      <c r="G10" s="985"/>
    </row>
    <row r="11" spans="1:15" ht="51">
      <c r="A11" s="991"/>
      <c r="B11" s="1014" t="s">
        <v>818</v>
      </c>
      <c r="C11" s="1015" t="str">
        <f>Questions!E13</f>
        <v xml:space="preserve">For PN 351 : APQP is not started, please prepare the sheet.
Seen for 049 ( APQP 466).
</v>
      </c>
      <c r="D11" s="1016">
        <f>Questions!D13</f>
        <v>8</v>
      </c>
      <c r="E11" s="985"/>
      <c r="F11" s="985"/>
      <c r="G11" s="985"/>
      <c r="H11" s="1008"/>
      <c r="I11" s="1008"/>
    </row>
    <row r="12" spans="1:15" ht="38.25">
      <c r="A12" s="991"/>
      <c r="B12" s="1014" t="s">
        <v>819</v>
      </c>
      <c r="C12" s="1015" t="str">
        <f>Questions!E14</f>
        <v>Ressources seen for APQP 466.
Please do it for PN 351.</v>
      </c>
      <c r="D12" s="1016">
        <f>Questions!D14</f>
        <v>8</v>
      </c>
      <c r="E12" s="985"/>
      <c r="F12" s="985"/>
      <c r="G12" s="985"/>
    </row>
    <row r="13" spans="1:15" ht="25.5">
      <c r="A13" s="991"/>
      <c r="B13" s="1014" t="s">
        <v>790</v>
      </c>
      <c r="C13" s="1015" t="str">
        <f>Questions!E15</f>
        <v>Not for 351.</v>
      </c>
      <c r="D13" s="1016">
        <f>Questions!D15</f>
        <v>8</v>
      </c>
      <c r="E13" s="985"/>
      <c r="F13" s="985"/>
      <c r="G13" s="985"/>
    </row>
    <row r="14" spans="1:15" ht="51">
      <c r="A14" s="991"/>
      <c r="B14" s="1014" t="s">
        <v>820</v>
      </c>
      <c r="C14" s="1015" t="str">
        <f>Questions!E16</f>
        <v xml:space="preserve">Customer information milestone is in the procedure, but it's not exactly clear on when it should be done.
</v>
      </c>
      <c r="D14" s="1016">
        <f>Questions!D16</f>
        <v>8</v>
      </c>
      <c r="E14" s="985"/>
      <c r="F14" s="985"/>
      <c r="G14" s="985"/>
    </row>
    <row r="15" spans="1:15" ht="38.25">
      <c r="A15" s="991"/>
      <c r="B15" s="1014" t="s">
        <v>821</v>
      </c>
      <c r="C15" s="1015" t="str">
        <f>Questions!E17</f>
        <v>Description of non conformance (mandatory)</v>
      </c>
      <c r="D15" s="1016">
        <f>Questions!D17</f>
        <v>8</v>
      </c>
      <c r="E15" s="985"/>
      <c r="F15" s="985"/>
      <c r="G15" s="985"/>
    </row>
    <row r="16" spans="1:15" ht="102">
      <c r="A16" s="991"/>
      <c r="B16" s="1014" t="s">
        <v>822</v>
      </c>
      <c r="C16" s="1015" t="str">
        <f>Questions!E18</f>
        <v>Managed with the 
- To improve the CSR management matrix by june. ==&gt; Change Management audit not included.
- Robustness of the documentation.(update of the CSR matrix). No robust way to show that this is the last update.</v>
      </c>
      <c r="D16" s="1016">
        <f>Questions!D18</f>
        <v>8</v>
      </c>
      <c r="E16" s="985"/>
      <c r="F16" s="985"/>
      <c r="G16" s="985"/>
    </row>
    <row r="17" spans="1:7" ht="51">
      <c r="A17" s="991"/>
      <c r="B17" s="1014" t="s">
        <v>823</v>
      </c>
      <c r="C17" s="1015" t="str">
        <f>Questions!E19</f>
        <v>Implemented in the procedure.
For Volvo project, seen the project list where all the open points are higlighted.</v>
      </c>
      <c r="D17" s="1016">
        <f>Questions!D19</f>
        <v>10</v>
      </c>
      <c r="E17" s="985"/>
      <c r="F17" s="985"/>
      <c r="G17" s="985"/>
    </row>
    <row r="18" spans="1:7" ht="25.5">
      <c r="A18" s="991"/>
      <c r="B18" s="1017" t="s">
        <v>824</v>
      </c>
      <c r="C18" s="1018" t="str">
        <f>Questions!E23</f>
        <v>See P2 - 2.8</v>
      </c>
      <c r="D18" s="1016">
        <f>Questions!D23</f>
        <v>8</v>
      </c>
      <c r="E18" s="985"/>
      <c r="F18" s="985"/>
      <c r="G18" s="985"/>
    </row>
    <row r="19" spans="1:7" ht="25.5">
      <c r="A19" s="1009"/>
      <c r="B19" s="1017" t="s">
        <v>825</v>
      </c>
      <c r="C19" s="1018" t="str">
        <f>Questions!E24</f>
        <v>See P2 - 2.8</v>
      </c>
      <c r="D19" s="1016">
        <f>Questions!D24</f>
        <v>8</v>
      </c>
      <c r="E19" s="985"/>
      <c r="F19" s="985"/>
      <c r="G19" s="985"/>
    </row>
    <row r="20" spans="1:7" ht="89.25">
      <c r="A20" s="1009"/>
      <c r="B20" s="1017" t="s">
        <v>826</v>
      </c>
      <c r="C20" s="1018" t="str">
        <f>Questions!E26</f>
        <v>Ok example seen for 946 (Analisis de Factibilidad).The document includes planning, capcity, capability points &amp; planning as well.
The nomination date is part of the document. This step is equivalent to Customer approval.</v>
      </c>
      <c r="D20" s="1016">
        <f>Questions!D26</f>
        <v>10</v>
      </c>
      <c r="E20" s="985"/>
      <c r="F20" s="985"/>
      <c r="G20" s="985"/>
    </row>
    <row r="21" spans="1:7" ht="38.25">
      <c r="A21" s="1009"/>
      <c r="B21" s="1017" t="s">
        <v>827</v>
      </c>
      <c r="C21" s="1018" t="str">
        <f>Questions!E27</f>
        <v>Ok example seen for 946 (Analisis de Factibilidad.</v>
      </c>
      <c r="D21" s="1016">
        <f>Questions!D27</f>
        <v>10</v>
      </c>
      <c r="E21" s="985"/>
      <c r="F21" s="985"/>
      <c r="G21" s="985"/>
    </row>
    <row r="22" spans="1:7" ht="38.25">
      <c r="A22" s="1009"/>
      <c r="B22" s="1017" t="s">
        <v>828</v>
      </c>
      <c r="C22" s="1018" t="str">
        <f>Questions!E29</f>
        <v>OK, only 351 missing</v>
      </c>
      <c r="D22" s="1016">
        <f>Questions!D29</f>
        <v>8</v>
      </c>
      <c r="E22" s="985"/>
      <c r="F22" s="985"/>
      <c r="G22" s="985"/>
    </row>
    <row r="23" spans="1:7" ht="38.25">
      <c r="A23" s="1009"/>
      <c r="B23" s="1017" t="s">
        <v>829</v>
      </c>
      <c r="C23" s="1018" t="str">
        <f>Questions!E30</f>
        <v>OK</v>
      </c>
      <c r="D23" s="1016">
        <f>Questions!D30</f>
        <v>8</v>
      </c>
      <c r="E23" s="985"/>
      <c r="F23" s="985"/>
      <c r="G23" s="985"/>
    </row>
    <row r="24" spans="1:7" ht="51">
      <c r="A24" s="1009"/>
      <c r="B24" s="1017" t="s">
        <v>830</v>
      </c>
      <c r="C24" s="1018" t="str">
        <f>Questions!E32</f>
        <v>No weakness identified</v>
      </c>
      <c r="D24" s="1019">
        <f>Questions!D32</f>
        <v>10</v>
      </c>
      <c r="E24" s="985"/>
      <c r="F24" s="985"/>
      <c r="G24" s="985"/>
    </row>
    <row r="25" spans="1:7" ht="76.5">
      <c r="A25" s="1009"/>
      <c r="B25" s="1017" t="s">
        <v>831</v>
      </c>
      <c r="C25" s="1018" t="str">
        <f>Questions!E33</f>
        <v>Run@Rate activities are not included in the APQP planning seen for 946.
No Run@Rate format available in Grupo Cropu organization.
Example seen of R@R done with customer format.</v>
      </c>
      <c r="D25" s="1019">
        <f>Questions!D33</f>
        <v>6</v>
      </c>
      <c r="E25" s="985"/>
      <c r="F25" s="985"/>
      <c r="G25" s="985"/>
    </row>
    <row r="26" spans="1:7" ht="38.25">
      <c r="A26" s="1009"/>
      <c r="B26" s="1017" t="s">
        <v>832</v>
      </c>
      <c r="C26" s="1018" t="str">
        <f>Questions!E35</f>
        <v>See 3.2</v>
      </c>
      <c r="D26" s="1019">
        <f>Questions!D35</f>
        <v>10</v>
      </c>
      <c r="E26" s="985"/>
      <c r="F26" s="985"/>
      <c r="G26" s="985"/>
    </row>
    <row r="27" spans="1:7" ht="38.25">
      <c r="A27" s="1009"/>
      <c r="B27" s="1017" t="s">
        <v>833</v>
      </c>
      <c r="C27" s="1018" t="str">
        <f>Questions!E36</f>
        <v>See 3.2</v>
      </c>
      <c r="D27" s="1019">
        <f>Questions!D36</f>
        <v>10</v>
      </c>
      <c r="E27" s="985"/>
      <c r="F27" s="985"/>
      <c r="G27" s="985"/>
    </row>
    <row r="28" spans="1:7" ht="38.25">
      <c r="A28" s="1009"/>
      <c r="B28" s="1017" t="s">
        <v>834</v>
      </c>
      <c r="C28" s="1018" t="str">
        <f>Questions!E40</f>
        <v>See P2</v>
      </c>
      <c r="D28" s="1019">
        <f>Questions!D40</f>
        <v>8</v>
      </c>
      <c r="E28" s="985"/>
      <c r="F28" s="985"/>
      <c r="G28" s="985"/>
    </row>
    <row r="29" spans="1:7" ht="38.25">
      <c r="A29" s="1009"/>
      <c r="B29" s="1017" t="s">
        <v>835</v>
      </c>
      <c r="C29" s="1018" t="str">
        <f>Questions!E41</f>
        <v>See P2</v>
      </c>
      <c r="D29" s="1019">
        <f>Questions!D41</f>
        <v>8</v>
      </c>
      <c r="E29" s="985"/>
      <c r="F29" s="985"/>
      <c r="G29" s="985"/>
    </row>
    <row r="30" spans="1:7" ht="38.25">
      <c r="A30" s="1009"/>
      <c r="B30" s="1017" t="s">
        <v>836</v>
      </c>
      <c r="C30" s="1018" t="str">
        <f>Questions!E43</f>
        <v>Ok included in feeasibliity sheet</v>
      </c>
      <c r="D30" s="1019">
        <f>Questions!D43</f>
        <v>8</v>
      </c>
      <c r="E30" s="985"/>
      <c r="F30" s="985"/>
      <c r="G30" s="985"/>
    </row>
    <row r="31" spans="1:7" ht="38.25">
      <c r="A31" s="1009"/>
      <c r="B31" s="1017" t="s">
        <v>837</v>
      </c>
      <c r="C31" s="1018" t="str">
        <f>Questions!E44</f>
        <v>Ok included in feeasibliity sheet</v>
      </c>
      <c r="D31" s="1019">
        <f>Questions!D44</f>
        <v>8</v>
      </c>
      <c r="E31" s="985"/>
      <c r="F31" s="985"/>
      <c r="G31" s="985"/>
    </row>
    <row r="32" spans="1:7" ht="38.25">
      <c r="A32" s="1009"/>
      <c r="B32" s="1017" t="s">
        <v>839</v>
      </c>
      <c r="C32" s="1018" t="str">
        <f>Questions!E46</f>
        <v>Topic managed with DAU</v>
      </c>
      <c r="D32" s="1019">
        <f>Questions!D46</f>
        <v>10</v>
      </c>
      <c r="E32" s="985"/>
      <c r="F32" s="985"/>
      <c r="G32" s="985"/>
    </row>
    <row r="33" spans="1:7" ht="38.25">
      <c r="A33" s="1009"/>
      <c r="B33" s="1017" t="s">
        <v>840</v>
      </c>
      <c r="C33" s="1018" t="str">
        <f>Questions!E47</f>
        <v>Topic managed with DAU</v>
      </c>
      <c r="D33" s="1019">
        <f>Questions!D47</f>
        <v>10</v>
      </c>
      <c r="E33" s="985"/>
      <c r="F33" s="985"/>
      <c r="G33" s="985"/>
    </row>
    <row r="34" spans="1:7" ht="38.25">
      <c r="A34" s="1009"/>
      <c r="B34" s="1017" t="s">
        <v>841</v>
      </c>
      <c r="C34" s="1018" t="str">
        <f>Questions!E49</f>
        <v>No weakness identified</v>
      </c>
      <c r="D34" s="1019">
        <f>Questions!D49</f>
        <v>10</v>
      </c>
      <c r="E34" s="985"/>
      <c r="F34" s="985"/>
      <c r="G34" s="985"/>
    </row>
    <row r="35" spans="1:7" ht="38.25">
      <c r="A35" s="1009"/>
      <c r="B35" s="1017" t="s">
        <v>842</v>
      </c>
      <c r="C35" s="1018" t="str">
        <f>Questions!E50</f>
        <v>Run Rate missing.</v>
      </c>
      <c r="D35" s="1019">
        <f>Questions!D50</f>
        <v>6</v>
      </c>
      <c r="E35" s="985"/>
      <c r="F35" s="985"/>
      <c r="G35" s="985"/>
    </row>
    <row r="36" spans="1:7" ht="51">
      <c r="A36" s="1009"/>
      <c r="B36" s="1017" t="s">
        <v>843</v>
      </c>
      <c r="C36" s="1018" t="str">
        <f>Questions!E52</f>
        <v>Included in APQP</v>
      </c>
      <c r="D36" s="1019">
        <f>Questions!D52</f>
        <v>10</v>
      </c>
      <c r="E36" s="985"/>
      <c r="F36" s="985"/>
      <c r="G36" s="985"/>
    </row>
    <row r="37" spans="1:7" ht="51">
      <c r="A37" s="1009"/>
      <c r="B37" s="1017" t="s">
        <v>844</v>
      </c>
      <c r="C37" s="1018" t="str">
        <f>Questions!E53</f>
        <v>Included in APQP</v>
      </c>
      <c r="D37" s="1019">
        <f>Questions!D53</f>
        <v>10</v>
      </c>
      <c r="E37" s="985"/>
      <c r="F37" s="985"/>
      <c r="G37" s="985"/>
    </row>
    <row r="38" spans="1:7" ht="38.25">
      <c r="A38" s="1009"/>
      <c r="B38" s="1017" t="s">
        <v>845</v>
      </c>
      <c r="C38" s="1018" t="str">
        <f>Questions!E55</f>
        <v>Done excepted Run Rate</v>
      </c>
      <c r="D38" s="1019">
        <f>Questions!D55</f>
        <v>8</v>
      </c>
      <c r="E38" s="985"/>
      <c r="F38" s="985"/>
      <c r="G38" s="985"/>
    </row>
    <row r="39" spans="1:7" ht="102">
      <c r="A39" s="1009"/>
      <c r="B39" s="1017" t="s">
        <v>846</v>
      </c>
      <c r="C39" s="1018" t="str">
        <f>Questions!E57</f>
        <v>A document exists but is not totally official and not linked to the documentation system and not apppy in CYC.
This CSR is not included in the APQP as well.
==&gt; Corporate ICL / SL to rediscuss with ASTEMO.</v>
      </c>
      <c r="D39" s="1019">
        <f>Questions!D57</f>
        <v>6</v>
      </c>
      <c r="E39" s="985"/>
      <c r="F39" s="985"/>
      <c r="G39" s="985"/>
    </row>
    <row r="40" spans="1:7" ht="38.25">
      <c r="A40" s="1009"/>
      <c r="B40" s="1017" t="s">
        <v>847</v>
      </c>
      <c r="C40" s="1018" t="str">
        <f>Questions!E59</f>
        <v>Yes seen in APQP</v>
      </c>
      <c r="D40" s="1019">
        <f>Questions!D59</f>
        <v>10</v>
      </c>
      <c r="E40" s="985"/>
      <c r="F40" s="985"/>
      <c r="G40" s="985"/>
    </row>
    <row r="41" spans="1:7" ht="38.25">
      <c r="A41" s="1009"/>
      <c r="B41" s="1017" t="s">
        <v>848</v>
      </c>
      <c r="C41" s="1018" t="str">
        <f>Questions!E60</f>
        <v>Yes seen in APQP</v>
      </c>
      <c r="D41" s="1019">
        <f>Questions!D60</f>
        <v>10</v>
      </c>
      <c r="E41" s="985"/>
      <c r="F41" s="985"/>
      <c r="G41" s="985"/>
    </row>
    <row r="42" spans="1:7" ht="114.75">
      <c r="A42" s="1009"/>
      <c r="B42" s="1020" t="s">
        <v>849</v>
      </c>
      <c r="C42" s="1018" t="str">
        <f>Questions!E62</f>
        <v>ORI Martin (raw material supplier) y DAU seen.
All suppliers are green (grade A).
The evaluation is done 1/year. The scoring rules are taking in account Quality &amp; Logistic.
Note : 
Evaluation looks reactive as it's done one time per year. !!!</v>
      </c>
      <c r="D42" s="1019">
        <f>Questions!D62</f>
        <v>6</v>
      </c>
      <c r="E42" s="985"/>
      <c r="F42" s="985"/>
      <c r="G42" s="985"/>
    </row>
    <row r="43" spans="1:7" ht="25.5">
      <c r="A43" s="1009"/>
      <c r="B43" s="1020" t="s">
        <v>850</v>
      </c>
      <c r="C43" s="1018" t="str">
        <f>Questions!E63</f>
        <v>No weakness identified</v>
      </c>
      <c r="D43" s="1019">
        <f>Questions!D63</f>
        <v>10</v>
      </c>
      <c r="E43" s="985"/>
      <c r="F43" s="985"/>
      <c r="G43" s="985"/>
    </row>
    <row r="44" spans="1:7" ht="38.25">
      <c r="A44" s="1009"/>
      <c r="B44" s="1020" t="s">
        <v>851</v>
      </c>
      <c r="C44" s="1018" t="str">
        <f>Questions!E64</f>
        <v>Ok, see 5.1</v>
      </c>
      <c r="D44" s="1019">
        <f>Questions!D64</f>
        <v>10</v>
      </c>
      <c r="E44" s="985"/>
      <c r="F44" s="985"/>
      <c r="G44" s="985"/>
    </row>
    <row r="45" spans="1:7" ht="38.25">
      <c r="A45" s="1009"/>
      <c r="B45" s="1020" t="s">
        <v>854</v>
      </c>
      <c r="C45" s="1018" t="str">
        <f>Questions!E65</f>
        <v>Included in APQP. See in shopflorr</v>
      </c>
      <c r="D45" s="1019">
        <f>Questions!D65</f>
        <v>10</v>
      </c>
      <c r="E45" s="985"/>
      <c r="F45" s="985"/>
      <c r="G45" s="985"/>
    </row>
    <row r="46" spans="1:7" ht="25.5">
      <c r="A46" s="1009"/>
      <c r="B46" s="1020" t="s">
        <v>855</v>
      </c>
      <c r="C46" s="1018" t="str">
        <f>Questions!E66</f>
        <v>No weakness identified</v>
      </c>
      <c r="D46" s="1019">
        <f>Questions!D66</f>
        <v>10</v>
      </c>
      <c r="E46" s="985"/>
      <c r="F46" s="985"/>
      <c r="G46" s="985"/>
    </row>
    <row r="47" spans="1:7" ht="25.5">
      <c r="A47" s="1009"/>
      <c r="B47" s="1020" t="s">
        <v>852</v>
      </c>
      <c r="C47" s="1018" t="str">
        <f>Questions!E67</f>
        <v>No weakness identified</v>
      </c>
      <c r="D47" s="1019">
        <f>Questions!D67</f>
        <v>10</v>
      </c>
      <c r="E47" s="985"/>
      <c r="F47" s="985"/>
      <c r="G47" s="985"/>
    </row>
    <row r="48" spans="1:7" ht="38.25">
      <c r="A48" s="1009"/>
      <c r="B48" s="1020" t="s">
        <v>853</v>
      </c>
      <c r="C48" s="1018" t="str">
        <f>Questions!E68</f>
        <v>No weakness identified</v>
      </c>
      <c r="D48" s="1019">
        <f>Questions!D68</f>
        <v>10</v>
      </c>
      <c r="E48" s="985"/>
      <c r="F48" s="985"/>
      <c r="G48" s="985"/>
    </row>
    <row r="49" spans="1:7" ht="51">
      <c r="A49" s="1009"/>
      <c r="B49" s="1020" t="s">
        <v>856</v>
      </c>
      <c r="C49" s="1018" t="str">
        <f>Questions!E72</f>
        <v>No weakness identified</v>
      </c>
      <c r="D49" s="1019">
        <f>Questions!D72</f>
        <v>10</v>
      </c>
      <c r="E49" s="985"/>
      <c r="F49" s="985"/>
      <c r="G49" s="985"/>
    </row>
    <row r="50" spans="1:7" ht="51">
      <c r="A50" s="1009"/>
      <c r="B50" s="1020" t="s">
        <v>857</v>
      </c>
      <c r="C50" s="1018" t="str">
        <f>Questions!E73</f>
        <v>No weakness identified</v>
      </c>
      <c r="D50" s="1019">
        <f>Questions!D73</f>
        <v>10</v>
      </c>
      <c r="E50" s="985"/>
      <c r="F50" s="985"/>
      <c r="G50" s="985"/>
    </row>
    <row r="51" spans="1:7" ht="51">
      <c r="A51" s="1009"/>
      <c r="B51" s="1020" t="s">
        <v>858</v>
      </c>
      <c r="C51" s="1018" t="str">
        <f>Questions!E74</f>
        <v>No weakness identified</v>
      </c>
      <c r="D51" s="1019">
        <f>Questions!D74</f>
        <v>10</v>
      </c>
      <c r="E51" s="985"/>
      <c r="F51" s="985"/>
      <c r="G51" s="985"/>
    </row>
    <row r="52" spans="1:7" ht="51">
      <c r="A52" s="1009"/>
      <c r="B52" s="1020" t="s">
        <v>859</v>
      </c>
      <c r="C52" s="1018" t="str">
        <f>Questions!E75</f>
        <v>Description of non conformance (mandatory)</v>
      </c>
      <c r="D52" s="1019" t="str">
        <f>Questions!D75</f>
        <v>n.e.</v>
      </c>
      <c r="E52" s="985"/>
      <c r="F52" s="985"/>
      <c r="G52" s="985"/>
    </row>
    <row r="53" spans="1:7" ht="51">
      <c r="A53" s="1009"/>
      <c r="B53" s="1020" t="s">
        <v>860</v>
      </c>
      <c r="C53" s="1018" t="str">
        <f>Questions!E76</f>
        <v>Description of non conformance (mandatory)</v>
      </c>
      <c r="D53" s="1019" t="str">
        <f>Questions!D76</f>
        <v>n.e.</v>
      </c>
      <c r="E53" s="985"/>
      <c r="F53" s="985"/>
      <c r="G53" s="985"/>
    </row>
    <row r="54" spans="1:7" ht="51">
      <c r="A54" s="1009"/>
      <c r="B54" s="1020" t="s">
        <v>861</v>
      </c>
      <c r="C54" s="1018" t="str">
        <f>Questions!E77</f>
        <v>Description of non conformance (mandatory)</v>
      </c>
      <c r="D54" s="1019" t="str">
        <f>Questions!D77</f>
        <v>n.e.</v>
      </c>
      <c r="E54" s="985"/>
      <c r="F54" s="985"/>
      <c r="G54" s="985"/>
    </row>
    <row r="55" spans="1:7" ht="51">
      <c r="A55" s="1009"/>
      <c r="B55" s="1020" t="s">
        <v>862</v>
      </c>
      <c r="C55" s="1018" t="str">
        <f>Questions!E78</f>
        <v>Description of non conformance (mandatory)</v>
      </c>
      <c r="D55" s="1019" t="str">
        <f>Questions!D78</f>
        <v>n.e.</v>
      </c>
      <c r="E55" s="985"/>
      <c r="F55" s="985"/>
      <c r="G55" s="985"/>
    </row>
    <row r="56" spans="1:7" ht="51">
      <c r="A56" s="1009"/>
      <c r="B56" s="1020" t="s">
        <v>863</v>
      </c>
      <c r="C56" s="1018" t="str">
        <f>Questions!E79</f>
        <v>Description of non conformance (mandatory)</v>
      </c>
      <c r="D56" s="1019" t="str">
        <f>Questions!D79</f>
        <v>n.e.</v>
      </c>
      <c r="E56" s="985"/>
      <c r="F56" s="985"/>
      <c r="G56" s="985"/>
    </row>
    <row r="57" spans="1:7" ht="51">
      <c r="A57" s="1009"/>
      <c r="B57" s="1020" t="s">
        <v>864</v>
      </c>
      <c r="C57" s="1018" t="str">
        <f>Questions!E80</f>
        <v>Description of non conformance (mandatory)</v>
      </c>
      <c r="D57" s="1019" t="str">
        <f>Questions!D80</f>
        <v>n.e.</v>
      </c>
      <c r="E57" s="985"/>
      <c r="F57" s="985"/>
      <c r="G57" s="985"/>
    </row>
    <row r="58" spans="1:7" ht="51">
      <c r="A58" s="1009"/>
      <c r="B58" s="1020" t="s">
        <v>865</v>
      </c>
      <c r="C58" s="1018" t="str">
        <f>Questions!E81</f>
        <v>Description of non conformance (mandatory)</v>
      </c>
      <c r="D58" s="1019" t="str">
        <f>Questions!D81</f>
        <v>n.e.</v>
      </c>
      <c r="E58" s="985"/>
      <c r="F58" s="985"/>
      <c r="G58" s="985"/>
    </row>
    <row r="59" spans="1:7" ht="63.75">
      <c r="A59" s="1009"/>
      <c r="B59" s="1020" t="s">
        <v>866</v>
      </c>
      <c r="C59" s="1018" t="str">
        <f>Questions!E83</f>
        <v>No weakness identified</v>
      </c>
      <c r="D59" s="1019">
        <f>Questions!D83</f>
        <v>10</v>
      </c>
      <c r="E59" s="985"/>
      <c r="F59" s="985"/>
      <c r="G59" s="985"/>
    </row>
    <row r="60" spans="1:7" ht="63.75">
      <c r="A60" s="1009"/>
      <c r="B60" s="1020" t="s">
        <v>867</v>
      </c>
      <c r="C60" s="1018" t="str">
        <f>Questions!E84</f>
        <v>No weakness identified</v>
      </c>
      <c r="D60" s="1019">
        <f>Questions!D84</f>
        <v>10</v>
      </c>
      <c r="E60" s="985"/>
      <c r="F60" s="985"/>
      <c r="G60" s="985"/>
    </row>
    <row r="61" spans="1:7" ht="63.75">
      <c r="A61" s="1009"/>
      <c r="B61" s="1020" t="s">
        <v>868</v>
      </c>
      <c r="C61" s="1018" t="str">
        <f>Questions!E85</f>
        <v>No weakness identified</v>
      </c>
      <c r="D61" s="1019">
        <f>Questions!D85</f>
        <v>10</v>
      </c>
      <c r="E61" s="985"/>
      <c r="F61" s="985"/>
      <c r="G61" s="985"/>
    </row>
    <row r="62" spans="1:7" ht="63.75">
      <c r="A62" s="1009"/>
      <c r="B62" s="1020" t="s">
        <v>869</v>
      </c>
      <c r="C62" s="1018" t="str">
        <f>Questions!E86</f>
        <v>No weakness identified</v>
      </c>
      <c r="D62" s="1019">
        <f>Questions!D86</f>
        <v>10</v>
      </c>
      <c r="E62" s="985"/>
      <c r="F62" s="985"/>
      <c r="G62" s="985"/>
    </row>
    <row r="63" spans="1:7" ht="63.75">
      <c r="A63" s="1009"/>
      <c r="B63" s="1020" t="s">
        <v>870</v>
      </c>
      <c r="C63" s="1018" t="str">
        <f>Questions!E87</f>
        <v>No weakness identified</v>
      </c>
      <c r="D63" s="1019">
        <f>Questions!D87</f>
        <v>10</v>
      </c>
      <c r="E63" s="985"/>
      <c r="F63" s="985"/>
      <c r="G63" s="985"/>
    </row>
    <row r="64" spans="1:7" ht="63.75">
      <c r="A64" s="1009"/>
      <c r="B64" s="1020" t="s">
        <v>871</v>
      </c>
      <c r="C64" s="1018" t="str">
        <f>Questions!E88</f>
        <v>No weakness identified</v>
      </c>
      <c r="D64" s="1019">
        <f>Questions!D88</f>
        <v>10</v>
      </c>
      <c r="E64" s="985"/>
      <c r="F64" s="985"/>
      <c r="G64" s="985"/>
    </row>
    <row r="65" spans="1:7" ht="63.75">
      <c r="A65" s="1009"/>
      <c r="B65" s="1020" t="s">
        <v>872</v>
      </c>
      <c r="C65" s="1018" t="str">
        <f>Questions!E89</f>
        <v>No weakness identified</v>
      </c>
      <c r="D65" s="1019">
        <f>Questions!D89</f>
        <v>10</v>
      </c>
      <c r="E65" s="985"/>
      <c r="F65" s="985"/>
      <c r="G65" s="985"/>
    </row>
    <row r="66" spans="1:7" ht="63.75">
      <c r="A66" s="1009"/>
      <c r="B66" s="1020" t="s">
        <v>873</v>
      </c>
      <c r="C66" s="1018" t="str">
        <f>Questions!E90</f>
        <v>No weakness identified</v>
      </c>
      <c r="D66" s="1019">
        <f>Questions!D90</f>
        <v>10</v>
      </c>
      <c r="E66" s="985"/>
      <c r="F66" s="985"/>
      <c r="G66" s="985"/>
    </row>
    <row r="67" spans="1:7" ht="63.75">
      <c r="A67" s="1009"/>
      <c r="B67" s="1020" t="s">
        <v>874</v>
      </c>
      <c r="C67" s="1018" t="str">
        <f>Questions!E91</f>
        <v>No weakness identified</v>
      </c>
      <c r="D67" s="1019">
        <f>Questions!D91</f>
        <v>10</v>
      </c>
      <c r="E67" s="985"/>
      <c r="F67" s="985"/>
      <c r="G67" s="985"/>
    </row>
    <row r="68" spans="1:7" ht="63.75">
      <c r="A68" s="1009"/>
      <c r="B68" s="1020" t="s">
        <v>875</v>
      </c>
      <c r="C68" s="1018" t="str">
        <f>Questions!E92</f>
        <v>No weakness identified</v>
      </c>
      <c r="D68" s="1019">
        <f>Questions!D92</f>
        <v>10</v>
      </c>
      <c r="E68" s="985"/>
      <c r="F68" s="985"/>
      <c r="G68" s="985"/>
    </row>
    <row r="69" spans="1:7" ht="63.75">
      <c r="A69" s="1009"/>
      <c r="B69" s="1020" t="s">
        <v>876</v>
      </c>
      <c r="C69" s="1018" t="str">
        <f>Questions!E94</f>
        <v>No weakness identified</v>
      </c>
      <c r="D69" s="1019">
        <f>Questions!D94</f>
        <v>10</v>
      </c>
      <c r="E69" s="985"/>
      <c r="F69" s="985"/>
      <c r="G69" s="985"/>
    </row>
    <row r="70" spans="1:7" ht="63.75">
      <c r="A70" s="1009"/>
      <c r="B70" s="1020" t="s">
        <v>877</v>
      </c>
      <c r="C70" s="1018" t="str">
        <f>Questions!E95</f>
        <v>No weakness identified</v>
      </c>
      <c r="D70" s="1019">
        <f>Questions!D95</f>
        <v>10</v>
      </c>
      <c r="E70" s="985"/>
      <c r="F70" s="985"/>
      <c r="G70" s="985"/>
    </row>
    <row r="71" spans="1:7" ht="63.75">
      <c r="A71" s="1009"/>
      <c r="B71" s="1020" t="s">
        <v>791</v>
      </c>
      <c r="C71" s="1018" t="str">
        <f>Questions!E96</f>
        <v>No weakness identified</v>
      </c>
      <c r="D71" s="1019">
        <f>Questions!D96</f>
        <v>10</v>
      </c>
      <c r="E71" s="985"/>
      <c r="F71" s="985"/>
      <c r="G71" s="985"/>
    </row>
    <row r="72" spans="1:7" ht="63.75">
      <c r="A72" s="1009"/>
      <c r="B72" s="1020" t="s">
        <v>792</v>
      </c>
      <c r="C72" s="1018" t="str">
        <f>Questions!E97</f>
        <v>Description of non conformance (mandatory)</v>
      </c>
      <c r="D72" s="1019" t="str">
        <f>Questions!D97</f>
        <v>n.e.</v>
      </c>
      <c r="E72" s="985"/>
      <c r="F72" s="985"/>
      <c r="G72" s="985"/>
    </row>
    <row r="73" spans="1:7" ht="63.75">
      <c r="A73" s="1009"/>
      <c r="B73" s="1020" t="s">
        <v>793</v>
      </c>
      <c r="C73" s="1018" t="str">
        <f>Questions!E98</f>
        <v>Description of non conformance (mandatory)</v>
      </c>
      <c r="D73" s="1019" t="str">
        <f>Questions!D98</f>
        <v>n.e.</v>
      </c>
      <c r="E73" s="985"/>
      <c r="F73" s="985"/>
      <c r="G73" s="985"/>
    </row>
    <row r="74" spans="1:7" ht="63.75">
      <c r="A74" s="1009"/>
      <c r="B74" s="1020" t="s">
        <v>794</v>
      </c>
      <c r="C74" s="1018" t="str">
        <f>Questions!E99</f>
        <v>Description of non conformance (mandatory)</v>
      </c>
      <c r="D74" s="1019" t="str">
        <f>Questions!D99</f>
        <v>n.e.</v>
      </c>
      <c r="E74" s="985"/>
      <c r="F74" s="985"/>
      <c r="G74" s="985"/>
    </row>
    <row r="75" spans="1:7" ht="63.75">
      <c r="A75" s="1009"/>
      <c r="B75" s="1020" t="s">
        <v>795</v>
      </c>
      <c r="C75" s="1018" t="str">
        <f>Questions!E100</f>
        <v>Description of non conformance (mandatory)</v>
      </c>
      <c r="D75" s="1019" t="str">
        <f>Questions!D100</f>
        <v>n.e.</v>
      </c>
      <c r="E75" s="985"/>
      <c r="F75" s="985"/>
      <c r="G75" s="985"/>
    </row>
    <row r="76" spans="1:7" ht="63.75">
      <c r="A76" s="1009"/>
      <c r="B76" s="1020" t="s">
        <v>796</v>
      </c>
      <c r="C76" s="1018" t="str">
        <f>Questions!E101</f>
        <v>Description of non conformance (mandatory)</v>
      </c>
      <c r="D76" s="1019" t="str">
        <f>Questions!D101</f>
        <v>n.e.</v>
      </c>
      <c r="E76" s="985"/>
      <c r="F76" s="985"/>
      <c r="G76" s="985"/>
    </row>
    <row r="77" spans="1:7" ht="63.75">
      <c r="A77" s="1009"/>
      <c r="B77" s="1020" t="s">
        <v>797</v>
      </c>
      <c r="C77" s="1018" t="str">
        <f>Questions!E102</f>
        <v>Description of non conformance (mandatory)</v>
      </c>
      <c r="D77" s="1019" t="str">
        <f>Questions!D102</f>
        <v>n.e.</v>
      </c>
      <c r="E77" s="985"/>
      <c r="F77" s="985"/>
      <c r="G77" s="985"/>
    </row>
    <row r="78" spans="1:7" ht="63.75">
      <c r="A78" s="1009"/>
      <c r="B78" s="1020" t="s">
        <v>798</v>
      </c>
      <c r="C78" s="1018" t="str">
        <f>Questions!E103</f>
        <v>Description of non conformance (mandatory)</v>
      </c>
      <c r="D78" s="1019" t="str">
        <f>Questions!D103</f>
        <v>n.e.</v>
      </c>
      <c r="E78" s="985"/>
      <c r="F78" s="985"/>
      <c r="G78" s="985"/>
    </row>
    <row r="79" spans="1:7" ht="51">
      <c r="A79" s="1009"/>
      <c r="B79" s="1020" t="s">
        <v>878</v>
      </c>
      <c r="C79" s="1018" t="str">
        <f>Questions!E105</f>
        <v>No weakness identified</v>
      </c>
      <c r="D79" s="1019">
        <f>Questions!D105</f>
        <v>10</v>
      </c>
      <c r="E79" s="985"/>
      <c r="F79" s="985"/>
      <c r="G79" s="985"/>
    </row>
    <row r="80" spans="1:7" ht="63.75">
      <c r="A80" s="1009"/>
      <c r="B80" s="1020" t="s">
        <v>799</v>
      </c>
      <c r="C80" s="1018" t="str">
        <f>Questions!E106</f>
        <v>Piston pallets were observed in the chrome plating  process area without proper identification or traceability status (e.g. lot number, reference, process stage).</v>
      </c>
      <c r="D80" s="1019">
        <f>Questions!D106</f>
        <v>4</v>
      </c>
      <c r="E80" s="985"/>
      <c r="F80" s="985"/>
      <c r="G80" s="985"/>
    </row>
    <row r="81" spans="1:7" ht="51">
      <c r="A81" s="1009"/>
      <c r="B81" s="1020" t="s">
        <v>800</v>
      </c>
      <c r="C81" s="1018" t="str">
        <f>Questions!E107</f>
        <v>No weakness identified</v>
      </c>
      <c r="D81" s="1019">
        <f>Questions!D107</f>
        <v>10</v>
      </c>
      <c r="E81" s="985"/>
      <c r="F81" s="985"/>
      <c r="G81" s="985"/>
    </row>
    <row r="82" spans="1:7" ht="51">
      <c r="A82" s="1009"/>
      <c r="B82" s="1020" t="s">
        <v>801</v>
      </c>
      <c r="C82" s="1018" t="str">
        <f>Questions!E108</f>
        <v>Description of non conformance (mandatory)</v>
      </c>
      <c r="D82" s="1019" t="str">
        <f>Questions!D108</f>
        <v>n.e.</v>
      </c>
      <c r="E82" s="985"/>
      <c r="F82" s="985"/>
      <c r="G82" s="985"/>
    </row>
    <row r="83" spans="1:7" ht="51">
      <c r="A83" s="1009"/>
      <c r="B83" s="1020" t="s">
        <v>802</v>
      </c>
      <c r="C83" s="1018" t="str">
        <f>Questions!E109</f>
        <v>Description of non conformance (mandatory)</v>
      </c>
      <c r="D83" s="1019" t="str">
        <f>Questions!D109</f>
        <v>n.e.</v>
      </c>
      <c r="E83" s="985"/>
      <c r="F83" s="985"/>
      <c r="G83" s="985"/>
    </row>
    <row r="84" spans="1:7" ht="51">
      <c r="A84" s="1009"/>
      <c r="B84" s="1020" t="s">
        <v>803</v>
      </c>
      <c r="C84" s="1018" t="str">
        <f>Questions!E110</f>
        <v>Description of non conformance (mandatory)</v>
      </c>
      <c r="D84" s="1019" t="str">
        <f>Questions!D110</f>
        <v>n.e.</v>
      </c>
      <c r="E84" s="985"/>
      <c r="F84" s="985"/>
      <c r="G84" s="985"/>
    </row>
    <row r="85" spans="1:7" ht="51">
      <c r="A85" s="1009"/>
      <c r="B85" s="1020" t="s">
        <v>804</v>
      </c>
      <c r="C85" s="1018" t="str">
        <f>Questions!E111</f>
        <v>Description of non conformance (mandatory)</v>
      </c>
      <c r="D85" s="1019" t="str">
        <f>Questions!D111</f>
        <v>n.e.</v>
      </c>
      <c r="E85" s="985"/>
      <c r="F85" s="985"/>
      <c r="G85" s="985"/>
    </row>
    <row r="86" spans="1:7" ht="51">
      <c r="A86" s="1009"/>
      <c r="B86" s="1020" t="s">
        <v>805</v>
      </c>
      <c r="C86" s="1018" t="str">
        <f>Questions!E112</f>
        <v>Description of non conformance (mandatory)</v>
      </c>
      <c r="D86" s="1019" t="str">
        <f>Questions!D112</f>
        <v>n.e.</v>
      </c>
      <c r="E86" s="985"/>
      <c r="F86" s="985"/>
      <c r="G86" s="985"/>
    </row>
    <row r="87" spans="1:7" ht="51">
      <c r="A87" s="1009"/>
      <c r="B87" s="1020" t="s">
        <v>806</v>
      </c>
      <c r="C87" s="1018" t="str">
        <f>Questions!E113</f>
        <v>Description of non conformance (mandatory)</v>
      </c>
      <c r="D87" s="1019" t="str">
        <f>Questions!D113</f>
        <v>n.e.</v>
      </c>
      <c r="E87" s="985"/>
      <c r="F87" s="985"/>
      <c r="G87" s="985"/>
    </row>
    <row r="88" spans="1:7" ht="51">
      <c r="A88" s="1009"/>
      <c r="B88" s="1020" t="s">
        <v>807</v>
      </c>
      <c r="C88" s="1018" t="str">
        <f>Questions!E114</f>
        <v>Description of non conformance (mandatory)</v>
      </c>
      <c r="D88" s="1019" t="str">
        <f>Questions!D114</f>
        <v>n.e.</v>
      </c>
      <c r="E88" s="985"/>
      <c r="F88" s="985"/>
      <c r="G88" s="985"/>
    </row>
    <row r="89" spans="1:7" ht="38.25">
      <c r="A89" s="1009"/>
      <c r="B89" s="1020" t="s">
        <v>879</v>
      </c>
      <c r="C89" s="1018" t="str">
        <f>Questions!E116</f>
        <v>No weakness identified</v>
      </c>
      <c r="D89" s="1019">
        <f>Questions!D116</f>
        <v>10</v>
      </c>
      <c r="E89" s="985"/>
      <c r="F89" s="985"/>
      <c r="G89" s="985"/>
    </row>
    <row r="90" spans="1:7" ht="38.25">
      <c r="A90" s="1009"/>
      <c r="B90" s="1020" t="s">
        <v>880</v>
      </c>
      <c r="C90" s="1018" t="str">
        <f>Questions!E117</f>
        <v>No weakness identified</v>
      </c>
      <c r="D90" s="1019">
        <f>Questions!D117</f>
        <v>10</v>
      </c>
      <c r="E90" s="985"/>
      <c r="F90" s="985"/>
      <c r="G90" s="985"/>
    </row>
    <row r="91" spans="1:7" ht="38.25">
      <c r="A91" s="1009"/>
      <c r="B91" s="1020" t="s">
        <v>881</v>
      </c>
      <c r="C91" s="1018" t="str">
        <f>Questions!E118</f>
        <v>No weakness identified</v>
      </c>
      <c r="D91" s="1019">
        <f>Questions!D118</f>
        <v>10</v>
      </c>
      <c r="E91" s="985"/>
      <c r="F91" s="985"/>
      <c r="G91" s="985"/>
    </row>
    <row r="92" spans="1:7" ht="38.25">
      <c r="A92" s="1009"/>
      <c r="B92" s="1020" t="s">
        <v>882</v>
      </c>
      <c r="C92" s="1018" t="str">
        <f>Questions!E119</f>
        <v>Description of non conformance (mandatory)</v>
      </c>
      <c r="D92" s="1019" t="str">
        <f>Questions!D119</f>
        <v>n.e.</v>
      </c>
      <c r="E92" s="985"/>
      <c r="F92" s="985"/>
      <c r="G92" s="985"/>
    </row>
    <row r="93" spans="1:7" ht="38.25">
      <c r="A93" s="1009"/>
      <c r="B93" s="1020" t="s">
        <v>883</v>
      </c>
      <c r="C93" s="1018" t="str">
        <f>Questions!E120</f>
        <v>Description of non conformance (mandatory)</v>
      </c>
      <c r="D93" s="1019" t="str">
        <f>Questions!D120</f>
        <v>n.e.</v>
      </c>
      <c r="E93" s="985"/>
      <c r="F93" s="985"/>
      <c r="G93" s="985"/>
    </row>
    <row r="94" spans="1:7" ht="38.25">
      <c r="A94" s="1009"/>
      <c r="B94" s="1020" t="s">
        <v>884</v>
      </c>
      <c r="C94" s="1018" t="str">
        <f>Questions!E121</f>
        <v>Description of non conformance (mandatory)</v>
      </c>
      <c r="D94" s="1019" t="str">
        <f>Questions!D121</f>
        <v>n.e.</v>
      </c>
      <c r="E94" s="985"/>
      <c r="F94" s="985"/>
      <c r="G94" s="985"/>
    </row>
    <row r="95" spans="1:7" ht="38.25">
      <c r="A95" s="1009"/>
      <c r="B95" s="1020" t="s">
        <v>885</v>
      </c>
      <c r="C95" s="1018" t="str">
        <f>Questions!E122</f>
        <v>Description of non conformance (mandatory)</v>
      </c>
      <c r="D95" s="1019" t="str">
        <f>Questions!D122</f>
        <v>n.e.</v>
      </c>
      <c r="E95" s="985"/>
      <c r="F95" s="985"/>
      <c r="G95" s="985"/>
    </row>
    <row r="96" spans="1:7" ht="38.25">
      <c r="A96" s="1009"/>
      <c r="B96" s="1020" t="s">
        <v>886</v>
      </c>
      <c r="C96" s="1018" t="str">
        <f>Questions!E123</f>
        <v>Description of non conformance (mandatory)</v>
      </c>
      <c r="D96" s="1019" t="str">
        <f>Questions!D123</f>
        <v>n.e.</v>
      </c>
      <c r="E96" s="985"/>
      <c r="F96" s="985"/>
      <c r="G96" s="985"/>
    </row>
    <row r="97" spans="1:7" ht="38.25">
      <c r="A97" s="1009"/>
      <c r="B97" s="1020" t="s">
        <v>887</v>
      </c>
      <c r="C97" s="1018" t="str">
        <f>Questions!E124</f>
        <v>Description of non conformance (mandatory)</v>
      </c>
      <c r="D97" s="1019" t="str">
        <f>Questions!D124</f>
        <v>n.e.</v>
      </c>
      <c r="E97" s="985"/>
      <c r="F97" s="985"/>
      <c r="G97" s="985"/>
    </row>
    <row r="98" spans="1:7" ht="38.25">
      <c r="A98" s="1009"/>
      <c r="B98" s="1020" t="s">
        <v>888</v>
      </c>
      <c r="C98" s="1018" t="str">
        <f>Questions!E125</f>
        <v>Description of non conformance (mandatory)</v>
      </c>
      <c r="D98" s="1019" t="str">
        <f>Questions!D125</f>
        <v>n.e.</v>
      </c>
      <c r="E98" s="985"/>
      <c r="F98" s="985"/>
      <c r="G98" s="985"/>
    </row>
    <row r="99" spans="1:7" ht="38.25">
      <c r="A99" s="1009"/>
      <c r="B99" s="1020" t="s">
        <v>889</v>
      </c>
      <c r="C99" s="1018" t="str">
        <f>Questions!E128</f>
        <v>No weakness identified</v>
      </c>
      <c r="D99" s="1019">
        <f>Questions!D128</f>
        <v>10</v>
      </c>
      <c r="E99" s="985"/>
      <c r="F99" s="985"/>
      <c r="G99" s="985"/>
    </row>
    <row r="100" spans="1:7" ht="76.5">
      <c r="A100" s="1009"/>
      <c r="B100" s="1020" t="s">
        <v>890</v>
      </c>
      <c r="C100" s="1018" t="str">
        <f>Questions!E129</f>
        <v>Operators in the chrome plating  process were not able to explain the symbol legend used in the Control Plan to identify safety and important characteristics, indicating insufficient deployment at shopfloor level.</v>
      </c>
      <c r="D100" s="1019">
        <f>Questions!D129</f>
        <v>4</v>
      </c>
      <c r="E100" s="985"/>
      <c r="F100" s="985"/>
      <c r="G100" s="985"/>
    </row>
    <row r="101" spans="1:7" ht="38.25">
      <c r="A101" s="1009"/>
      <c r="B101" s="1020" t="s">
        <v>891</v>
      </c>
      <c r="C101" s="1018" t="str">
        <f>Questions!E130</f>
        <v>No weakness identified</v>
      </c>
      <c r="D101" s="1019">
        <f>Questions!D130</f>
        <v>10</v>
      </c>
      <c r="E101" s="985"/>
      <c r="F101" s="985"/>
      <c r="G101" s="985"/>
    </row>
    <row r="102" spans="1:7" ht="38.25">
      <c r="A102" s="1009"/>
      <c r="B102" s="1020" t="s">
        <v>892</v>
      </c>
      <c r="C102" s="1018" t="str">
        <f>Questions!E131</f>
        <v>Description of non conformance (mandatory)</v>
      </c>
      <c r="D102" s="1019" t="str">
        <f>Questions!D131</f>
        <v>n.e.</v>
      </c>
      <c r="E102" s="985"/>
      <c r="F102" s="985"/>
      <c r="G102" s="985"/>
    </row>
    <row r="103" spans="1:7" ht="38.25">
      <c r="A103" s="1009"/>
      <c r="B103" s="1020" t="s">
        <v>893</v>
      </c>
      <c r="C103" s="1018" t="str">
        <f>Questions!E132</f>
        <v>Description of non conformance (mandatory)</v>
      </c>
      <c r="D103" s="1019" t="str">
        <f>Questions!D132</f>
        <v>n.e.</v>
      </c>
      <c r="E103" s="985"/>
      <c r="F103" s="985"/>
      <c r="G103" s="985"/>
    </row>
    <row r="104" spans="1:7" ht="38.25">
      <c r="A104" s="1009"/>
      <c r="B104" s="1020" t="s">
        <v>894</v>
      </c>
      <c r="C104" s="1018" t="str">
        <f>Questions!E133</f>
        <v>Description of non conformance (mandatory)</v>
      </c>
      <c r="D104" s="1019" t="str">
        <f>Questions!D133</f>
        <v>n.e.</v>
      </c>
      <c r="E104" s="985"/>
      <c r="F104" s="985"/>
      <c r="G104" s="985"/>
    </row>
    <row r="105" spans="1:7" ht="38.25">
      <c r="A105" s="1009"/>
      <c r="B105" s="1020" t="s">
        <v>895</v>
      </c>
      <c r="C105" s="1018" t="str">
        <f>Questions!E134</f>
        <v>Description of non conformance (mandatory)</v>
      </c>
      <c r="D105" s="1019" t="str">
        <f>Questions!D134</f>
        <v>n.e.</v>
      </c>
      <c r="E105" s="985"/>
      <c r="F105" s="985"/>
      <c r="G105" s="985"/>
    </row>
    <row r="106" spans="1:7" ht="38.25">
      <c r="A106" s="1009"/>
      <c r="B106" s="1020" t="s">
        <v>896</v>
      </c>
      <c r="C106" s="1018" t="str">
        <f>Questions!E135</f>
        <v>Description of non conformance (mandatory)</v>
      </c>
      <c r="D106" s="1019" t="str">
        <f>Questions!D135</f>
        <v>n.e.</v>
      </c>
      <c r="E106" s="985"/>
      <c r="F106" s="985"/>
      <c r="G106" s="985"/>
    </row>
    <row r="107" spans="1:7" ht="38.25">
      <c r="B107" s="1020" t="s">
        <v>897</v>
      </c>
      <c r="C107" s="1018" t="str">
        <f>Questions!E136</f>
        <v>Description of non conformance (mandatory)</v>
      </c>
      <c r="D107" s="1019" t="str">
        <f>Questions!D136</f>
        <v>n.e.</v>
      </c>
    </row>
    <row r="108" spans="1:7" ht="38.25">
      <c r="B108" s="1020" t="s">
        <v>898</v>
      </c>
      <c r="C108" s="1018" t="str">
        <f>Questions!E137</f>
        <v>Description of non conformance (mandatory)</v>
      </c>
      <c r="D108" s="1019" t="str">
        <f>Questions!D137</f>
        <v>n.e.</v>
      </c>
    </row>
    <row r="109" spans="1:7" ht="25.5">
      <c r="B109" s="1020" t="s">
        <v>899</v>
      </c>
      <c r="C109" s="1018" t="str">
        <f>Questions!E139</f>
        <v>No weakness identified</v>
      </c>
      <c r="D109" s="1019">
        <f>Questions!D139</f>
        <v>10</v>
      </c>
    </row>
    <row r="110" spans="1:7" ht="25.5">
      <c r="B110" s="1020" t="s">
        <v>900</v>
      </c>
      <c r="C110" s="1018" t="str">
        <f>Questions!E140</f>
        <v>No weakness identified</v>
      </c>
      <c r="D110" s="1019">
        <f>Questions!D140</f>
        <v>10</v>
      </c>
    </row>
    <row r="111" spans="1:7" ht="25.5">
      <c r="B111" s="1020" t="s">
        <v>901</v>
      </c>
      <c r="C111" s="1018" t="str">
        <f>Questions!E141</f>
        <v>No weakness identified</v>
      </c>
      <c r="D111" s="1019">
        <f>Questions!D141</f>
        <v>10</v>
      </c>
    </row>
    <row r="112" spans="1:7" ht="25.5">
      <c r="B112" s="1020" t="s">
        <v>902</v>
      </c>
      <c r="C112" s="1018" t="str">
        <f>Questions!E142</f>
        <v>Description of non conformance (mandatory)</v>
      </c>
      <c r="D112" s="1019" t="str">
        <f>Questions!D142</f>
        <v>n.e.</v>
      </c>
    </row>
    <row r="113" spans="2:4" ht="25.5">
      <c r="B113" s="1020" t="s">
        <v>903</v>
      </c>
      <c r="C113" s="1018" t="str">
        <f>Questions!E143</f>
        <v>Description of non conformance (mandatory)</v>
      </c>
      <c r="D113" s="1019" t="str">
        <f>Questions!D143</f>
        <v>n.e.</v>
      </c>
    </row>
    <row r="114" spans="2:4" ht="25.5">
      <c r="B114" s="1020" t="s">
        <v>904</v>
      </c>
      <c r="C114" s="1018" t="str">
        <f>Questions!E144</f>
        <v>Description of non conformance (mandatory)</v>
      </c>
      <c r="D114" s="1019" t="str">
        <f>Questions!D144</f>
        <v>n.e.</v>
      </c>
    </row>
    <row r="115" spans="2:4" ht="25.5">
      <c r="B115" s="1020" t="s">
        <v>905</v>
      </c>
      <c r="C115" s="1018" t="str">
        <f>Questions!E145</f>
        <v>Description of non conformance (mandatory)</v>
      </c>
      <c r="D115" s="1019" t="str">
        <f>Questions!D145</f>
        <v>n.e.</v>
      </c>
    </row>
    <row r="116" spans="2:4" ht="25.5">
      <c r="B116" s="1020" t="s">
        <v>906</v>
      </c>
      <c r="C116" s="1018" t="str">
        <f>Questions!E146</f>
        <v>Description of non conformance (mandatory)</v>
      </c>
      <c r="D116" s="1019" t="str">
        <f>Questions!D146</f>
        <v>n.e.</v>
      </c>
    </row>
    <row r="117" spans="2:4" ht="25.5">
      <c r="B117" s="1020" t="s">
        <v>907</v>
      </c>
      <c r="C117" s="1018" t="str">
        <f>Questions!E147</f>
        <v>Description of non conformance (mandatory)</v>
      </c>
      <c r="D117" s="1019" t="str">
        <f>Questions!D147</f>
        <v>n.e.</v>
      </c>
    </row>
    <row r="118" spans="2:4" ht="25.5">
      <c r="B118" s="1020" t="s">
        <v>908</v>
      </c>
      <c r="C118" s="1018" t="str">
        <f>Questions!E148</f>
        <v>Description of non conformance (mandatory)</v>
      </c>
      <c r="D118" s="1019" t="str">
        <f>Questions!D148</f>
        <v>n.e.</v>
      </c>
    </row>
    <row r="119" spans="2:4" ht="25.5">
      <c r="B119" s="1020" t="s">
        <v>909</v>
      </c>
      <c r="C119" s="1018" t="str">
        <f>Questions!E150</f>
        <v>No weakness identified</v>
      </c>
      <c r="D119" s="1019">
        <f>Questions!D150</f>
        <v>10</v>
      </c>
    </row>
    <row r="120" spans="2:4" ht="63.75">
      <c r="B120" s="1020" t="s">
        <v>910</v>
      </c>
      <c r="C120" s="1018" t="str">
        <f>Questions!E151</f>
        <v>The safety and important (special) characteristics defined in the Control Plan are not effectively communicated or understood by chrome coating  line operators.</v>
      </c>
      <c r="D120" s="1019">
        <f>Questions!D151</f>
        <v>6</v>
      </c>
    </row>
    <row r="121" spans="2:4" ht="25.5">
      <c r="B121" s="1020" t="s">
        <v>911</v>
      </c>
      <c r="C121" s="1018" t="str">
        <f>Questions!E152</f>
        <v>No weakness identified</v>
      </c>
      <c r="D121" s="1019">
        <f>Questions!D152</f>
        <v>10</v>
      </c>
    </row>
    <row r="122" spans="2:4" ht="25.5">
      <c r="B122" s="1020" t="s">
        <v>912</v>
      </c>
      <c r="C122" s="1018" t="str">
        <f>Questions!E153</f>
        <v>Description of non conformance (mandatory)</v>
      </c>
      <c r="D122" s="1019" t="str">
        <f>Questions!D153</f>
        <v>n.e.</v>
      </c>
    </row>
    <row r="123" spans="2:4" ht="25.5">
      <c r="B123" s="1020" t="s">
        <v>913</v>
      </c>
      <c r="C123" s="1018" t="str">
        <f>Questions!E154</f>
        <v>Description of non conformance (mandatory)</v>
      </c>
      <c r="D123" s="1019" t="str">
        <f>Questions!D154</f>
        <v>n.e.</v>
      </c>
    </row>
    <row r="124" spans="2:4" ht="25.5">
      <c r="B124" s="1020" t="s">
        <v>914</v>
      </c>
      <c r="C124" s="1018" t="str">
        <f>Questions!E155</f>
        <v>Description of non conformance (mandatory)</v>
      </c>
      <c r="D124" s="1019" t="str">
        <f>Questions!D155</f>
        <v>n.e.</v>
      </c>
    </row>
    <row r="125" spans="2:4" ht="25.5">
      <c r="B125" s="1020" t="s">
        <v>915</v>
      </c>
      <c r="C125" s="1018" t="str">
        <f>Questions!E156</f>
        <v>Description of non conformance (mandatory)</v>
      </c>
      <c r="D125" s="1019" t="str">
        <f>Questions!D156</f>
        <v>n.e.</v>
      </c>
    </row>
    <row r="126" spans="2:4" ht="25.5">
      <c r="B126" s="1020" t="s">
        <v>916</v>
      </c>
      <c r="C126" s="1018" t="str">
        <f>Questions!E157</f>
        <v>Description of non conformance (mandatory)</v>
      </c>
      <c r="D126" s="1019" t="str">
        <f>Questions!D157</f>
        <v>n.e.</v>
      </c>
    </row>
    <row r="127" spans="2:4" ht="25.5">
      <c r="B127" s="1020" t="s">
        <v>917</v>
      </c>
      <c r="C127" s="1018" t="str">
        <f>Questions!E158</f>
        <v>Description of non conformance (mandatory)</v>
      </c>
      <c r="D127" s="1019" t="str">
        <f>Questions!D158</f>
        <v>n.e.</v>
      </c>
    </row>
    <row r="128" spans="2:4" ht="38.25">
      <c r="B128" s="1020" t="s">
        <v>918</v>
      </c>
      <c r="C128" s="1018" t="str">
        <f>Questions!E159</f>
        <v>Description of non conformance (mandatory)</v>
      </c>
      <c r="D128" s="1019" t="str">
        <f>Questions!D159</f>
        <v>n.e.</v>
      </c>
    </row>
    <row r="129" spans="2:4" ht="25.5">
      <c r="B129" s="1020" t="s">
        <v>919</v>
      </c>
      <c r="C129" s="1018" t="str">
        <f>Questions!E161</f>
        <v>No weakness identified</v>
      </c>
      <c r="D129" s="1019">
        <f>Questions!D161</f>
        <v>10</v>
      </c>
    </row>
    <row r="130" spans="2:4" ht="140.25">
      <c r="B130" s="1020" t="s">
        <v>920</v>
      </c>
      <c r="C130" s="1018" t="str">
        <f>Questions!E162</f>
        <v>Pistons that fall to the floor during the chrome plating  process are reintroduced into production without mandatory visual inspection.
Additionally, the red scrap container relies solely on color coding (visual management) and lacks mandatory text identification (e.g., “SCRAP” / “REJECT”) and physical locking control (padlock).</v>
      </c>
      <c r="D130" s="1019">
        <f>Questions!D162</f>
        <v>4</v>
      </c>
    </row>
    <row r="131" spans="2:4" ht="25.5">
      <c r="B131" s="1020" t="s">
        <v>921</v>
      </c>
      <c r="C131" s="1018" t="str">
        <f>Questions!E163</f>
        <v>No weakness identified</v>
      </c>
      <c r="D131" s="1019">
        <f>Questions!D163</f>
        <v>10</v>
      </c>
    </row>
    <row r="132" spans="2:4" ht="25.5">
      <c r="B132" s="1020" t="s">
        <v>922</v>
      </c>
      <c r="C132" s="1018" t="str">
        <f>Questions!E164</f>
        <v>Description of non conformance (mandatory)</v>
      </c>
      <c r="D132" s="1019" t="str">
        <f>Questions!D164</f>
        <v>n.e.</v>
      </c>
    </row>
    <row r="133" spans="2:4" ht="25.5">
      <c r="B133" s="1020" t="s">
        <v>923</v>
      </c>
      <c r="C133" s="1018" t="str">
        <f>Questions!E165</f>
        <v>Description of non conformance (mandatory)</v>
      </c>
      <c r="D133" s="1019" t="str">
        <f>Questions!D165</f>
        <v>n.e.</v>
      </c>
    </row>
    <row r="134" spans="2:4" ht="25.5">
      <c r="B134" s="1020" t="s">
        <v>924</v>
      </c>
      <c r="C134" s="1018" t="str">
        <f>Questions!E166</f>
        <v>Description of non conformance (mandatory)</v>
      </c>
      <c r="D134" s="1019" t="str">
        <f>Questions!D166</f>
        <v>n.e.</v>
      </c>
    </row>
    <row r="135" spans="2:4" ht="25.5">
      <c r="B135" s="1020" t="s">
        <v>925</v>
      </c>
      <c r="C135" s="1018" t="str">
        <f>Questions!E167</f>
        <v>Description of non conformance (mandatory)</v>
      </c>
      <c r="D135" s="1019" t="str">
        <f>Questions!D167</f>
        <v>n.e.</v>
      </c>
    </row>
    <row r="136" spans="2:4" ht="25.5">
      <c r="B136" s="1020" t="s">
        <v>926</v>
      </c>
      <c r="C136" s="1018" t="str">
        <f>Questions!E168</f>
        <v>Description of non conformance (mandatory)</v>
      </c>
      <c r="D136" s="1019" t="str">
        <f>Questions!D168</f>
        <v>n.e.</v>
      </c>
    </row>
    <row r="137" spans="2:4" ht="25.5">
      <c r="B137" s="1020" t="s">
        <v>927</v>
      </c>
      <c r="C137" s="1018" t="str">
        <f>Questions!E169</f>
        <v>Description of non conformance (mandatory)</v>
      </c>
      <c r="D137" s="1019" t="str">
        <f>Questions!D169</f>
        <v>n.e.</v>
      </c>
    </row>
    <row r="138" spans="2:4" ht="25.5">
      <c r="B138" s="1020" t="s">
        <v>928</v>
      </c>
      <c r="C138" s="1018" t="str">
        <f>Questions!E170</f>
        <v>Description of non conformance (mandatory)</v>
      </c>
      <c r="D138" s="1019" t="str">
        <f>Questions!D170</f>
        <v>n.e.</v>
      </c>
    </row>
    <row r="139" spans="2:4" ht="38.25">
      <c r="B139" s="1020" t="s">
        <v>929</v>
      </c>
      <c r="C139" s="1018" t="str">
        <f>Questions!E172</f>
        <v>No weakness identified</v>
      </c>
      <c r="D139" s="1019">
        <f>Questions!D172</f>
        <v>10</v>
      </c>
    </row>
    <row r="140" spans="2:4" ht="51">
      <c r="B140" s="1020" t="s">
        <v>930</v>
      </c>
      <c r="C140" s="1018" t="str">
        <f>Questions!E173</f>
        <v>Pallets without identification were used to feed the chrome plating  process, increasing the risk of part mix-up.</v>
      </c>
      <c r="D140" s="1019">
        <f>Questions!D173</f>
        <v>4</v>
      </c>
    </row>
    <row r="141" spans="2:4" ht="38.25">
      <c r="B141" s="1020" t="s">
        <v>931</v>
      </c>
      <c r="C141" s="1018" t="str">
        <f>Questions!E174</f>
        <v>No weakness identified</v>
      </c>
      <c r="D141" s="1019">
        <f>Questions!D174</f>
        <v>10</v>
      </c>
    </row>
    <row r="142" spans="2:4" ht="38.25">
      <c r="B142" s="1020" t="s">
        <v>932</v>
      </c>
      <c r="C142" s="1018" t="str">
        <f>Questions!E175</f>
        <v>Description of non conformance (mandatory)</v>
      </c>
      <c r="D142" s="1019" t="str">
        <f>Questions!D175</f>
        <v>n.e.</v>
      </c>
    </row>
    <row r="143" spans="2:4" ht="38.25">
      <c r="B143" s="1020" t="s">
        <v>933</v>
      </c>
      <c r="C143" s="1018" t="str">
        <f>Questions!E176</f>
        <v>Description of non conformance (mandatory)</v>
      </c>
      <c r="D143" s="1019" t="str">
        <f>Questions!D176</f>
        <v>n.e.</v>
      </c>
    </row>
    <row r="144" spans="2:4" ht="38.25">
      <c r="B144" s="1020" t="s">
        <v>934</v>
      </c>
      <c r="C144" s="1018" t="str">
        <f>Questions!E177</f>
        <v>Description of non conformance (mandatory)</v>
      </c>
      <c r="D144" s="1019" t="str">
        <f>Questions!D177</f>
        <v>n.e.</v>
      </c>
    </row>
    <row r="145" spans="2:4" ht="38.25">
      <c r="B145" s="1020" t="s">
        <v>935</v>
      </c>
      <c r="C145" s="1018" t="str">
        <f>Questions!E178</f>
        <v>Description of non conformance (mandatory)</v>
      </c>
      <c r="D145" s="1019" t="str">
        <f>Questions!D178</f>
        <v>n.e.</v>
      </c>
    </row>
    <row r="146" spans="2:4" ht="38.25">
      <c r="B146" s="1020" t="s">
        <v>936</v>
      </c>
      <c r="C146" s="1018" t="str">
        <f>Questions!E179</f>
        <v>Description of non conformance (mandatory)</v>
      </c>
      <c r="D146" s="1019" t="str">
        <f>Questions!D179</f>
        <v>n.e.</v>
      </c>
    </row>
    <row r="147" spans="2:4" ht="38.25">
      <c r="B147" s="1020" t="s">
        <v>937</v>
      </c>
      <c r="C147" s="1018" t="e">
        <f>Questions!#REF!</f>
        <v>#REF!</v>
      </c>
      <c r="D147" s="1019" t="e">
        <f>Questions!#REF!</f>
        <v>#REF!</v>
      </c>
    </row>
    <row r="148" spans="2:4" ht="38.25">
      <c r="B148" s="1020" t="s">
        <v>938</v>
      </c>
      <c r="C148" s="1018" t="e">
        <f>Questions!#REF!</f>
        <v>#REF!</v>
      </c>
      <c r="D148" s="1019" t="e">
        <f>Questions!#REF!</f>
        <v>#REF!</v>
      </c>
    </row>
    <row r="149" spans="2:4" ht="25.5">
      <c r="B149" s="1020" t="s">
        <v>939</v>
      </c>
      <c r="C149" s="1018" t="str">
        <f>Questions!E182</f>
        <v>Please rate!</v>
      </c>
      <c r="D149" s="1019" t="str">
        <f>Questions!D182</f>
        <v>n.e.</v>
      </c>
    </row>
    <row r="150" spans="2:4" ht="51">
      <c r="B150" s="1020" t="s">
        <v>940</v>
      </c>
      <c r="C150" s="1018" t="str">
        <f>Questions!E183</f>
        <v>Chrome plating  process operators do not follow the instruction wich not allow to load and unload more than 4 pistons at the same time.</v>
      </c>
      <c r="D150" s="1019" t="str">
        <f>Questions!D183</f>
        <v>n.e.</v>
      </c>
    </row>
    <row r="151" spans="2:4" ht="25.5">
      <c r="B151" s="1020" t="s">
        <v>941</v>
      </c>
      <c r="C151" s="1018" t="str">
        <f>Questions!E184</f>
        <v>Please rate!</v>
      </c>
      <c r="D151" s="1019" t="str">
        <f>Questions!D184</f>
        <v>n.e.</v>
      </c>
    </row>
    <row r="152" spans="2:4" ht="25.5">
      <c r="B152" s="1020" t="s">
        <v>942</v>
      </c>
      <c r="C152" s="1018" t="str">
        <f>Questions!E185</f>
        <v>Description of non conformance (mandatory)</v>
      </c>
      <c r="D152" s="1019" t="str">
        <f>Questions!D185</f>
        <v>n.e.</v>
      </c>
    </row>
    <row r="153" spans="2:4" ht="25.5">
      <c r="B153" s="1020" t="s">
        <v>943</v>
      </c>
      <c r="C153" s="1018" t="str">
        <f>Questions!E186</f>
        <v>Description of non conformance (mandatory)</v>
      </c>
      <c r="D153" s="1019" t="str">
        <f>Questions!D186</f>
        <v>n.e.</v>
      </c>
    </row>
    <row r="154" spans="2:4" ht="25.5">
      <c r="B154" s="1020" t="s">
        <v>944</v>
      </c>
      <c r="C154" s="1018" t="str">
        <f>Questions!E187</f>
        <v>Description of non conformance (mandatory)</v>
      </c>
      <c r="D154" s="1019" t="str">
        <f>Questions!D187</f>
        <v>n.e.</v>
      </c>
    </row>
    <row r="155" spans="2:4" ht="25.5">
      <c r="B155" s="1020" t="s">
        <v>945</v>
      </c>
      <c r="C155" s="1018" t="str">
        <f>Questions!E188</f>
        <v>Description of non conformance (mandatory)</v>
      </c>
      <c r="D155" s="1019" t="str">
        <f>Questions!D188</f>
        <v>n.e.</v>
      </c>
    </row>
    <row r="156" spans="2:4" ht="25.5">
      <c r="B156" s="1020" t="s">
        <v>946</v>
      </c>
      <c r="C156" s="1018" t="str">
        <f>Questions!E189</f>
        <v>Description of non conformance (mandatory)</v>
      </c>
      <c r="D156" s="1019" t="str">
        <f>Questions!D189</f>
        <v>n.e.</v>
      </c>
    </row>
    <row r="157" spans="2:4" ht="25.5">
      <c r="B157" s="1020" t="s">
        <v>947</v>
      </c>
      <c r="C157" s="1018" t="str">
        <f>Questions!E190</f>
        <v>Description of non conformance (mandatory)</v>
      </c>
      <c r="D157" s="1019" t="str">
        <f>Questions!D190</f>
        <v>n.e.</v>
      </c>
    </row>
    <row r="158" spans="2:4" ht="25.5">
      <c r="B158" s="1020" t="s">
        <v>948</v>
      </c>
      <c r="C158" s="1018" t="str">
        <f>Questions!E191</f>
        <v>Description of non conformance (mandatory)</v>
      </c>
      <c r="D158" s="1019" t="str">
        <f>Questions!D191</f>
        <v>n.e.</v>
      </c>
    </row>
    <row r="159" spans="2:4" ht="51">
      <c r="B159" s="1020" t="s">
        <v>949</v>
      </c>
      <c r="C159" s="1018" t="str">
        <f>Questions!E193</f>
        <v>No weakness identified</v>
      </c>
      <c r="D159" s="1019">
        <f>Questions!D193</f>
        <v>10</v>
      </c>
    </row>
    <row r="160" spans="2:4" ht="51">
      <c r="B160" s="1020" t="s">
        <v>950</v>
      </c>
      <c r="C160" s="1018" t="str">
        <f>Questions!E194</f>
        <v>Safety and important characteristic are not identified by some operators.</v>
      </c>
      <c r="D160" s="1019">
        <f>Questions!D194</f>
        <v>6</v>
      </c>
    </row>
    <row r="161" spans="2:4" ht="51">
      <c r="B161" s="1020" t="s">
        <v>951</v>
      </c>
      <c r="C161" s="1018" t="str">
        <f>Questions!E195</f>
        <v>No weakness identified</v>
      </c>
      <c r="D161" s="1019">
        <f>Questions!D195</f>
        <v>10</v>
      </c>
    </row>
    <row r="162" spans="2:4" ht="51">
      <c r="B162" s="1020" t="s">
        <v>952</v>
      </c>
      <c r="C162" s="1018" t="str">
        <f>Questions!E196</f>
        <v>Description of non conformance (mandatory)</v>
      </c>
      <c r="D162" s="1019" t="str">
        <f>Questions!D196</f>
        <v>n.e.</v>
      </c>
    </row>
    <row r="163" spans="2:4" ht="51">
      <c r="B163" s="1020" t="s">
        <v>953</v>
      </c>
      <c r="C163" s="1018" t="str">
        <f>Questions!E197</f>
        <v>Description of non conformance (mandatory)</v>
      </c>
      <c r="D163" s="1019" t="str">
        <f>Questions!D197</f>
        <v>n.e.</v>
      </c>
    </row>
    <row r="164" spans="2:4" ht="51">
      <c r="B164" s="1020" t="s">
        <v>954</v>
      </c>
      <c r="C164" s="1018" t="str">
        <f>Questions!E198</f>
        <v>Description of non conformance (mandatory)</v>
      </c>
      <c r="D164" s="1019" t="str">
        <f>Questions!D198</f>
        <v>n.e.</v>
      </c>
    </row>
    <row r="165" spans="2:4" ht="51">
      <c r="B165" s="1020" t="s">
        <v>955</v>
      </c>
      <c r="C165" s="1018" t="str">
        <f>Questions!E199</f>
        <v>Description of non conformance (mandatory)</v>
      </c>
      <c r="D165" s="1019" t="str">
        <f>Questions!D199</f>
        <v>n.e.</v>
      </c>
    </row>
    <row r="166" spans="2:4" ht="51">
      <c r="B166" s="1020" t="s">
        <v>956</v>
      </c>
      <c r="C166" s="1018" t="str">
        <f>Questions!E200</f>
        <v>Description of non conformance (mandatory)</v>
      </c>
      <c r="D166" s="1019" t="str">
        <f>Questions!D200</f>
        <v>n.e.</v>
      </c>
    </row>
    <row r="167" spans="2:4" ht="51">
      <c r="B167" s="1020" t="s">
        <v>957</v>
      </c>
      <c r="C167" s="1018" t="str">
        <f>Questions!E201</f>
        <v>Description of non conformance (mandatory)</v>
      </c>
      <c r="D167" s="1019" t="str">
        <f>Questions!D201</f>
        <v>n.e.</v>
      </c>
    </row>
    <row r="168" spans="2:4" ht="51">
      <c r="B168" s="1020" t="s">
        <v>958</v>
      </c>
      <c r="C168" s="1018" t="str">
        <f>Questions!E202</f>
        <v>Description of non conformance (mandatory)</v>
      </c>
      <c r="D168" s="1019" t="str">
        <f>Questions!D202</f>
        <v>n.e.</v>
      </c>
    </row>
    <row r="169" spans="2:4" ht="25.5">
      <c r="B169" s="1020" t="s">
        <v>959</v>
      </c>
      <c r="C169" s="1018" t="str">
        <f>Questions!E204</f>
        <v>No weakness identified</v>
      </c>
      <c r="D169" s="1019">
        <f>Questions!D204</f>
        <v>10</v>
      </c>
    </row>
    <row r="170" spans="2:4" ht="51">
      <c r="B170" s="1020" t="s">
        <v>960</v>
      </c>
      <c r="C170" s="1018" t="str">
        <f>Questions!E205</f>
        <v>The allocation of one Quality Auditor per shift for the entire factory appears insufficient to ensure effective quality monitoring and process follow-up.</v>
      </c>
      <c r="D170" s="1019">
        <f>Questions!D205</f>
        <v>4</v>
      </c>
    </row>
    <row r="171" spans="2:4" ht="25.5">
      <c r="B171" s="1020" t="s">
        <v>961</v>
      </c>
      <c r="C171" s="1018" t="str">
        <f>Questions!E206</f>
        <v>No weakness identified</v>
      </c>
      <c r="D171" s="1019">
        <f>Questions!D206</f>
        <v>10</v>
      </c>
    </row>
    <row r="172" spans="2:4" ht="25.5">
      <c r="B172" s="1020" t="s">
        <v>962</v>
      </c>
      <c r="C172" s="1018" t="str">
        <f>Questions!E207</f>
        <v>Description of non conformance (mandatory)</v>
      </c>
      <c r="D172" s="1019" t="str">
        <f>Questions!D207</f>
        <v>n.e.</v>
      </c>
    </row>
    <row r="173" spans="2:4" ht="25.5">
      <c r="B173" s="1020" t="s">
        <v>963</v>
      </c>
      <c r="C173" s="1018" t="str">
        <f>Questions!E208</f>
        <v>Description of non conformance (mandatory)</v>
      </c>
      <c r="D173" s="1019" t="str">
        <f>Questions!D208</f>
        <v>n.e.</v>
      </c>
    </row>
    <row r="174" spans="2:4" ht="25.5">
      <c r="B174" s="1020" t="s">
        <v>964</v>
      </c>
      <c r="C174" s="1018" t="str">
        <f>Questions!E209</f>
        <v>Description of non conformance (mandatory)</v>
      </c>
      <c r="D174" s="1019" t="str">
        <f>Questions!D209</f>
        <v>n.e.</v>
      </c>
    </row>
    <row r="175" spans="2:4" ht="25.5">
      <c r="B175" s="1020" t="s">
        <v>965</v>
      </c>
      <c r="C175" s="1018" t="str">
        <f>Questions!E210</f>
        <v>Description of non conformance (mandatory)</v>
      </c>
      <c r="D175" s="1019" t="str">
        <f>Questions!D210</f>
        <v>n.e.</v>
      </c>
    </row>
    <row r="176" spans="2:4" ht="25.5">
      <c r="B176" s="1020" t="s">
        <v>966</v>
      </c>
      <c r="C176" s="1018" t="str">
        <f>Questions!E211</f>
        <v>Description of non conformance (mandatory)</v>
      </c>
      <c r="D176" s="1019" t="str">
        <f>Questions!D211</f>
        <v>n.e.</v>
      </c>
    </row>
    <row r="177" spans="2:4" ht="25.5">
      <c r="B177" s="1020" t="s">
        <v>967</v>
      </c>
      <c r="C177" s="1018" t="str">
        <f>Questions!E212</f>
        <v>Description of non conformance (mandatory)</v>
      </c>
      <c r="D177" s="1019" t="str">
        <f>Questions!D212</f>
        <v>n.e.</v>
      </c>
    </row>
    <row r="178" spans="2:4" ht="25.5">
      <c r="B178" s="1020" t="s">
        <v>968</v>
      </c>
      <c r="C178" s="1018" t="str">
        <f>Questions!E213</f>
        <v>Description of non conformance (mandatory)</v>
      </c>
      <c r="D178" s="1019" t="str">
        <f>Questions!D213</f>
        <v>n.e.</v>
      </c>
    </row>
    <row r="179" spans="2:4" ht="38.25">
      <c r="B179" s="1020" t="s">
        <v>969</v>
      </c>
      <c r="C179" s="1018" t="str">
        <f>Questions!E216</f>
        <v>No weakness identified</v>
      </c>
      <c r="D179" s="1019">
        <f>Questions!D216</f>
        <v>10</v>
      </c>
    </row>
    <row r="180" spans="2:4" ht="38.25">
      <c r="B180" s="1020" t="s">
        <v>970</v>
      </c>
      <c r="C180" s="1018" t="str">
        <f>Questions!E217</f>
        <v>No weakness identified</v>
      </c>
      <c r="D180" s="1019">
        <f>Questions!D217</f>
        <v>10</v>
      </c>
    </row>
    <row r="181" spans="2:4" ht="38.25">
      <c r="B181" s="1020" t="s">
        <v>971</v>
      </c>
      <c r="C181" s="1018" t="str">
        <f>Questions!E218</f>
        <v>No weakness identified</v>
      </c>
      <c r="D181" s="1019">
        <f>Questions!D218</f>
        <v>10</v>
      </c>
    </row>
    <row r="182" spans="2:4" ht="38.25">
      <c r="B182" s="1020" t="s">
        <v>972</v>
      </c>
      <c r="C182" s="1018" t="str">
        <f>Questions!E219</f>
        <v>Description of non conformance (mandatory)</v>
      </c>
      <c r="D182" s="1019" t="str">
        <f>Questions!D219</f>
        <v>n.e.</v>
      </c>
    </row>
    <row r="183" spans="2:4" ht="38.25">
      <c r="B183" s="1020" t="s">
        <v>973</v>
      </c>
      <c r="C183" s="1018" t="str">
        <f>Questions!E220</f>
        <v>Description of non conformance (mandatory)</v>
      </c>
      <c r="D183" s="1019" t="str">
        <f>Questions!D220</f>
        <v>n.e.</v>
      </c>
    </row>
    <row r="184" spans="2:4" ht="38.25">
      <c r="B184" s="1020" t="s">
        <v>974</v>
      </c>
      <c r="C184" s="1018" t="str">
        <f>Questions!E221</f>
        <v>Description of non conformance (mandatory)</v>
      </c>
      <c r="D184" s="1019" t="str">
        <f>Questions!D221</f>
        <v>n.e.</v>
      </c>
    </row>
    <row r="185" spans="2:4" ht="38.25">
      <c r="B185" s="1020" t="s">
        <v>975</v>
      </c>
      <c r="C185" s="1018" t="str">
        <f>Questions!E222</f>
        <v>Description of non conformance (mandatory)</v>
      </c>
      <c r="D185" s="1019" t="str">
        <f>Questions!D222</f>
        <v>n.e.</v>
      </c>
    </row>
    <row r="186" spans="2:4" ht="38.25">
      <c r="B186" s="1020" t="s">
        <v>976</v>
      </c>
      <c r="C186" s="1018" t="str">
        <f>Questions!E223</f>
        <v>Description of non conformance (mandatory)</v>
      </c>
      <c r="D186" s="1019" t="str">
        <f>Questions!D223</f>
        <v>n.e.</v>
      </c>
    </row>
    <row r="187" spans="2:4" ht="38.25">
      <c r="B187" s="1020" t="s">
        <v>977</v>
      </c>
      <c r="C187" s="1018" t="str">
        <f>Questions!E224</f>
        <v>Description of non conformance (mandatory)</v>
      </c>
      <c r="D187" s="1019" t="str">
        <f>Questions!D224</f>
        <v>n.e.</v>
      </c>
    </row>
    <row r="188" spans="2:4" ht="38.25">
      <c r="B188" s="1020" t="s">
        <v>978</v>
      </c>
      <c r="C188" s="1018" t="str">
        <f>Questions!E225</f>
        <v>Description of non conformance (mandatory)</v>
      </c>
      <c r="D188" s="1019" t="str">
        <f>Questions!D225</f>
        <v>n.e.</v>
      </c>
    </row>
    <row r="189" spans="2:4" ht="38.25">
      <c r="B189" s="1020" t="s">
        <v>979</v>
      </c>
      <c r="C189" s="1018" t="str">
        <f>Questions!E227</f>
        <v>No weakness identified</v>
      </c>
      <c r="D189" s="1019">
        <f>Questions!D227</f>
        <v>10</v>
      </c>
    </row>
    <row r="190" spans="2:4" ht="165.75">
      <c r="B190" s="1020" t="s">
        <v>980</v>
      </c>
      <c r="C190" s="1018" t="str">
        <f>Questions!E228</f>
        <v>A camera-based piston discrimination system at the machining station was found malfunctioning during our visit, causing repeated line jams and pistons falling to the floor. No maintenance intervention, incident log, or corrective action was evidenced during the entire observation period. The operator continued production without halting the line or alerting maintenance, indicating the absence of a defined reaction plan for equipment failure at this station.</v>
      </c>
      <c r="D190" s="1019">
        <f>Questions!D228</f>
        <v>4</v>
      </c>
    </row>
    <row r="191" spans="2:4" ht="38.25">
      <c r="B191" s="1020" t="s">
        <v>981</v>
      </c>
      <c r="C191" s="1018" t="str">
        <f>Questions!E229</f>
        <v>No weakness identified</v>
      </c>
      <c r="D191" s="1019">
        <f>Questions!D229</f>
        <v>10</v>
      </c>
    </row>
    <row r="192" spans="2:4" ht="38.25">
      <c r="B192" s="1020" t="s">
        <v>982</v>
      </c>
      <c r="C192" s="1018" t="str">
        <f>Questions!E230</f>
        <v>Description of non conformance (mandatory)</v>
      </c>
      <c r="D192" s="1019" t="str">
        <f>Questions!D230</f>
        <v>n.e.</v>
      </c>
    </row>
    <row r="193" spans="2:4" ht="38.25">
      <c r="B193" s="1020" t="s">
        <v>983</v>
      </c>
      <c r="C193" s="1018" t="str">
        <f>Questions!E231</f>
        <v>Description of non conformance (mandatory)</v>
      </c>
      <c r="D193" s="1019" t="str">
        <f>Questions!D231</f>
        <v>n.e.</v>
      </c>
    </row>
    <row r="194" spans="2:4" ht="38.25">
      <c r="B194" s="1020" t="s">
        <v>984</v>
      </c>
      <c r="C194" s="1018" t="str">
        <f>Questions!E232</f>
        <v>Description of non conformance (mandatory)</v>
      </c>
      <c r="D194" s="1019" t="str">
        <f>Questions!D232</f>
        <v>n.e.</v>
      </c>
    </row>
    <row r="195" spans="2:4" ht="38.25">
      <c r="B195" s="1020" t="s">
        <v>985</v>
      </c>
      <c r="C195" s="1018" t="str">
        <f>Questions!E233</f>
        <v>Description of non conformance (mandatory)</v>
      </c>
      <c r="D195" s="1019" t="str">
        <f>Questions!D233</f>
        <v>n.e.</v>
      </c>
    </row>
    <row r="196" spans="2:4" ht="38.25">
      <c r="B196" s="1020" t="s">
        <v>986</v>
      </c>
      <c r="C196" s="1018" t="str">
        <f>Questions!E234</f>
        <v>Description of non conformance (mandatory)</v>
      </c>
      <c r="D196" s="1019" t="str">
        <f>Questions!D234</f>
        <v>n.e.</v>
      </c>
    </row>
    <row r="197" spans="2:4" ht="38.25">
      <c r="B197" s="1020" t="s">
        <v>987</v>
      </c>
      <c r="C197" s="1018" t="str">
        <f>Questions!E235</f>
        <v>Description of non conformance (mandatory)</v>
      </c>
      <c r="D197" s="1019" t="str">
        <f>Questions!D235</f>
        <v>n.e.</v>
      </c>
    </row>
    <row r="198" spans="2:4" ht="38.25">
      <c r="B198" s="1020" t="s">
        <v>988</v>
      </c>
      <c r="C198" s="1018" t="str">
        <f>Questions!E236</f>
        <v>Description of non conformance (mandatory)</v>
      </c>
      <c r="D198" s="1019" t="str">
        <f>Questions!D236</f>
        <v>n.e.</v>
      </c>
    </row>
    <row r="199" spans="2:4" ht="51">
      <c r="B199" s="1020" t="s">
        <v>989</v>
      </c>
      <c r="C199" s="1018" t="str">
        <f>Questions!E238</f>
        <v>No weakness identified</v>
      </c>
      <c r="D199" s="1019">
        <f>Questions!D238</f>
        <v>10</v>
      </c>
    </row>
    <row r="200" spans="2:4" ht="51">
      <c r="B200" s="1020" t="s">
        <v>990</v>
      </c>
      <c r="C200" s="1018" t="str">
        <f>Questions!E239</f>
        <v>The current camera system used for scratch detection is outdated and may not be adequate to ensure effective defect detection. Upgrade its ongoing.</v>
      </c>
      <c r="D200" s="1019">
        <f>Questions!D239</f>
        <v>6</v>
      </c>
    </row>
    <row r="201" spans="2:4" ht="51">
      <c r="B201" s="1020" t="s">
        <v>991</v>
      </c>
      <c r="C201" s="1018" t="str">
        <f>Questions!E240</f>
        <v>No weakness identified</v>
      </c>
      <c r="D201" s="1019">
        <f>Questions!D240</f>
        <v>10</v>
      </c>
    </row>
    <row r="202" spans="2:4" ht="51">
      <c r="B202" s="1020" t="s">
        <v>992</v>
      </c>
      <c r="C202" s="1018" t="str">
        <f>Questions!E241</f>
        <v>Description of non conformance (mandatory)</v>
      </c>
      <c r="D202" s="1019" t="str">
        <f>Questions!D241</f>
        <v>n.e.</v>
      </c>
    </row>
    <row r="203" spans="2:4" ht="51">
      <c r="B203" s="1020" t="s">
        <v>993</v>
      </c>
      <c r="C203" s="1018" t="str">
        <f>Questions!E242</f>
        <v>Description of non conformance (mandatory)</v>
      </c>
      <c r="D203" s="1019" t="str">
        <f>Questions!D242</f>
        <v>n.e.</v>
      </c>
    </row>
    <row r="204" spans="2:4" ht="51">
      <c r="B204" s="1020" t="s">
        <v>994</v>
      </c>
      <c r="C204" s="1018" t="str">
        <f>Questions!E243</f>
        <v>Description of non conformance (mandatory)</v>
      </c>
      <c r="D204" s="1019" t="str">
        <f>Questions!D243</f>
        <v>n.e.</v>
      </c>
    </row>
    <row r="205" spans="2:4" ht="51">
      <c r="B205" s="1020" t="s">
        <v>995</v>
      </c>
      <c r="C205" s="1018" t="str">
        <f>Questions!E244</f>
        <v>Description of non conformance (mandatory)</v>
      </c>
      <c r="D205" s="1019" t="str">
        <f>Questions!D244</f>
        <v>n.e.</v>
      </c>
    </row>
    <row r="206" spans="2:4" ht="51">
      <c r="B206" s="1020" t="s">
        <v>996</v>
      </c>
      <c r="C206" s="1018" t="str">
        <f>Questions!E245</f>
        <v>Description of non conformance (mandatory)</v>
      </c>
      <c r="D206" s="1019" t="str">
        <f>Questions!D245</f>
        <v>n.e.</v>
      </c>
    </row>
    <row r="207" spans="2:4" ht="51">
      <c r="B207" s="1020" t="s">
        <v>997</v>
      </c>
      <c r="C207" s="1018" t="str">
        <f>Questions!E246</f>
        <v>Description of non conformance (mandatory)</v>
      </c>
      <c r="D207" s="1019" t="str">
        <f>Questions!D246</f>
        <v>n.e.</v>
      </c>
    </row>
    <row r="208" spans="2:4" ht="51">
      <c r="B208" s="1020" t="s">
        <v>998</v>
      </c>
      <c r="C208" s="1018" t="str">
        <f>Questions!E247</f>
        <v>Description of non conformance (mandatory)</v>
      </c>
      <c r="D208" s="1019" t="str">
        <f>Questions!D247</f>
        <v>n.e.</v>
      </c>
    </row>
    <row r="209" spans="2:4" ht="38.25">
      <c r="B209" s="1020" t="s">
        <v>999</v>
      </c>
      <c r="C209" s="1018" t="str">
        <f>Questions!E249</f>
        <v>No weakness identified</v>
      </c>
      <c r="D209" s="1019">
        <f>Questions!D249</f>
        <v>10</v>
      </c>
    </row>
    <row r="210" spans="2:4" ht="51">
      <c r="B210" s="1020" t="s">
        <v>1000</v>
      </c>
      <c r="C210" s="1018" t="str">
        <f>Questions!E250</f>
        <v>Insufficient implementation of 5S was observed in the machining process, potentially affecting process stability and quality control.</v>
      </c>
      <c r="D210" s="1019">
        <f>Questions!D250</f>
        <v>6</v>
      </c>
    </row>
    <row r="211" spans="2:4" ht="38.25">
      <c r="B211" s="1020" t="s">
        <v>1001</v>
      </c>
      <c r="C211" s="1018" t="str">
        <f>Questions!E251</f>
        <v>No weakness identified</v>
      </c>
      <c r="D211" s="1019">
        <f>Questions!D251</f>
        <v>10</v>
      </c>
    </row>
    <row r="212" spans="2:4" ht="38.25">
      <c r="B212" s="1020" t="s">
        <v>1002</v>
      </c>
      <c r="C212" s="1018" t="str">
        <f>Questions!E252</f>
        <v>Description of non conformance (mandatory)</v>
      </c>
      <c r="D212" s="1019" t="str">
        <f>Questions!D252</f>
        <v>n.e.</v>
      </c>
    </row>
    <row r="213" spans="2:4" ht="38.25">
      <c r="B213" s="1020" t="s">
        <v>1003</v>
      </c>
      <c r="C213" s="1018" t="str">
        <f>Questions!E253</f>
        <v>Description of non conformance (mandatory)</v>
      </c>
      <c r="D213" s="1019" t="str">
        <f>Questions!D253</f>
        <v>n.e.</v>
      </c>
    </row>
    <row r="214" spans="2:4" ht="38.25">
      <c r="B214" s="1020" t="s">
        <v>1004</v>
      </c>
      <c r="C214" s="1018" t="str">
        <f>Questions!E254</f>
        <v>Description of non conformance (mandatory)</v>
      </c>
      <c r="D214" s="1019" t="str">
        <f>Questions!D254</f>
        <v>n.e.</v>
      </c>
    </row>
    <row r="215" spans="2:4" ht="38.25">
      <c r="B215" s="1020" t="s">
        <v>1005</v>
      </c>
      <c r="C215" s="1018" t="str">
        <f>Questions!E255</f>
        <v>Description of non conformance (mandatory)</v>
      </c>
      <c r="D215" s="1019" t="str">
        <f>Questions!D255</f>
        <v>n.e.</v>
      </c>
    </row>
    <row r="216" spans="2:4" ht="38.25">
      <c r="B216" s="1020" t="s">
        <v>1006</v>
      </c>
      <c r="C216" s="1018" t="str">
        <f>Questions!E256</f>
        <v>Description of non conformance (mandatory)</v>
      </c>
      <c r="D216" s="1019" t="str">
        <f>Questions!D256</f>
        <v>n.e.</v>
      </c>
    </row>
    <row r="217" spans="2:4" ht="38.25">
      <c r="B217" s="1020" t="s">
        <v>1007</v>
      </c>
      <c r="C217" s="1018" t="str">
        <f>Questions!E257</f>
        <v>Description of non conformance (mandatory)</v>
      </c>
      <c r="D217" s="1019" t="str">
        <f>Questions!D257</f>
        <v>n.e.</v>
      </c>
    </row>
    <row r="218" spans="2:4" ht="38.25">
      <c r="B218" s="1020" t="s">
        <v>1008</v>
      </c>
      <c r="C218" s="1018" t="str">
        <f>Questions!E258</f>
        <v>Description of non conformance (mandatory)</v>
      </c>
      <c r="D218" s="1019" t="str">
        <f>Questions!D258</f>
        <v>n.e.</v>
      </c>
    </row>
    <row r="219" spans="2:4" ht="25.5">
      <c r="B219" s="1020" t="s">
        <v>1009</v>
      </c>
      <c r="C219" s="1018" t="str">
        <f>Questions!E260</f>
        <v>No weakness identified</v>
      </c>
      <c r="D219" s="1019">
        <f>Questions!D260</f>
        <v>10</v>
      </c>
    </row>
    <row r="220" spans="2:4" ht="89.25">
      <c r="B220" s="1020" t="s">
        <v>1010</v>
      </c>
      <c r="C220" s="1018" t="str">
        <f>Questions!E261</f>
        <v>5S standards were found not to be maintained at the production line. The workstation presented visible disorder and cleanliness issues, indicating that 5S audits are either not being conducted or not being effectively enforced.</v>
      </c>
      <c r="D220" s="1019">
        <f>Questions!D261</f>
        <v>6</v>
      </c>
    </row>
    <row r="221" spans="2:4" ht="25.5">
      <c r="B221" s="1020" t="s">
        <v>1011</v>
      </c>
      <c r="C221" s="1018" t="str">
        <f>Questions!E262</f>
        <v>No weakness identified</v>
      </c>
      <c r="D221" s="1019">
        <f>Questions!D262</f>
        <v>10</v>
      </c>
    </row>
    <row r="222" spans="2:4" ht="25.5">
      <c r="B222" s="1020" t="s">
        <v>1012</v>
      </c>
      <c r="C222" s="1018" t="str">
        <f>Questions!E263</f>
        <v>Description of non conformance (mandatory)</v>
      </c>
      <c r="D222" s="1019" t="str">
        <f>Questions!D263</f>
        <v>n.e.</v>
      </c>
    </row>
    <row r="223" spans="2:4" ht="25.5">
      <c r="B223" s="1020" t="s">
        <v>1013</v>
      </c>
      <c r="C223" s="1018" t="str">
        <f>Questions!E264</f>
        <v>Description of non conformance (mandatory)</v>
      </c>
      <c r="D223" s="1019" t="str">
        <f>Questions!D264</f>
        <v>n.e.</v>
      </c>
    </row>
    <row r="224" spans="2:4" ht="25.5">
      <c r="B224" s="1020" t="s">
        <v>1014</v>
      </c>
      <c r="C224" s="1018" t="str">
        <f>Questions!E265</f>
        <v>Description of non conformance (mandatory)</v>
      </c>
      <c r="D224" s="1019" t="str">
        <f>Questions!D265</f>
        <v>n.e.</v>
      </c>
    </row>
    <row r="225" spans="2:4" ht="25.5">
      <c r="B225" s="1020" t="s">
        <v>1015</v>
      </c>
      <c r="C225" s="1018" t="str">
        <f>Questions!E266</f>
        <v>Description of non conformance (mandatory)</v>
      </c>
      <c r="D225" s="1019" t="str">
        <f>Questions!D266</f>
        <v>n.e.</v>
      </c>
    </row>
    <row r="226" spans="2:4" ht="25.5">
      <c r="B226" s="1020" t="s">
        <v>1016</v>
      </c>
      <c r="C226" s="1018" t="str">
        <f>Questions!E267</f>
        <v>Description of non conformance (mandatory)</v>
      </c>
      <c r="D226" s="1019" t="str">
        <f>Questions!D267</f>
        <v>n.e.</v>
      </c>
    </row>
    <row r="227" spans="2:4" ht="25.5">
      <c r="B227" s="1020" t="s">
        <v>1017</v>
      </c>
      <c r="C227" s="1018" t="str">
        <f>Questions!E268</f>
        <v>Description of non conformance (mandatory)</v>
      </c>
      <c r="D227" s="1019" t="str">
        <f>Questions!D268</f>
        <v>n.e.</v>
      </c>
    </row>
    <row r="228" spans="2:4" ht="25.5">
      <c r="B228" s="1020" t="s">
        <v>1018</v>
      </c>
      <c r="C228" s="1018" t="str">
        <f>Questions!E269</f>
        <v>Description of non conformance (mandatory)</v>
      </c>
      <c r="D228" s="1019" t="str">
        <f>Questions!D269</f>
        <v>n.e.</v>
      </c>
    </row>
    <row r="229" spans="2:4" ht="25.5">
      <c r="B229" s="1020" t="s">
        <v>1019</v>
      </c>
      <c r="C229" s="1018" t="str">
        <f>Questions!E272</f>
        <v>No weakness identified</v>
      </c>
      <c r="D229" s="1019">
        <f>Questions!D272</f>
        <v>10</v>
      </c>
    </row>
    <row r="230" spans="2:4" ht="51">
      <c r="B230" s="1020" t="s">
        <v>1020</v>
      </c>
      <c r="C230" s="1018" t="str">
        <f>Questions!E273</f>
        <v>In some production lines, operators appear to be overloaded with tasks, which may impact their ability to perform adequate quality controls.</v>
      </c>
      <c r="D230" s="1019">
        <f>Questions!D273</f>
        <v>6</v>
      </c>
    </row>
    <row r="231" spans="2:4" ht="25.5">
      <c r="B231" s="1020" t="s">
        <v>1021</v>
      </c>
      <c r="C231" s="1018" t="str">
        <f>Questions!E274</f>
        <v>No weakness identified</v>
      </c>
      <c r="D231" s="1019">
        <f>Questions!D274</f>
        <v>10</v>
      </c>
    </row>
    <row r="232" spans="2:4" ht="25.5">
      <c r="B232" s="1020" t="s">
        <v>1022</v>
      </c>
      <c r="C232" s="1018" t="str">
        <f>Questions!E275</f>
        <v>Description of non conformance (mandatory)</v>
      </c>
      <c r="D232" s="1019" t="str">
        <f>Questions!D275</f>
        <v>n.e.</v>
      </c>
    </row>
    <row r="233" spans="2:4" ht="25.5">
      <c r="B233" s="1020" t="s">
        <v>1023</v>
      </c>
      <c r="C233" s="1018" t="str">
        <f>Questions!E276</f>
        <v>Description of non conformance (mandatory)</v>
      </c>
      <c r="D233" s="1019" t="str">
        <f>Questions!D276</f>
        <v>n.e.</v>
      </c>
    </row>
    <row r="234" spans="2:4" ht="25.5">
      <c r="B234" s="1020" t="s">
        <v>1024</v>
      </c>
      <c r="C234" s="1018" t="str">
        <f>Questions!E277</f>
        <v>Description of non conformance (mandatory)</v>
      </c>
      <c r="D234" s="1019" t="str">
        <f>Questions!D277</f>
        <v>n.e.</v>
      </c>
    </row>
    <row r="235" spans="2:4" ht="25.5">
      <c r="B235" s="1020" t="s">
        <v>1025</v>
      </c>
      <c r="C235" s="1018" t="str">
        <f>Questions!E278</f>
        <v>Description of non conformance (mandatory)</v>
      </c>
      <c r="D235" s="1019" t="str">
        <f>Questions!D278</f>
        <v>n.e.</v>
      </c>
    </row>
    <row r="236" spans="2:4" ht="25.5">
      <c r="B236" s="1020" t="s">
        <v>1026</v>
      </c>
      <c r="C236" s="1018" t="str">
        <f>Questions!E279</f>
        <v>Description of non conformance (mandatory)</v>
      </c>
      <c r="D236" s="1019" t="str">
        <f>Questions!D279</f>
        <v>n.e.</v>
      </c>
    </row>
    <row r="237" spans="2:4" ht="25.5">
      <c r="B237" s="1020" t="s">
        <v>1027</v>
      </c>
      <c r="C237" s="1018" t="str">
        <f>Questions!E280</f>
        <v>Description of non conformance (mandatory)</v>
      </c>
      <c r="D237" s="1019" t="str">
        <f>Questions!D280</f>
        <v>n.e.</v>
      </c>
    </row>
    <row r="238" spans="2:4" ht="25.5">
      <c r="B238" s="1020" t="s">
        <v>1028</v>
      </c>
      <c r="C238" s="1018" t="str">
        <f>Questions!E281</f>
        <v>Description of non conformance (mandatory)</v>
      </c>
      <c r="D238" s="1019" t="str">
        <f>Questions!D281</f>
        <v>n.e.</v>
      </c>
    </row>
    <row r="239" spans="2:4" ht="25.5">
      <c r="B239" s="1020" t="s">
        <v>1029</v>
      </c>
      <c r="C239" s="1018" t="str">
        <f>Questions!E283</f>
        <v>No weakness identified</v>
      </c>
      <c r="D239" s="1019">
        <f>Questions!D283</f>
        <v>10</v>
      </c>
    </row>
    <row r="240" spans="2:4" ht="25.5">
      <c r="B240" s="1020" t="s">
        <v>1030</v>
      </c>
      <c r="C240" s="1018" t="str">
        <f>Questions!E284</f>
        <v>No weakness identified</v>
      </c>
      <c r="D240" s="1019">
        <f>Questions!D284</f>
        <v>10</v>
      </c>
    </row>
    <row r="241" spans="2:4" ht="25.5">
      <c r="B241" s="1020" t="s">
        <v>1031</v>
      </c>
      <c r="C241" s="1018" t="str">
        <f>Questions!E285</f>
        <v>No weakness identified</v>
      </c>
      <c r="D241" s="1019">
        <f>Questions!D285</f>
        <v>10</v>
      </c>
    </row>
    <row r="242" spans="2:4" ht="25.5">
      <c r="B242" s="1020" t="s">
        <v>1032</v>
      </c>
      <c r="C242" s="1018" t="str">
        <f>Questions!E286</f>
        <v>Description of non conformance (mandatory)</v>
      </c>
      <c r="D242" s="1019" t="str">
        <f>Questions!D286</f>
        <v>n.e.</v>
      </c>
    </row>
    <row r="243" spans="2:4" ht="25.5">
      <c r="B243" s="1020" t="s">
        <v>1033</v>
      </c>
      <c r="C243" s="1018" t="str">
        <f>Questions!E287</f>
        <v>Description of non conformance (mandatory)</v>
      </c>
      <c r="D243" s="1019" t="str">
        <f>Questions!D287</f>
        <v>n.e.</v>
      </c>
    </row>
    <row r="244" spans="2:4" ht="25.5">
      <c r="B244" s="1020" t="s">
        <v>1034</v>
      </c>
      <c r="C244" s="1018" t="str">
        <f>Questions!E288</f>
        <v>Description of non conformance (mandatory)</v>
      </c>
      <c r="D244" s="1019" t="str">
        <f>Questions!D288</f>
        <v>n.e.</v>
      </c>
    </row>
    <row r="245" spans="2:4" ht="25.5">
      <c r="B245" s="1020" t="s">
        <v>1035</v>
      </c>
      <c r="C245" s="1018" t="str">
        <f>Questions!E289</f>
        <v>Description of non conformance (mandatory)</v>
      </c>
      <c r="D245" s="1019" t="str">
        <f>Questions!D289</f>
        <v>n.e.</v>
      </c>
    </row>
    <row r="246" spans="2:4" ht="25.5">
      <c r="B246" s="1020" t="s">
        <v>1036</v>
      </c>
      <c r="C246" s="1018" t="str">
        <f>Questions!E290</f>
        <v>Description of non conformance (mandatory)</v>
      </c>
      <c r="D246" s="1019" t="str">
        <f>Questions!D290</f>
        <v>n.e.</v>
      </c>
    </row>
    <row r="247" spans="2:4" ht="25.5">
      <c r="B247" s="1020" t="s">
        <v>1037</v>
      </c>
      <c r="C247" s="1018" t="str">
        <f>Questions!E291</f>
        <v>Description of non conformance (mandatory)</v>
      </c>
      <c r="D247" s="1019" t="str">
        <f>Questions!D291</f>
        <v>n.e.</v>
      </c>
    </row>
    <row r="248" spans="2:4" ht="38.25">
      <c r="B248" s="1020" t="s">
        <v>1038</v>
      </c>
      <c r="C248" s="1018" t="str">
        <f>Questions!E292</f>
        <v>Description of non conformance (mandatory)</v>
      </c>
      <c r="D248" s="1019" t="str">
        <f>Questions!D292</f>
        <v>n.e.</v>
      </c>
    </row>
    <row r="249" spans="2:4" ht="63.75">
      <c r="B249" s="1020" t="s">
        <v>1039</v>
      </c>
      <c r="C249" s="1018" t="str">
        <f>Questions!E294</f>
        <v>No weakness identified</v>
      </c>
      <c r="D249" s="1019">
        <f>Questions!D294</f>
        <v>10</v>
      </c>
    </row>
    <row r="250" spans="2:4" ht="63.75">
      <c r="B250" s="1020" t="s">
        <v>1040</v>
      </c>
      <c r="C250" s="1018" t="str">
        <f>Questions!E295</f>
        <v>No action plan defined or evidenced for KPIs currently below target.</v>
      </c>
      <c r="D250" s="1019">
        <f>Questions!D295</f>
        <v>6</v>
      </c>
    </row>
    <row r="251" spans="2:4" ht="63.75">
      <c r="B251" s="1020" t="s">
        <v>1041</v>
      </c>
      <c r="C251" s="1018" t="str">
        <f>Questions!E296</f>
        <v>No weakness identified</v>
      </c>
      <c r="D251" s="1019">
        <f>Questions!D296</f>
        <v>10</v>
      </c>
    </row>
    <row r="252" spans="2:4" ht="63.75">
      <c r="B252" s="1020" t="s">
        <v>1042</v>
      </c>
      <c r="C252" s="1018" t="str">
        <f>Questions!E297</f>
        <v>Description of non conformance (mandatory)</v>
      </c>
      <c r="D252" s="1019" t="str">
        <f>Questions!D297</f>
        <v>n.e.</v>
      </c>
    </row>
    <row r="253" spans="2:4" ht="63.75">
      <c r="B253" s="1020" t="s">
        <v>1043</v>
      </c>
      <c r="C253" s="1018" t="str">
        <f>Questions!E298</f>
        <v>Description of non conformance (mandatory)</v>
      </c>
      <c r="D253" s="1019" t="str">
        <f>Questions!D298</f>
        <v>n.e.</v>
      </c>
    </row>
    <row r="254" spans="2:4" ht="63.75">
      <c r="B254" s="1020" t="s">
        <v>1044</v>
      </c>
      <c r="C254" s="1018" t="str">
        <f>Questions!E299</f>
        <v>Description of non conformance (mandatory)</v>
      </c>
      <c r="D254" s="1019" t="str">
        <f>Questions!D299</f>
        <v>n.e.</v>
      </c>
    </row>
    <row r="255" spans="2:4" ht="63.75">
      <c r="B255" s="1020" t="s">
        <v>1045</v>
      </c>
      <c r="C255" s="1018" t="str">
        <f>Questions!E300</f>
        <v>Description of non conformance (mandatory)</v>
      </c>
      <c r="D255" s="1019" t="str">
        <f>Questions!D300</f>
        <v>n.e.</v>
      </c>
    </row>
    <row r="256" spans="2:4" ht="63.75">
      <c r="B256" s="1020" t="s">
        <v>1046</v>
      </c>
      <c r="C256" s="1018" t="str">
        <f>Questions!E301</f>
        <v>Description of non conformance (mandatory)</v>
      </c>
      <c r="D256" s="1019" t="str">
        <f>Questions!D301</f>
        <v>n.e.</v>
      </c>
    </row>
    <row r="257" spans="2:4" ht="63.75">
      <c r="B257" s="1020" t="s">
        <v>1047</v>
      </c>
      <c r="C257" s="1018" t="str">
        <f>Questions!E302</f>
        <v>Description of non conformance (mandatory)</v>
      </c>
      <c r="D257" s="1019" t="str">
        <f>Questions!D302</f>
        <v>n.e.</v>
      </c>
    </row>
    <row r="258" spans="2:4" ht="63.75">
      <c r="B258" s="1020" t="s">
        <v>1048</v>
      </c>
      <c r="C258" s="1018" t="str">
        <f>Questions!E303</f>
        <v>Description of non conformance (mandatory)</v>
      </c>
      <c r="D258" s="1019" t="str">
        <f>Questions!D303</f>
        <v>n.e.</v>
      </c>
    </row>
    <row r="259" spans="2:4" ht="51">
      <c r="B259" s="1020" t="s">
        <v>808</v>
      </c>
      <c r="C259" s="1018" t="str">
        <f>Questions!E305</f>
        <v>LPA program does not cover the incoming inspection process. No layered audit evidence found for this area.</v>
      </c>
      <c r="D259" s="1019">
        <f>Questions!D305</f>
        <v>8</v>
      </c>
    </row>
    <row r="260" spans="2:4" ht="76.5">
      <c r="B260" s="1020" t="s">
        <v>809</v>
      </c>
      <c r="C260" s="1018" t="str">
        <f>Questions!E306</f>
        <v>Some work instructions and process documents are not up to date, indicating insufficient periodic review. For example, the chromium process documentation (dated 2017) does not reflect the current process conditions.</v>
      </c>
      <c r="D260" s="1019">
        <f>Questions!D306</f>
        <v>4</v>
      </c>
    </row>
    <row r="261" spans="2:4" ht="38.25">
      <c r="B261" s="1020" t="s">
        <v>810</v>
      </c>
      <c r="C261" s="1018" t="str">
        <f>Questions!E307</f>
        <v>LPA program does not cover the shipping process. No layered audit evidence found for this area.</v>
      </c>
      <c r="D261" s="1019">
        <f>Questions!D307</f>
        <v>8</v>
      </c>
    </row>
    <row r="262" spans="2:4" ht="25.5">
      <c r="B262" s="1020" t="s">
        <v>811</v>
      </c>
      <c r="C262" s="1018" t="str">
        <f>Questions!E308</f>
        <v>Description of non conformance (mandatory)</v>
      </c>
      <c r="D262" s="1019" t="str">
        <f>Questions!D308</f>
        <v>n.e.</v>
      </c>
    </row>
    <row r="263" spans="2:4" ht="25.5">
      <c r="B263" s="1020" t="s">
        <v>812</v>
      </c>
      <c r="C263" s="1018" t="str">
        <f>Questions!E309</f>
        <v>Description of non conformance (mandatory)</v>
      </c>
      <c r="D263" s="1019" t="str">
        <f>Questions!D309</f>
        <v>n.e.</v>
      </c>
    </row>
    <row r="264" spans="2:4" ht="25.5">
      <c r="B264" s="1020" t="s">
        <v>813</v>
      </c>
      <c r="C264" s="1018" t="str">
        <f>Questions!E310</f>
        <v>Description of non conformance (mandatory)</v>
      </c>
      <c r="D264" s="1019" t="str">
        <f>Questions!D310</f>
        <v>n.e.</v>
      </c>
    </row>
    <row r="265" spans="2:4" ht="25.5">
      <c r="B265" s="1020" t="s">
        <v>814</v>
      </c>
      <c r="C265" s="1018" t="str">
        <f>Questions!E311</f>
        <v>Description of non conformance (mandatory)</v>
      </c>
      <c r="D265" s="1019" t="str">
        <f>Questions!D311</f>
        <v>n.e.</v>
      </c>
    </row>
    <row r="266" spans="2:4" ht="25.5">
      <c r="B266" s="1020" t="s">
        <v>815</v>
      </c>
      <c r="C266" s="1018" t="str">
        <f>Questions!E312</f>
        <v>Description of non conformance (mandatory)</v>
      </c>
      <c r="D266" s="1019" t="str">
        <f>Questions!D312</f>
        <v>n.e.</v>
      </c>
    </row>
    <row r="267" spans="2:4" ht="25.5">
      <c r="B267" s="1020" t="s">
        <v>816</v>
      </c>
      <c r="C267" s="1018" t="str">
        <f>Questions!E313</f>
        <v>Description of non conformance (mandatory)</v>
      </c>
      <c r="D267" s="1019" t="str">
        <f>Questions!D313</f>
        <v>n.e.</v>
      </c>
    </row>
    <row r="268" spans="2:4" ht="25.5">
      <c r="B268" s="1020" t="s">
        <v>817</v>
      </c>
      <c r="C268" s="1018" t="str">
        <f>Questions!E314</f>
        <v>Description of non conformance (mandatory)</v>
      </c>
      <c r="D268" s="1019" t="str">
        <f>Questions!D314</f>
        <v>n.e.</v>
      </c>
    </row>
    <row r="269" spans="2:4" ht="51">
      <c r="B269" s="1020" t="s">
        <v>1049</v>
      </c>
      <c r="C269" s="1018" t="str">
        <f>Questions!E317</f>
        <v>No weakness identified</v>
      </c>
      <c r="D269" s="1019">
        <f>Questions!D317</f>
        <v>10</v>
      </c>
    </row>
    <row r="270" spans="2:4" ht="51">
      <c r="B270" s="1020" t="s">
        <v>1050</v>
      </c>
      <c r="C270" s="1018" t="str">
        <f>Questions!E318</f>
        <v>No weakness identified</v>
      </c>
      <c r="D270" s="1019">
        <f>Questions!D318</f>
        <v>10</v>
      </c>
    </row>
    <row r="271" spans="2:4" ht="51">
      <c r="B271" s="1020" t="s">
        <v>1051</v>
      </c>
      <c r="C271" s="1018" t="str">
        <f>Questions!E319</f>
        <v>No weakness identified</v>
      </c>
      <c r="D271" s="1019">
        <f>Questions!D319</f>
        <v>10</v>
      </c>
    </row>
    <row r="272" spans="2:4" ht="51">
      <c r="B272" s="1020" t="s">
        <v>1052</v>
      </c>
      <c r="C272" s="1018" t="str">
        <f>Questions!E320</f>
        <v>Description of non conformance (mandatory)</v>
      </c>
      <c r="D272" s="1019" t="str">
        <f>Questions!D320</f>
        <v>n.e.</v>
      </c>
    </row>
    <row r="273" spans="2:4" ht="51">
      <c r="B273" s="1020" t="s">
        <v>1053</v>
      </c>
      <c r="C273" s="1018" t="str">
        <f>Questions!E321</f>
        <v>Description of non conformance (mandatory)</v>
      </c>
      <c r="D273" s="1019" t="str">
        <f>Questions!D321</f>
        <v>n.e.</v>
      </c>
    </row>
    <row r="274" spans="2:4" ht="51">
      <c r="B274" s="1020" t="s">
        <v>1054</v>
      </c>
      <c r="C274" s="1018" t="str">
        <f>Questions!E322</f>
        <v>Description of non conformance (mandatory)</v>
      </c>
      <c r="D274" s="1019" t="str">
        <f>Questions!D322</f>
        <v>n.e.</v>
      </c>
    </row>
    <row r="275" spans="2:4" ht="51">
      <c r="B275" s="1020" t="s">
        <v>1055</v>
      </c>
      <c r="C275" s="1018" t="str">
        <f>Questions!E323</f>
        <v>Description of non conformance (mandatory)</v>
      </c>
      <c r="D275" s="1019" t="str">
        <f>Questions!D323</f>
        <v>n.e.</v>
      </c>
    </row>
    <row r="276" spans="2:4" ht="51">
      <c r="B276" s="1020" t="s">
        <v>1056</v>
      </c>
      <c r="C276" s="1018" t="str">
        <f>Questions!E324</f>
        <v>Description of non conformance (mandatory)</v>
      </c>
      <c r="D276" s="1019" t="str">
        <f>Questions!D324</f>
        <v>n.e.</v>
      </c>
    </row>
    <row r="277" spans="2:4" ht="51">
      <c r="B277" s="1020" t="s">
        <v>1057</v>
      </c>
      <c r="C277" s="1018" t="str">
        <f>Questions!E325</f>
        <v>Description of non conformance (mandatory)</v>
      </c>
      <c r="D277" s="1019" t="str">
        <f>Questions!D325</f>
        <v>n.e.</v>
      </c>
    </row>
    <row r="278" spans="2:4" ht="51">
      <c r="B278" s="1020" t="s">
        <v>1058</v>
      </c>
      <c r="C278" s="1018" t="str">
        <f>Questions!E326</f>
        <v>Description of non conformance (mandatory)</v>
      </c>
      <c r="D278" s="1019" t="str">
        <f>Questions!D326</f>
        <v>n.e.</v>
      </c>
    </row>
    <row r="279" spans="2:4" ht="63.75">
      <c r="B279" s="1020" t="s">
        <v>1059</v>
      </c>
      <c r="C279" s="1018" t="str">
        <f>Questions!E328</f>
        <v>No weakness identified</v>
      </c>
      <c r="D279" s="1019">
        <f>Questions!D328</f>
        <v>10</v>
      </c>
    </row>
    <row r="280" spans="2:4" ht="63.75">
      <c r="B280" s="1020" t="s">
        <v>1060</v>
      </c>
      <c r="C280" s="1018" t="str">
        <f>Questions!E329</f>
        <v>No weakness identified</v>
      </c>
      <c r="D280" s="1019">
        <f>Questions!D329</f>
        <v>10</v>
      </c>
    </row>
    <row r="281" spans="2:4" ht="63.75">
      <c r="B281" s="1020" t="s">
        <v>1061</v>
      </c>
      <c r="C281" s="1018" t="str">
        <f>Questions!E330</f>
        <v>No weakness identified</v>
      </c>
      <c r="D281" s="1019">
        <f>Questions!D330</f>
        <v>10</v>
      </c>
    </row>
    <row r="282" spans="2:4" ht="63.75">
      <c r="B282" s="1020" t="s">
        <v>1062</v>
      </c>
      <c r="C282" s="1018" t="str">
        <f>Questions!E331</f>
        <v>Description of non conformance (mandatory)</v>
      </c>
      <c r="D282" s="1019" t="str">
        <f>Questions!D331</f>
        <v>n.e.</v>
      </c>
    </row>
    <row r="283" spans="2:4" ht="63.75">
      <c r="B283" s="1020" t="s">
        <v>1063</v>
      </c>
      <c r="C283" s="1018" t="str">
        <f>Questions!E332</f>
        <v>Description of non conformance (mandatory)</v>
      </c>
      <c r="D283" s="1019" t="str">
        <f>Questions!D332</f>
        <v>n.e.</v>
      </c>
    </row>
    <row r="284" spans="2:4" ht="63.75">
      <c r="B284" s="1020" t="s">
        <v>1064</v>
      </c>
      <c r="C284" s="1018" t="str">
        <f>Questions!E333</f>
        <v>Description of non conformance (mandatory)</v>
      </c>
      <c r="D284" s="1019" t="str">
        <f>Questions!D333</f>
        <v>n.e.</v>
      </c>
    </row>
    <row r="285" spans="2:4" ht="63.75">
      <c r="B285" s="1020" t="s">
        <v>1065</v>
      </c>
      <c r="C285" s="1018" t="str">
        <f>Questions!E334</f>
        <v>Description of non conformance (mandatory)</v>
      </c>
      <c r="D285" s="1019" t="str">
        <f>Questions!D334</f>
        <v>n.e.</v>
      </c>
    </row>
    <row r="286" spans="2:4" ht="63.75">
      <c r="B286" s="1020" t="s">
        <v>1066</v>
      </c>
      <c r="C286" s="1018" t="str">
        <f>Questions!E335</f>
        <v>Description of non conformance (mandatory)</v>
      </c>
      <c r="D286" s="1019" t="str">
        <f>Questions!D335</f>
        <v>n.e.</v>
      </c>
    </row>
    <row r="287" spans="2:4" ht="63.75">
      <c r="B287" s="1020" t="s">
        <v>1067</v>
      </c>
      <c r="C287" s="1018" t="str">
        <f>Questions!E336</f>
        <v>Description of non conformance (mandatory)</v>
      </c>
      <c r="D287" s="1019" t="str">
        <f>Questions!D336</f>
        <v>n.e.</v>
      </c>
    </row>
    <row r="288" spans="2:4" ht="76.5">
      <c r="B288" s="1020" t="s">
        <v>1068</v>
      </c>
      <c r="C288" s="1018" t="str">
        <f>Questions!E337</f>
        <v>Description of non conformance (mandatory)</v>
      </c>
      <c r="D288" s="1019" t="str">
        <f>Questions!D337</f>
        <v>n.e.</v>
      </c>
    </row>
    <row r="289" spans="2:4" ht="25.5">
      <c r="B289" s="1020" t="s">
        <v>1069</v>
      </c>
      <c r="C289" s="1018" t="str">
        <f>Questions!E339</f>
        <v>No weakness identified</v>
      </c>
      <c r="D289" s="1019">
        <f>Questions!D339</f>
        <v>10</v>
      </c>
    </row>
    <row r="290" spans="2:4" ht="76.5">
      <c r="B290" s="1020" t="s">
        <v>1070</v>
      </c>
      <c r="C290" s="1018" t="str">
        <f>Questions!E340</f>
        <v>The vision system used for piston defect detection does not store inspection images. No traceability of inspection results is therefore available, preventing any retrospective analysis or evidence of release.</v>
      </c>
      <c r="D290" s="1019">
        <f>Questions!D340</f>
        <v>8</v>
      </c>
    </row>
    <row r="291" spans="2:4" ht="25.5">
      <c r="B291" s="1020" t="s">
        <v>1071</v>
      </c>
      <c r="C291" s="1018" t="str">
        <f>Questions!E341</f>
        <v>No weakness identified</v>
      </c>
      <c r="D291" s="1019">
        <f>Questions!D341</f>
        <v>10</v>
      </c>
    </row>
    <row r="292" spans="2:4" ht="25.5">
      <c r="B292" s="1020" t="s">
        <v>1072</v>
      </c>
      <c r="C292" s="1018" t="str">
        <f>Questions!E342</f>
        <v>Description of non conformance (mandatory)</v>
      </c>
      <c r="D292" s="1019" t="str">
        <f>Questions!D342</f>
        <v>n.e.</v>
      </c>
    </row>
    <row r="293" spans="2:4" ht="25.5">
      <c r="B293" s="1020" t="s">
        <v>1073</v>
      </c>
      <c r="C293" s="1018" t="str">
        <f>Questions!E343</f>
        <v>Description of non conformance (mandatory)</v>
      </c>
      <c r="D293" s="1019" t="str">
        <f>Questions!D343</f>
        <v>n.e.</v>
      </c>
    </row>
    <row r="294" spans="2:4" ht="25.5">
      <c r="B294" s="1020" t="s">
        <v>1074</v>
      </c>
      <c r="C294" s="1018" t="str">
        <f>Questions!E344</f>
        <v>Description of non conformance (mandatory)</v>
      </c>
      <c r="D294" s="1019" t="str">
        <f>Questions!D344</f>
        <v>n.e.</v>
      </c>
    </row>
    <row r="295" spans="2:4" ht="25.5">
      <c r="B295" s="1020" t="s">
        <v>1075</v>
      </c>
      <c r="C295" s="1018" t="str">
        <f>Questions!E345</f>
        <v>Description of non conformance (mandatory)</v>
      </c>
      <c r="D295" s="1019" t="str">
        <f>Questions!D345</f>
        <v>n.e.</v>
      </c>
    </row>
    <row r="296" spans="2:4" ht="25.5">
      <c r="B296" s="1020" t="s">
        <v>1076</v>
      </c>
      <c r="C296" s="1018" t="str">
        <f>Questions!E346</f>
        <v>Description of non conformance (mandatory)</v>
      </c>
      <c r="D296" s="1019" t="str">
        <f>Questions!D346</f>
        <v>n.e.</v>
      </c>
    </row>
    <row r="297" spans="2:4" ht="25.5">
      <c r="B297" s="1020" t="s">
        <v>1077</v>
      </c>
      <c r="C297" s="1018" t="str">
        <f>Questions!E347</f>
        <v>Description of non conformance (mandatory)</v>
      </c>
      <c r="D297" s="1019" t="str">
        <f>Questions!D347</f>
        <v>n.e.</v>
      </c>
    </row>
    <row r="298" spans="2:4" ht="25.5">
      <c r="B298" s="1020" t="s">
        <v>1078</v>
      </c>
      <c r="C298" s="1018" t="str">
        <f>Questions!E348</f>
        <v>Description of non conformance (mandatory)</v>
      </c>
      <c r="D298" s="1019" t="str">
        <f>Questions!D348</f>
        <v>n.e.</v>
      </c>
    </row>
    <row r="299" spans="2:4" ht="38.25">
      <c r="B299" s="1020" t="s">
        <v>1079</v>
      </c>
      <c r="C299" s="1018" t="str">
        <f>Questions!E350</f>
        <v>No weakness identified</v>
      </c>
      <c r="D299" s="1019">
        <f>Questions!D350</f>
        <v>10</v>
      </c>
    </row>
    <row r="300" spans="2:4" ht="38.25">
      <c r="B300" s="1020" t="s">
        <v>1080</v>
      </c>
      <c r="C300" s="1018" t="str">
        <f>Questions!E351</f>
        <v>No weakness identified</v>
      </c>
      <c r="D300" s="1019">
        <f>Questions!D351</f>
        <v>10</v>
      </c>
    </row>
    <row r="301" spans="2:4" ht="38.25">
      <c r="B301" s="1020" t="s">
        <v>1081</v>
      </c>
      <c r="C301" s="1018" t="str">
        <f>Questions!E352</f>
        <v>No weakness identified</v>
      </c>
      <c r="D301" s="1019">
        <f>Questions!D352</f>
        <v>10</v>
      </c>
    </row>
    <row r="302" spans="2:4" ht="38.25">
      <c r="B302" s="1020" t="s">
        <v>1082</v>
      </c>
      <c r="C302" s="1018" t="str">
        <f>Questions!E353</f>
        <v>Description of non conformance (mandatory)</v>
      </c>
      <c r="D302" s="1019" t="str">
        <f>Questions!D353</f>
        <v>n.e.</v>
      </c>
    </row>
    <row r="303" spans="2:4" ht="38.25">
      <c r="B303" s="1020" t="s">
        <v>1083</v>
      </c>
      <c r="C303" s="1018" t="str">
        <f>Questions!E354</f>
        <v>Description of non conformance (mandatory)</v>
      </c>
      <c r="D303" s="1019" t="str">
        <f>Questions!D354</f>
        <v>n.e.</v>
      </c>
    </row>
    <row r="304" spans="2:4" ht="38.25">
      <c r="B304" s="1020" t="s">
        <v>1084</v>
      </c>
      <c r="C304" s="1018" t="str">
        <f>Questions!E355</f>
        <v>Description of non conformance (mandatory)</v>
      </c>
      <c r="D304" s="1019" t="str">
        <f>Questions!D355</f>
        <v>n.e.</v>
      </c>
    </row>
    <row r="305" spans="2:4" ht="38.25">
      <c r="B305" s="1020" t="s">
        <v>1085</v>
      </c>
      <c r="C305" s="1018" t="str">
        <f>Questions!E356</f>
        <v>Description of non conformance (mandatory)</v>
      </c>
      <c r="D305" s="1019" t="str">
        <f>Questions!D356</f>
        <v>n.e.</v>
      </c>
    </row>
    <row r="306" spans="2:4" ht="38.25">
      <c r="B306" s="1020" t="s">
        <v>1086</v>
      </c>
      <c r="C306" s="1018" t="str">
        <f>Questions!E357</f>
        <v>Description of non conformance (mandatory)</v>
      </c>
      <c r="D306" s="1019" t="str">
        <f>Questions!D357</f>
        <v>n.e.</v>
      </c>
    </row>
    <row r="307" spans="2:4" ht="38.25">
      <c r="B307" s="1020" t="s">
        <v>1087</v>
      </c>
      <c r="C307" s="1018" t="str">
        <f>Questions!E358</f>
        <v>Description of non conformance (mandatory)</v>
      </c>
      <c r="D307" s="1019" t="str">
        <f>Questions!D358</f>
        <v>n.e.</v>
      </c>
    </row>
    <row r="308" spans="2:4" ht="38.25">
      <c r="B308" s="1020" t="s">
        <v>1088</v>
      </c>
      <c r="C308" s="1018" t="str">
        <f>Questions!E359</f>
        <v>Description of non conformance (mandatory)</v>
      </c>
      <c r="D308" s="1019" t="str">
        <f>Questions!D359</f>
        <v>n.e.</v>
      </c>
    </row>
    <row r="309" spans="2:4" ht="140.25">
      <c r="B309" s="1020" t="s">
        <v>1089</v>
      </c>
      <c r="C309" s="1018" t="str">
        <f>Questions!E361</f>
        <v>The frequency of LPAs (approximately 10 per year) is insufficient to effectively ensure compliance with procedures and quality/safety standards.
In some LPAs, observed nonconformities on the shopfloor (e.g., more than four pistons loaded in the chroming process) were documented; however, the final assessment was still marked as “OK”.</v>
      </c>
      <c r="D309" s="1019">
        <f>Questions!D361</f>
        <v>4</v>
      </c>
    </row>
    <row r="310" spans="2:4" ht="25.5">
      <c r="B310" s="1020" t="s">
        <v>1090</v>
      </c>
      <c r="C310" s="1018" t="str">
        <f>Questions!E362</f>
        <v>Description of non conformance (mandatory)</v>
      </c>
      <c r="D310" s="1019">
        <f>Questions!D362</f>
        <v>8</v>
      </c>
    </row>
    <row r="311" spans="2:4">
      <c r="B311" s="1020" t="s">
        <v>1091</v>
      </c>
      <c r="C311" s="1018" t="str">
        <f>Questions!E363</f>
        <v>No weakness identified</v>
      </c>
      <c r="D311" s="1019">
        <f>Questions!D363</f>
        <v>10</v>
      </c>
    </row>
    <row r="312" spans="2:4" ht="63.75">
      <c r="B312" s="1020" t="s">
        <v>1092</v>
      </c>
      <c r="C312" s="1018" t="str">
        <f>Questions!E364</f>
        <v>The claims management process in HLP shows gaps in the structured use of Ishikawa and 3x5 Why root cause analysis, and in meeting the defined 8D timing requirements.</v>
      </c>
      <c r="D312" s="1019">
        <f>Questions!D364</f>
        <v>8</v>
      </c>
    </row>
    <row r="313" spans="2:4" ht="51">
      <c r="B313" s="1020" t="s">
        <v>1093</v>
      </c>
      <c r="C313" s="1018" t="str">
        <f>Questions!E365</f>
        <v>Some operators (auxiliares) are not included in the skills matrix, resulting in a lack of visibility of their qualification and competency status.</v>
      </c>
      <c r="D313" s="1019">
        <f>Questions!D365</f>
        <v>6</v>
      </c>
    </row>
    <row r="335" spans="7:7">
      <c r="G335" s="987">
        <v>0</v>
      </c>
    </row>
    <row r="336" spans="7:7">
      <c r="G336" s="987">
        <v>4</v>
      </c>
    </row>
    <row r="337" spans="7:7">
      <c r="G337" s="987">
        <v>6</v>
      </c>
    </row>
    <row r="338" spans="7:7">
      <c r="G338" s="987">
        <v>8</v>
      </c>
    </row>
  </sheetData>
  <pageMargins left="0.7" right="0.7" top="0.75" bottom="0.75" header="0.3" footer="0.3"/>
  <pageSetup paperSize="9" orientation="portrait" horizontalDpi="4294967295" verticalDpi="4294967295"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3"/>
  <dimension ref="A2:BE3"/>
  <sheetViews>
    <sheetView zoomScale="70" zoomScaleNormal="70" workbookViewId="0">
      <selection activeCell="D61" sqref="D61"/>
    </sheetView>
  </sheetViews>
  <sheetFormatPr baseColWidth="10" defaultColWidth="11.42578125" defaultRowHeight="12.75"/>
  <cols>
    <col min="1" max="57" width="30.7109375" style="987" customWidth="1"/>
    <col min="58" max="16384" width="11.42578125" style="987"/>
  </cols>
  <sheetData>
    <row r="2" spans="1:57">
      <c r="A2" s="1010" t="s">
        <v>1101</v>
      </c>
      <c r="B2" s="1010" t="s">
        <v>1102</v>
      </c>
      <c r="C2" s="1010" t="s">
        <v>1103</v>
      </c>
      <c r="D2" s="1010" t="s">
        <v>1104</v>
      </c>
      <c r="E2" s="1010" t="s">
        <v>1105</v>
      </c>
      <c r="F2" s="1010" t="s">
        <v>1106</v>
      </c>
      <c r="G2" s="1010" t="s">
        <v>1107</v>
      </c>
      <c r="H2" s="1010" t="s">
        <v>1108</v>
      </c>
      <c r="I2" s="1010" t="s">
        <v>1109</v>
      </c>
      <c r="J2" s="1010" t="s">
        <v>1110</v>
      </c>
      <c r="K2" s="1010" t="s">
        <v>1107</v>
      </c>
      <c r="L2" s="1010" t="s">
        <v>1108</v>
      </c>
      <c r="M2" s="1010" t="s">
        <v>1109</v>
      </c>
      <c r="N2" s="1010" t="s">
        <v>1110</v>
      </c>
      <c r="O2" s="1010" t="s">
        <v>1107</v>
      </c>
      <c r="P2" s="1010" t="s">
        <v>1108</v>
      </c>
      <c r="Q2" s="1010" t="s">
        <v>1109</v>
      </c>
      <c r="R2" s="1010" t="s">
        <v>1111</v>
      </c>
      <c r="S2" s="1010" t="s">
        <v>1112</v>
      </c>
      <c r="T2" s="1010" t="s">
        <v>1113</v>
      </c>
      <c r="U2" s="1010" t="s">
        <v>1114</v>
      </c>
      <c r="V2" s="1010" t="s">
        <v>1115</v>
      </c>
      <c r="W2" s="1010" t="s">
        <v>1116</v>
      </c>
      <c r="X2" s="1010" t="s">
        <v>1117</v>
      </c>
      <c r="Y2" s="1010" t="s">
        <v>1118</v>
      </c>
      <c r="Z2" s="1010" t="s">
        <v>1108</v>
      </c>
      <c r="AA2" s="1010" t="s">
        <v>1109</v>
      </c>
      <c r="AB2" s="1010" t="s">
        <v>1119</v>
      </c>
      <c r="AC2" s="1010" t="s">
        <v>1120</v>
      </c>
      <c r="AD2" s="1010" t="s">
        <v>483</v>
      </c>
      <c r="AE2" s="1010" t="s">
        <v>1121</v>
      </c>
      <c r="AF2" s="1010" t="s">
        <v>1122</v>
      </c>
      <c r="AG2" s="1010" t="s">
        <v>1123</v>
      </c>
      <c r="AH2" s="1010" t="s">
        <v>1124</v>
      </c>
      <c r="AI2" s="1010" t="s">
        <v>1125</v>
      </c>
      <c r="AJ2" s="1010" t="s">
        <v>1126</v>
      </c>
      <c r="AK2" s="1010" t="s">
        <v>1127</v>
      </c>
      <c r="AL2" s="1010" t="s">
        <v>1128</v>
      </c>
      <c r="AM2" s="1010" t="s">
        <v>1129</v>
      </c>
      <c r="AN2" s="1010" t="s">
        <v>1130</v>
      </c>
      <c r="AO2" s="1010" t="s">
        <v>1131</v>
      </c>
      <c r="AP2" s="1010" t="s">
        <v>1132</v>
      </c>
      <c r="AQ2" s="1010" t="s">
        <v>1133</v>
      </c>
      <c r="AR2" s="1010" t="s">
        <v>1103</v>
      </c>
      <c r="AS2" s="1010" t="s">
        <v>1134</v>
      </c>
      <c r="AT2" s="1010" t="s">
        <v>589</v>
      </c>
      <c r="AU2" s="1010" t="s">
        <v>1123</v>
      </c>
      <c r="AV2" s="1010" t="s">
        <v>1121</v>
      </c>
      <c r="AW2" s="1010" t="s">
        <v>1135</v>
      </c>
      <c r="AX2" s="1010" t="s">
        <v>1136</v>
      </c>
      <c r="AY2" s="1010" t="s">
        <v>1137</v>
      </c>
      <c r="AZ2" s="1010" t="s">
        <v>1138</v>
      </c>
      <c r="BA2" s="1010" t="s">
        <v>1139</v>
      </c>
      <c r="BB2" s="1010" t="s">
        <v>1140</v>
      </c>
      <c r="BC2" s="1010" t="s">
        <v>1141</v>
      </c>
      <c r="BD2" s="1010" t="s">
        <v>1142</v>
      </c>
      <c r="BE2" s="1010" t="s">
        <v>1123</v>
      </c>
    </row>
    <row r="3" spans="1:57">
      <c r="A3" s="1011">
        <v>29885</v>
      </c>
      <c r="B3" s="1012">
        <v>46069</v>
      </c>
      <c r="C3" s="1011"/>
      <c r="D3" s="1011">
        <v>0</v>
      </c>
      <c r="E3" s="1011" t="s">
        <v>1143</v>
      </c>
      <c r="F3" s="1011" t="s">
        <v>1144</v>
      </c>
      <c r="G3" s="1011"/>
      <c r="H3" s="1013">
        <v>0</v>
      </c>
      <c r="I3" s="1011" t="s">
        <v>1145</v>
      </c>
      <c r="J3" s="1011" t="s">
        <v>1146</v>
      </c>
      <c r="K3" s="1011"/>
      <c r="L3" s="1011">
        <v>0</v>
      </c>
      <c r="M3" s="1011" t="s">
        <v>1147</v>
      </c>
      <c r="N3" s="1011"/>
      <c r="O3" s="1011"/>
      <c r="P3" s="1011"/>
      <c r="Q3" s="1011"/>
      <c r="R3" s="1013" t="s">
        <v>1096</v>
      </c>
      <c r="S3" s="1011" t="s">
        <v>1148</v>
      </c>
      <c r="T3" s="1011" t="s">
        <v>1149</v>
      </c>
      <c r="U3" s="1011" t="s">
        <v>1150</v>
      </c>
      <c r="V3" s="1011">
        <v>39611</v>
      </c>
      <c r="W3" s="1011" t="s">
        <v>1151</v>
      </c>
      <c r="X3" s="1011" t="s">
        <v>1152</v>
      </c>
      <c r="Y3" s="1011"/>
      <c r="Z3" s="1013"/>
      <c r="AA3" s="1013"/>
      <c r="AB3" s="1011"/>
      <c r="AC3" s="1012" t="s">
        <v>1153</v>
      </c>
      <c r="AD3" s="1011"/>
      <c r="AE3" s="1011"/>
      <c r="AF3" s="1011">
        <v>0</v>
      </c>
      <c r="AG3" s="1011"/>
      <c r="AH3" s="1011" t="s">
        <v>1154</v>
      </c>
      <c r="AI3" s="1011" t="s">
        <v>1155</v>
      </c>
      <c r="AJ3" s="1011" t="s">
        <v>1156</v>
      </c>
      <c r="AK3" s="1011"/>
      <c r="AL3" s="1011"/>
      <c r="AM3" s="1011"/>
      <c r="AN3" s="1011"/>
      <c r="AO3" s="1011"/>
      <c r="AP3" s="1011"/>
      <c r="AQ3" s="1011"/>
      <c r="AR3" s="1011"/>
      <c r="AS3" s="1011"/>
      <c r="AT3" s="1011" t="s">
        <v>1157</v>
      </c>
      <c r="AU3" s="1011"/>
      <c r="AV3" s="1011"/>
      <c r="AW3" s="1011">
        <v>0</v>
      </c>
      <c r="AX3" s="1011"/>
      <c r="AY3" s="1011"/>
      <c r="AZ3" s="1011"/>
      <c r="BA3" s="1011"/>
      <c r="BB3" s="1011"/>
      <c r="BC3" s="1011"/>
      <c r="BD3" s="1011"/>
      <c r="BE3" s="1011"/>
    </row>
  </sheetData>
  <conditionalFormatting sqref="E10:E150">
    <cfRule type="expression" priority="1" stopIfTrue="1">
      <formula>$G$3</formula>
    </cfRule>
  </conditionalFormatting>
  <pageMargins left="0.7" right="0.7" top="0.75" bottom="0.75" header="0.3" footer="0.3"/>
  <pageSetup paperSize="9" orientation="portrait" horizontalDpi="1200" verticalDpi="12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abelle2">
    <tabColor indexed="12"/>
    <pageSetUpPr fitToPage="1"/>
  </sheetPr>
  <dimension ref="A1:AI90"/>
  <sheetViews>
    <sheetView showGridLines="0" topLeftCell="B1" zoomScale="90" zoomScaleNormal="90" zoomScaleSheetLayoutView="75" workbookViewId="0">
      <selection activeCell="N12" sqref="N12"/>
    </sheetView>
  </sheetViews>
  <sheetFormatPr baseColWidth="10" defaultColWidth="11.42578125" defaultRowHeight="14.25"/>
  <cols>
    <col min="1" max="1" width="11.28515625" style="7" hidden="1" customWidth="1"/>
    <col min="2" max="2" width="1" style="7" customWidth="1"/>
    <col min="3" max="3" width="12.7109375" style="7" customWidth="1"/>
    <col min="4" max="4" width="0.7109375" style="7" customWidth="1"/>
    <col min="5" max="5" width="8.42578125" style="7" customWidth="1"/>
    <col min="6" max="6" width="5" style="7" customWidth="1"/>
    <col min="7" max="7" width="0.7109375" style="7" customWidth="1"/>
    <col min="8" max="8" width="16.42578125" style="7" customWidth="1"/>
    <col min="9" max="9" width="0.7109375" style="7" customWidth="1"/>
    <col min="10" max="10" width="18.28515625" style="7" customWidth="1"/>
    <col min="11" max="11" width="0.7109375" style="7" customWidth="1"/>
    <col min="12" max="12" width="16.140625" style="7" customWidth="1"/>
    <col min="13" max="13" width="0.7109375" style="7" customWidth="1"/>
    <col min="14" max="14" width="13.42578125" style="7" bestFit="1" customWidth="1"/>
    <col min="15" max="15" width="1.5703125" style="7" customWidth="1"/>
    <col min="16" max="16" width="0.7109375" style="7" customWidth="1"/>
    <col min="17" max="17" width="1" style="7" customWidth="1"/>
    <col min="18" max="18" width="1.5703125" style="7" customWidth="1"/>
    <col min="19" max="19" width="18.7109375" style="7" customWidth="1"/>
    <col min="20" max="20" width="2.140625" style="7" customWidth="1"/>
    <col min="21" max="21" width="7.140625" style="7" customWidth="1"/>
    <col min="22" max="22" width="0.7109375" style="7" customWidth="1"/>
    <col min="23" max="23" width="17.7109375" style="7" customWidth="1"/>
    <col min="24" max="24" width="15" style="7" customWidth="1"/>
    <col min="25" max="25" width="15.140625" style="7" customWidth="1"/>
    <col min="26" max="26" width="16" style="7" customWidth="1"/>
    <col min="27" max="27" width="13.42578125" style="7" customWidth="1"/>
    <col min="28" max="28" width="14.28515625" style="7" customWidth="1"/>
    <col min="29" max="29" width="16" style="7" customWidth="1"/>
    <col min="30" max="30" width="2.140625" style="7" customWidth="1"/>
    <col min="31" max="31" width="1" style="7" customWidth="1"/>
    <col min="32" max="32" width="5.140625" style="7" customWidth="1"/>
    <col min="33" max="33" width="2.28515625" style="7" customWidth="1"/>
    <col min="34" max="34" width="1.5703125" style="7" customWidth="1"/>
    <col min="35" max="35" width="2.28515625" style="7" customWidth="1"/>
    <col min="36" max="16384" width="11.42578125" style="7"/>
  </cols>
  <sheetData>
    <row r="1" spans="1:35" ht="7.5" customHeight="1">
      <c r="B1" s="59"/>
      <c r="C1" s="59"/>
      <c r="D1" s="59"/>
      <c r="E1" s="59"/>
      <c r="F1" s="60"/>
      <c r="G1" s="60"/>
      <c r="H1" s="60"/>
      <c r="I1" s="60"/>
      <c r="J1" s="61"/>
      <c r="K1" s="61"/>
      <c r="L1" s="61"/>
      <c r="M1" s="61"/>
      <c r="N1" s="61"/>
      <c r="O1" s="61"/>
      <c r="P1" s="61"/>
      <c r="Q1" s="61"/>
      <c r="R1" s="61"/>
      <c r="S1" s="408"/>
      <c r="T1" s="408"/>
      <c r="U1" s="409"/>
      <c r="V1" s="409"/>
      <c r="W1" s="409"/>
      <c r="X1" s="409"/>
      <c r="Y1" s="409"/>
      <c r="Z1" s="409"/>
      <c r="AA1" s="409"/>
      <c r="AB1" s="409"/>
      <c r="AC1" s="409"/>
      <c r="AD1" s="409"/>
      <c r="AE1" s="409"/>
      <c r="AH1" s="8"/>
      <c r="AI1" s="8"/>
    </row>
    <row r="2" spans="1:35" ht="29.25" customHeight="1">
      <c r="C2" s="1319" t="str">
        <f>VLOOKUP(pos(C2),'Language-Sprachen'!$A$160:$G$179,'Language-Sprachen'!$A$3,0)</f>
        <v>Audit report VDA 6.3 Evaluation of quality capability</v>
      </c>
      <c r="D2" s="1319" t="e">
        <f>VLOOKUP(pos(D2),'Language-Sprachen'!$A$160:$G$179,'Language-Sprachen'!$A$3,0)</f>
        <v>#N/A</v>
      </c>
      <c r="E2" s="1319" t="e">
        <f>VLOOKUP(pos(E2),'Language-Sprachen'!$A$160:$G$179,'Language-Sprachen'!$A$3,0)</f>
        <v>#N/A</v>
      </c>
      <c r="F2" s="1319" t="e">
        <f>VLOOKUP(pos(F2),'Language-Sprachen'!$A$160:$G$179,'Language-Sprachen'!$A$3,0)</f>
        <v>#N/A</v>
      </c>
      <c r="G2" s="1319" t="e">
        <f>VLOOKUP(pos(G2),'Language-Sprachen'!$A$160:$G$179,'Language-Sprachen'!$A$3,0)</f>
        <v>#N/A</v>
      </c>
      <c r="H2" s="1319" t="e">
        <f>VLOOKUP(pos(H2),'Language-Sprachen'!$A$160:$G$179,'Language-Sprachen'!$A$3,0)</f>
        <v>#N/A</v>
      </c>
      <c r="I2" s="1319" t="e">
        <f>VLOOKUP(pos(I2),'Language-Sprachen'!$A$160:$G$179,'Language-Sprachen'!$A$3,0)</f>
        <v>#N/A</v>
      </c>
      <c r="J2" s="1319" t="e">
        <f>VLOOKUP(pos(J2),'Language-Sprachen'!$A$160:$G$179,'Language-Sprachen'!$A$3,0)</f>
        <v>#N/A</v>
      </c>
      <c r="K2" s="1319" t="e">
        <f>VLOOKUP(pos(K2),'Language-Sprachen'!$A$160:$G$179,'Language-Sprachen'!$A$3,0)</f>
        <v>#N/A</v>
      </c>
      <c r="L2" s="1319" t="e">
        <f>VLOOKUP(pos(L2),'Language-Sprachen'!$A$160:$G$179,'Language-Sprachen'!$A$3,0)</f>
        <v>#N/A</v>
      </c>
      <c r="M2" s="1319" t="e">
        <f>VLOOKUP(pos(M2),'Language-Sprachen'!$A$160:$G$179,'Language-Sprachen'!$A$3,0)</f>
        <v>#N/A</v>
      </c>
      <c r="N2" s="1319" t="e">
        <f>VLOOKUP(pos(N2),'Language-Sprachen'!$A$160:$G$179,'Language-Sprachen'!$A$3,0)</f>
        <v>#N/A</v>
      </c>
      <c r="O2" s="1319" t="e">
        <f>VLOOKUP(pos(O2),'Language-Sprachen'!$A$160:$G$179,'Language-Sprachen'!$A$3,0)</f>
        <v>#N/A</v>
      </c>
      <c r="P2" s="1319" t="e">
        <f>VLOOKUP(pos(P2),'Language-Sprachen'!$A$160:$G$179,'Language-Sprachen'!$A$3,0)</f>
        <v>#N/A</v>
      </c>
      <c r="Q2" s="1319" t="e">
        <f>VLOOKUP(pos(Q2),'Language-Sprachen'!$A$160:$G$179,'Language-Sprachen'!$A$3,0)</f>
        <v>#N/A</v>
      </c>
      <c r="R2" s="1319" t="e">
        <f>VLOOKUP(pos(R2),'Language-Sprachen'!$A$160:$G$179,'Language-Sprachen'!$A$3,0)</f>
        <v>#N/A</v>
      </c>
      <c r="S2" s="1319" t="e">
        <f>VLOOKUP(pos(S2),'Language-Sprachen'!$A$160:$G$179,'Language-Sprachen'!$A$3,0)</f>
        <v>#N/A</v>
      </c>
      <c r="T2" s="1319" t="e">
        <f>VLOOKUP(pos(T2),'Language-Sprachen'!$A$160:$G$179,'Language-Sprachen'!$A$3,0)</f>
        <v>#N/A</v>
      </c>
      <c r="U2" s="1319" t="e">
        <f>VLOOKUP(pos(U2),'Language-Sprachen'!$A$160:$G$179,'Language-Sprachen'!$A$3,0)</f>
        <v>#N/A</v>
      </c>
      <c r="V2" s="1319" t="e">
        <f>VLOOKUP(pos(V2),'Language-Sprachen'!$A$160:$G$179,'Language-Sprachen'!$A$3,0)</f>
        <v>#N/A</v>
      </c>
      <c r="W2" s="1319" t="e">
        <f>VLOOKUP(pos(W2),'Language-Sprachen'!$A$160:$G$179,'Language-Sprachen'!$A$3,0)</f>
        <v>#N/A</v>
      </c>
      <c r="X2" s="1319" t="e">
        <f>VLOOKUP(pos(X2),'Language-Sprachen'!$A$160:$G$179,'Language-Sprachen'!$A$3,0)</f>
        <v>#N/A</v>
      </c>
      <c r="Y2" s="1319" t="e">
        <f>VLOOKUP(pos(Y2),'Language-Sprachen'!$A$160:$G$179,'Language-Sprachen'!$A$3,0)</f>
        <v>#N/A</v>
      </c>
      <c r="Z2" s="1319" t="e">
        <f>VLOOKUP(pos(Z2),'Language-Sprachen'!$A$160:$G$179,'Language-Sprachen'!$A$3,0)</f>
        <v>#N/A</v>
      </c>
      <c r="AA2" s="1319" t="e">
        <f>VLOOKUP(pos(AA2),'Language-Sprachen'!$A$160:$G$179,'Language-Sprachen'!$A$3,0)</f>
        <v>#N/A</v>
      </c>
      <c r="AB2" s="1319" t="e">
        <f>VLOOKUP(pos(AB2),'Language-Sprachen'!$A$160:$G$179,'Language-Sprachen'!$A$3,0)</f>
        <v>#N/A</v>
      </c>
      <c r="AC2" s="300"/>
      <c r="AD2" s="300"/>
      <c r="AE2"/>
      <c r="AH2" s="9"/>
      <c r="AI2" s="9"/>
    </row>
    <row r="3" spans="1:35" ht="8.25" customHeight="1">
      <c r="B3" s="58"/>
      <c r="C3" s="57"/>
      <c r="D3" s="57"/>
      <c r="E3" s="57"/>
    </row>
    <row r="4" spans="1:35" ht="16.5" customHeight="1">
      <c r="C4" s="410" t="str">
        <f>'Input Form'!B19</f>
        <v>Supplier:</v>
      </c>
      <c r="D4" s="410"/>
      <c r="E4" s="410"/>
      <c r="F4" s="57"/>
      <c r="G4" s="57"/>
      <c r="H4" s="57"/>
      <c r="I4" s="57"/>
      <c r="J4" s="57"/>
      <c r="K4" s="57"/>
      <c r="L4" s="57"/>
      <c r="M4" s="57"/>
      <c r="N4" s="57"/>
      <c r="O4" s="57"/>
      <c r="P4" s="57"/>
      <c r="Q4" s="57"/>
      <c r="R4" s="57"/>
      <c r="S4" s="57"/>
      <c r="T4" s="57"/>
      <c r="U4" s="57"/>
      <c r="V4" s="57"/>
      <c r="W4" s="57"/>
      <c r="X4" s="57"/>
      <c r="Y4" s="57"/>
      <c r="Z4" s="57"/>
      <c r="AA4" s="57"/>
      <c r="AB4" s="57"/>
      <c r="AC4" s="57"/>
      <c r="AD4" s="57"/>
    </row>
    <row r="5" spans="1:35" ht="33" customHeight="1">
      <c r="B5" s="57"/>
      <c r="C5" s="1320" t="str">
        <f>IF('Input Form'!C19="","",'Input Form'!C19)</f>
        <v>COMPONENTES Y CONJUNTOS SA</v>
      </c>
      <c r="D5" s="1320"/>
      <c r="E5" s="1320"/>
      <c r="F5" s="1320"/>
      <c r="G5" s="1320"/>
      <c r="H5" s="1320"/>
      <c r="I5" s="1320"/>
      <c r="J5" s="1320"/>
      <c r="K5" s="1320"/>
      <c r="L5" s="1320"/>
      <c r="M5" s="1320"/>
      <c r="N5" s="1320"/>
      <c r="O5" s="411"/>
      <c r="P5" s="411"/>
      <c r="Q5" s="411"/>
      <c r="R5" s="412"/>
      <c r="S5" s="1321" t="str">
        <f>'Input Form'!B17</f>
        <v>Suppl.-No.:</v>
      </c>
      <c r="T5" s="1321"/>
      <c r="U5" s="1322" t="str">
        <f>IF('Input Form'!C17=0,"",'Input Form'!C17)</f>
        <v>---</v>
      </c>
      <c r="V5" s="1322"/>
      <c r="W5" s="1322"/>
      <c r="X5" s="556" t="str">
        <f>'Input Form'!B18</f>
        <v xml:space="preserve"> D-U-N-S No.:</v>
      </c>
      <c r="Y5" s="1322" t="str">
        <f>IF('Input Form'!C18=0,"",'Input Form'!C18)</f>
        <v/>
      </c>
      <c r="Z5" s="1322"/>
      <c r="AB5" s="556" t="str">
        <f>'Input Form'!B10</f>
        <v>Date:</v>
      </c>
      <c r="AC5" s="413">
        <f>IF('Input Form'!C10="","",'Input Form'!C10)</f>
        <v>46069</v>
      </c>
      <c r="AE5" s="414"/>
      <c r="AF5" s="414"/>
      <c r="AG5" s="414"/>
    </row>
    <row r="6" spans="1:35" ht="18.75" customHeight="1">
      <c r="B6" s="415"/>
      <c r="C6" s="415"/>
      <c r="D6" s="415"/>
      <c r="E6" s="415"/>
      <c r="F6" s="415"/>
      <c r="G6" s="415"/>
      <c r="H6" s="412"/>
      <c r="I6" s="412"/>
      <c r="J6" s="570"/>
      <c r="K6" s="412"/>
      <c r="L6" s="57"/>
      <c r="M6" s="411"/>
      <c r="N6" s="411"/>
      <c r="O6" s="411"/>
      <c r="P6" s="411"/>
      <c r="Q6" s="411"/>
      <c r="R6" s="412"/>
      <c r="S6" s="1321" t="str">
        <f>'Input Form'!B13</f>
        <v>Audit request:</v>
      </c>
      <c r="T6" s="1321"/>
      <c r="U6" s="1322" t="str">
        <f>IF('Input Form'!C13="","",'Input Form'!C13)</f>
        <v/>
      </c>
      <c r="V6" s="1322"/>
      <c r="W6" s="1322"/>
      <c r="X6" s="1324" t="str">
        <f>'Input Form'!D13</f>
        <v>Department:</v>
      </c>
      <c r="Y6" s="1322" t="str">
        <f>IF('Input Form'!E13=0,"",'Input Form'!E13)</f>
        <v/>
      </c>
      <c r="Z6" s="1322"/>
      <c r="AB6" s="1321" t="str">
        <f>'Input Form'!D10</f>
        <v>Shift:</v>
      </c>
      <c r="AC6" s="1322" t="str">
        <f>IF('Input Form'!E10="","",'Input Form'!E10)</f>
        <v/>
      </c>
      <c r="AE6" s="416"/>
      <c r="AF6" s="416"/>
      <c r="AG6" s="414"/>
    </row>
    <row r="7" spans="1:35" ht="18.75" customHeight="1">
      <c r="C7" s="362" t="str">
        <f>'Input Form'!B21</f>
        <v>Location:</v>
      </c>
      <c r="D7" s="412"/>
      <c r="E7" s="412"/>
      <c r="F7" s="412"/>
      <c r="G7" s="572"/>
      <c r="H7" s="572"/>
      <c r="I7" s="572"/>
      <c r="J7" s="572"/>
      <c r="K7" s="572"/>
      <c r="L7" s="411"/>
      <c r="M7" s="411"/>
      <c r="N7" s="411"/>
      <c r="O7" s="411"/>
      <c r="P7" s="411"/>
      <c r="Q7" s="411"/>
      <c r="R7" s="412"/>
      <c r="S7" s="1321"/>
      <c r="T7" s="1321"/>
      <c r="U7" s="1322"/>
      <c r="V7" s="1322"/>
      <c r="W7" s="1322"/>
      <c r="X7" s="1324"/>
      <c r="Y7" s="1322"/>
      <c r="Z7" s="1322"/>
      <c r="AB7" s="1321"/>
      <c r="AC7" s="1322"/>
      <c r="AE7" s="416"/>
      <c r="AF7" s="416"/>
      <c r="AG7" s="416"/>
    </row>
    <row r="8" spans="1:35" ht="15" customHeight="1">
      <c r="C8" s="1323" t="str">
        <f>IF(Lief_Str="","",Lief_Str)</f>
        <v/>
      </c>
      <c r="D8" s="1323"/>
      <c r="E8" s="1323"/>
      <c r="F8" s="1323"/>
      <c r="G8" s="1323"/>
      <c r="H8" s="1323"/>
      <c r="I8" s="412"/>
      <c r="J8" s="411"/>
      <c r="K8" s="412"/>
      <c r="L8" s="1322"/>
      <c r="M8" s="1322"/>
      <c r="N8" s="1322"/>
      <c r="O8" s="1322"/>
      <c r="P8" s="412"/>
      <c r="Q8" s="412"/>
      <c r="R8" s="412"/>
      <c r="S8" s="1321" t="str">
        <f>'Input Form'!B12</f>
        <v>Audit Reason:</v>
      </c>
      <c r="T8" s="1321"/>
      <c r="U8" s="1323" t="str">
        <f>IF('Input Form'!C12="","",'Input Form'!C12)</f>
        <v/>
      </c>
      <c r="V8" s="1323"/>
      <c r="W8" s="1323"/>
      <c r="X8" s="1323"/>
      <c r="Y8" s="1323"/>
      <c r="Z8" s="1323"/>
      <c r="AA8" s="1323"/>
      <c r="AB8" s="1321" t="str">
        <f>'Input Form'!B9</f>
        <v>Order No.:</v>
      </c>
      <c r="AC8" s="1322">
        <f>IF('Input Form'!C9="","",'Input Form'!C9)</f>
        <v>29885</v>
      </c>
      <c r="AD8" s="299"/>
    </row>
    <row r="9" spans="1:35" ht="16.5" customHeight="1">
      <c r="C9" s="1323" t="str">
        <f>IF(Lief_PLZ="","",Lief_PLZ &amp; " ") &amp; Lief_Ort</f>
        <v/>
      </c>
      <c r="D9" s="1323"/>
      <c r="E9" s="1323"/>
      <c r="F9" s="1323"/>
      <c r="G9" s="1323"/>
      <c r="H9" s="1323"/>
      <c r="I9" s="412"/>
      <c r="J9" s="411"/>
      <c r="K9" s="412"/>
      <c r="L9" s="1322"/>
      <c r="M9" s="1322"/>
      <c r="N9" s="1322"/>
      <c r="O9" s="1322"/>
      <c r="P9" s="412"/>
      <c r="Q9" s="412"/>
      <c r="R9" s="412"/>
      <c r="S9" s="1321"/>
      <c r="T9" s="1321"/>
      <c r="U9" s="1323"/>
      <c r="V9" s="1323"/>
      <c r="W9" s="1323"/>
      <c r="X9" s="1323"/>
      <c r="Y9" s="1323"/>
      <c r="Z9" s="1323"/>
      <c r="AA9" s="1323"/>
      <c r="AB9" s="1321"/>
      <c r="AC9" s="1322"/>
      <c r="AD9" s="299"/>
      <c r="AE9" s="188"/>
    </row>
    <row r="10" spans="1:35" ht="21" customHeight="1">
      <c r="B10" s="572"/>
      <c r="C10" s="1325" t="str">
        <f>IF('Input Form'!C22=0,"",'Input Form'!C22)</f>
        <v/>
      </c>
      <c r="D10" s="1325"/>
      <c r="E10" s="1325"/>
      <c r="F10" s="1325"/>
      <c r="G10" s="1325"/>
      <c r="H10" s="1325"/>
      <c r="I10" s="417"/>
      <c r="J10" s="417"/>
      <c r="K10" s="417"/>
      <c r="L10" s="417"/>
      <c r="M10" s="417"/>
      <c r="N10" s="417"/>
      <c r="O10" s="417"/>
      <c r="P10" s="417"/>
      <c r="Q10" s="417"/>
      <c r="R10" s="417"/>
      <c r="S10" s="417"/>
      <c r="T10" s="417"/>
      <c r="U10" s="412"/>
      <c r="V10" s="412"/>
      <c r="W10" s="412"/>
      <c r="X10" s="412"/>
      <c r="Y10" s="412"/>
      <c r="Z10" s="417"/>
      <c r="AA10" s="417"/>
      <c r="AB10" s="417"/>
      <c r="AC10" s="417"/>
      <c r="AD10" s="417"/>
      <c r="AE10" s="188"/>
    </row>
    <row r="11" spans="1:35" ht="17.25" customHeight="1">
      <c r="A11" s="925"/>
      <c r="B11" s="926"/>
      <c r="C11" s="927" t="str">
        <f>VLOOKUP(pos(C11),'Language-Sprachen'!$A$160:$G$179,'Language-Sprachen'!$A$3,0)</f>
        <v>Audit result</v>
      </c>
      <c r="D11" s="927"/>
      <c r="E11" s="928"/>
      <c r="F11" s="928"/>
      <c r="G11" s="928"/>
      <c r="H11" s="928"/>
      <c r="I11" s="928"/>
      <c r="J11" s="929"/>
      <c r="K11" s="928"/>
      <c r="L11" s="927"/>
      <c r="M11" s="928"/>
      <c r="N11" s="927"/>
      <c r="O11" s="937"/>
      <c r="P11" s="417"/>
      <c r="Q11" s="417"/>
      <c r="R11" s="973"/>
      <c r="S11" s="976" t="str">
        <f>VLOOKUP(pos(S11),'Language-Sprachen'!$A$160:$G$179,'Language-Sprachen'!$A$3,0)</f>
        <v>Statements / Requirements</v>
      </c>
      <c r="T11" s="977"/>
      <c r="U11" s="977"/>
      <c r="V11" s="977"/>
      <c r="W11" s="977"/>
      <c r="X11" s="977"/>
      <c r="Y11" s="977"/>
      <c r="Z11" s="977"/>
      <c r="AA11" s="977"/>
      <c r="AB11" s="977"/>
      <c r="AC11" s="977"/>
      <c r="AD11" s="937"/>
      <c r="AE11" s="188"/>
    </row>
    <row r="12" spans="1:35" ht="33.75" customHeight="1">
      <c r="A12" s="925"/>
      <c r="B12" s="930"/>
      <c r="C12" s="363" t="str">
        <f>VLOOKUP(pos(C12),'Language-Sprachen'!$A$160:$G$179,'Language-Sprachen'!$A$3,0)</f>
        <v>Evaluated process element</v>
      </c>
      <c r="D12" s="364"/>
      <c r="E12" s="365"/>
      <c r="F12" s="365"/>
      <c r="G12" s="365"/>
      <c r="H12" s="366"/>
      <c r="I12" s="939"/>
      <c r="J12" s="367" t="str">
        <f>VLOOKUP(pos(J12),'Language-Sprachen'!$A$160:$G$179,'Language-Sprachen'!$A$3,0)</f>
        <v>Evaluation Index</v>
      </c>
      <c r="K12" s="943"/>
      <c r="L12" s="367" t="e">
        <f>#REF!</f>
        <v>#REF!</v>
      </c>
      <c r="M12" s="943"/>
      <c r="N12" s="368" t="e">
        <f>#REF!</f>
        <v>#REF!</v>
      </c>
      <c r="O12" s="938"/>
      <c r="P12" s="417"/>
      <c r="Q12" s="417"/>
      <c r="R12" s="974"/>
      <c r="S12" s="1380" t="str">
        <f>VLOOKUP(pos(S12),'Language-Sprachen'!$A$160:$G$179,'Language-Sprachen'!$A$3,0)</f>
        <v>Summary of the audit carried out</v>
      </c>
      <c r="T12" s="1380" t="e">
        <f>VLOOKUP(pos(T12),'Language-Sprachen'!$A$160:$G$179,'Language-Sprachen'!$A$3,0)</f>
        <v>#N/A</v>
      </c>
      <c r="U12" s="1380" t="e">
        <f>VLOOKUP(pos(U12),'Language-Sprachen'!$A$160:$G$179,'Language-Sprachen'!$A$3,0)</f>
        <v>#N/A</v>
      </c>
      <c r="V12" s="1380" t="e">
        <f>VLOOKUP(pos(V12),'Language-Sprachen'!$A$160:$G$179,'Language-Sprachen'!$A$3,0)</f>
        <v>#N/A</v>
      </c>
      <c r="W12" s="1380" t="e">
        <f>VLOOKUP(pos(W12),'Language-Sprachen'!$A$160:$G$179,'Language-Sprachen'!$A$3,0)</f>
        <v>#N/A</v>
      </c>
      <c r="X12" s="1380" t="e">
        <f>VLOOKUP(pos(X12),'Language-Sprachen'!$A$160:$G$179,'Language-Sprachen'!$A$3,0)</f>
        <v>#N/A</v>
      </c>
      <c r="Y12" s="1380" t="e">
        <f>VLOOKUP(pos(Y12),'Language-Sprachen'!$A$160:$G$179,'Language-Sprachen'!$A$3,0)</f>
        <v>#N/A</v>
      </c>
      <c r="Z12" s="1380" t="e">
        <f>VLOOKUP(pos(Z12),'Language-Sprachen'!$A$160:$G$179,'Language-Sprachen'!$A$3,0)</f>
        <v>#N/A</v>
      </c>
      <c r="AA12" s="1380" t="e">
        <f>VLOOKUP(pos(AA12),'Language-Sprachen'!$A$160:$G$179,'Language-Sprachen'!$A$3,0)</f>
        <v>#N/A</v>
      </c>
      <c r="AB12" s="1380" t="e">
        <f>VLOOKUP(pos(AB12),'Language-Sprachen'!$A$160:$G$179,'Language-Sprachen'!$A$3,0)</f>
        <v>#N/A</v>
      </c>
      <c r="AC12" s="1380" t="e">
        <f>VLOOKUP(pos(AC12),'Language-Sprachen'!$A$160:$G$179,'Language-Sprachen'!$A$3,0)</f>
        <v>#N/A</v>
      </c>
      <c r="AD12" s="938"/>
      <c r="AE12" s="188"/>
    </row>
    <row r="13" spans="1:35" ht="20.25">
      <c r="A13" s="925" t="str">
        <f>IF(ISNUMBER(A14),", P2","")&amp;IF(ISNUMBER(A15),", P3","")&amp;IF(ISNUMBER(A16),", P4","")&amp;IF(ISNUMBER(A17),", P5","")&amp;IF(ISNUMBER(A18),", P6","")&amp;IF(ISNUMBER(A19),", P7","")</f>
        <v/>
      </c>
      <c r="B13" s="930"/>
      <c r="C13" s="1327" t="str">
        <f>IF(A13="","",RIGHT(A13,LEN(A13)-2))</f>
        <v/>
      </c>
      <c r="D13" s="1328"/>
      <c r="E13" s="1328"/>
      <c r="F13" s="1328"/>
      <c r="G13" s="1328"/>
      <c r="H13" s="1329"/>
      <c r="I13" s="940"/>
      <c r="J13" s="563" t="str">
        <f>"("&amp;IF(ISNUMBER(A14),"P2","")&amp;IF(ISNUMBER(A15),"P3","")&amp;IF(ISNUMBER(A16),"P4","")&amp;IF(ISNUMBER(A17),"P5","")&amp;IF(ISNUMBER(A18),"P6","")&amp;IF(ISNUMBER(A19),"P7","")&amp;")"</f>
        <v>()</v>
      </c>
      <c r="K13" s="939"/>
      <c r="L13" s="369" t="str">
        <f>IF(A13="","",#REF!)</f>
        <v/>
      </c>
      <c r="M13" s="945"/>
      <c r="N13" s="370" t="str">
        <f>IF(A13="","",#REF!)</f>
        <v/>
      </c>
      <c r="O13" s="938"/>
      <c r="P13" s="417"/>
      <c r="Q13" s="417"/>
      <c r="R13" s="974"/>
      <c r="S13" s="1330"/>
      <c r="T13" s="1330"/>
      <c r="U13" s="1330"/>
      <c r="V13" s="1330"/>
      <c r="W13" s="1330"/>
      <c r="X13" s="1330"/>
      <c r="Y13" s="1330"/>
      <c r="Z13" s="1330"/>
      <c r="AA13" s="1330"/>
      <c r="AB13" s="1330"/>
      <c r="AC13" s="1330"/>
      <c r="AD13" s="978"/>
    </row>
    <row r="14" spans="1:35" ht="19.5" customHeight="1">
      <c r="A14" s="925" t="e">
        <f>epm</f>
        <v>#REF!</v>
      </c>
      <c r="B14" s="930"/>
      <c r="C14" s="555" t="str">
        <f>VLOOKUP(pos(C14),'Language-Sprachen'!$A$160:$G$179,'Language-Sprachen'!$A$3,0)</f>
        <v>Evaluated product group</v>
      </c>
      <c r="D14" s="365"/>
      <c r="E14" s="364"/>
      <c r="F14" s="364"/>
      <c r="G14" s="364"/>
      <c r="H14" s="371"/>
      <c r="I14" s="941"/>
      <c r="J14" s="825" t="str">
        <f>VLOOKUP(pos(J14),'Language-Sprachen'!$A$160:$G$179,'Language-Sprachen'!$A$3,0)</f>
        <v>Missing!</v>
      </c>
      <c r="K14" s="944"/>
      <c r="L14" s="372"/>
      <c r="M14" s="946"/>
      <c r="N14" s="373"/>
      <c r="O14" s="938"/>
      <c r="P14" s="417"/>
      <c r="Q14" s="417"/>
      <c r="R14" s="974"/>
      <c r="S14" s="1330"/>
      <c r="T14" s="1330"/>
      <c r="U14" s="1330"/>
      <c r="V14" s="1330"/>
      <c r="W14" s="1330"/>
      <c r="X14" s="1330"/>
      <c r="Y14" s="1330"/>
      <c r="Z14" s="1330"/>
      <c r="AA14" s="1330"/>
      <c r="AB14" s="1330"/>
      <c r="AC14" s="1330"/>
      <c r="AD14" s="978"/>
    </row>
    <row r="15" spans="1:35" ht="21">
      <c r="A15" s="925" t="e">
        <f>#NULL!</f>
        <v>#NULL!</v>
      </c>
      <c r="B15" s="930"/>
      <c r="C15" s="1332" t="str">
        <f>IF('Input Form'!C34=0,"--",'Input Form'!C34)</f>
        <v>--</v>
      </c>
      <c r="D15" s="1333"/>
      <c r="E15" s="1333"/>
      <c r="F15" s="1333"/>
      <c r="G15" s="1333"/>
      <c r="H15" s="1334"/>
      <c r="I15" s="942"/>
      <c r="J15" s="374" t="s">
        <v>202</v>
      </c>
      <c r="K15" s="939"/>
      <c r="L15" s="375" t="str">
        <f>IF(C15="--","--",PrGr1!BB62)</f>
        <v>--</v>
      </c>
      <c r="M15" s="939"/>
      <c r="N15" s="376" t="str">
        <f>IF(C15="--","--",PrGr1!BE62)</f>
        <v>--</v>
      </c>
      <c r="O15" s="938"/>
      <c r="P15" s="417"/>
      <c r="Q15" s="417"/>
      <c r="R15" s="974"/>
      <c r="S15" s="1330"/>
      <c r="T15" s="1330"/>
      <c r="U15" s="1330"/>
      <c r="V15" s="1330"/>
      <c r="W15" s="1330"/>
      <c r="X15" s="1330"/>
      <c r="Y15" s="1330"/>
      <c r="Z15" s="1330"/>
      <c r="AA15" s="1330"/>
      <c r="AB15" s="1330"/>
      <c r="AC15" s="1330"/>
      <c r="AD15" s="978"/>
    </row>
    <row r="16" spans="1:35" ht="21">
      <c r="A16" s="925" t="e">
        <f>#NULL!</f>
        <v>#NULL!</v>
      </c>
      <c r="B16" s="930"/>
      <c r="C16" s="1335" t="str">
        <f>IF('Input Form'!D34=0,"--",'Input Form'!D34)</f>
        <v>--</v>
      </c>
      <c r="D16" s="1336"/>
      <c r="E16" s="1336"/>
      <c r="F16" s="1336"/>
      <c r="G16" s="1336"/>
      <c r="H16" s="1337"/>
      <c r="I16" s="942"/>
      <c r="J16" s="377" t="s">
        <v>202</v>
      </c>
      <c r="K16" s="939"/>
      <c r="L16" s="378" t="str">
        <f>IF(C16="--","--",PrGr2!BB62)</f>
        <v>--</v>
      </c>
      <c r="M16" s="939"/>
      <c r="N16" s="379" t="str">
        <f>IF(C16="--","--",PrGr2!BE62)</f>
        <v>--</v>
      </c>
      <c r="O16" s="938"/>
      <c r="P16" s="417"/>
      <c r="Q16" s="417"/>
      <c r="R16" s="974"/>
      <c r="S16" s="1330"/>
      <c r="T16" s="1330"/>
      <c r="U16" s="1330"/>
      <c r="V16" s="1330"/>
      <c r="W16" s="1330"/>
      <c r="X16" s="1330"/>
      <c r="Y16" s="1330"/>
      <c r="Z16" s="1330"/>
      <c r="AA16" s="1330"/>
      <c r="AB16" s="1330"/>
      <c r="AC16" s="1330"/>
      <c r="AD16" s="978"/>
    </row>
    <row r="17" spans="1:31" ht="21">
      <c r="A17" s="925" t="e">
        <f>elm</f>
        <v>#REF!</v>
      </c>
      <c r="B17" s="930"/>
      <c r="C17" s="1335" t="str">
        <f>IF('Input Form'!E34=0,"--",'Input Form'!E34)</f>
        <v>--</v>
      </c>
      <c r="D17" s="1336"/>
      <c r="E17" s="1336"/>
      <c r="F17" s="1336"/>
      <c r="G17" s="1336"/>
      <c r="H17" s="1337"/>
      <c r="I17" s="942"/>
      <c r="J17" s="377" t="s">
        <v>202</v>
      </c>
      <c r="K17" s="939"/>
      <c r="L17" s="378" t="str">
        <f>IF(C17="--","--",PrGr3!BB62)</f>
        <v>--</v>
      </c>
      <c r="M17" s="939"/>
      <c r="N17" s="379" t="str">
        <f>IF(C17="--","--",PrGr3!BE62)</f>
        <v>--</v>
      </c>
      <c r="O17" s="938"/>
      <c r="P17" s="417"/>
      <c r="Q17" s="417"/>
      <c r="R17" s="974"/>
      <c r="S17" s="1331"/>
      <c r="T17" s="1331"/>
      <c r="U17" s="1331"/>
      <c r="V17" s="1331"/>
      <c r="W17" s="1331"/>
      <c r="X17" s="1331"/>
      <c r="Y17" s="1331"/>
      <c r="Z17" s="1331"/>
      <c r="AA17" s="1331"/>
      <c r="AB17" s="1331"/>
      <c r="AC17" s="1331"/>
      <c r="AD17" s="978"/>
    </row>
    <row r="18" spans="1:31" ht="21">
      <c r="A18" s="925" t="e">
        <f>epg</f>
        <v>#REF!</v>
      </c>
      <c r="B18" s="930"/>
      <c r="C18" s="1350" t="str">
        <f>IF('Input Form'!F34=0,"--",'Input Form'!F34)</f>
        <v>--</v>
      </c>
      <c r="D18" s="1351"/>
      <c r="E18" s="1351"/>
      <c r="F18" s="1351"/>
      <c r="G18" s="1351"/>
      <c r="H18" s="1352"/>
      <c r="I18" s="942"/>
      <c r="J18" s="380" t="s">
        <v>202</v>
      </c>
      <c r="K18" s="939"/>
      <c r="L18" s="381" t="str">
        <f>IF(C18="--","--",PrGr4!BE62)</f>
        <v>--</v>
      </c>
      <c r="M18" s="939"/>
      <c r="N18" s="382" t="str">
        <f>IF(C18="--","--",PrGr4!BE62)</f>
        <v>--</v>
      </c>
      <c r="O18" s="938"/>
      <c r="P18" s="417"/>
      <c r="Q18" s="417"/>
      <c r="R18" s="974"/>
      <c r="S18" s="1380" t="str">
        <f>VLOOKUP(pos(S18),'Language-Sprachen'!$A$160:$G$179,'Language-Sprachen'!$A$3,0)</f>
        <v>During the audit the following significant findings were identified:</v>
      </c>
      <c r="T18" s="1380" t="e">
        <f>VLOOKUP(pos(T18),'Language-Sprachen'!$A$160:$G$179,'Language-Sprachen'!$A$3,0)</f>
        <v>#N/A</v>
      </c>
      <c r="U18" s="1380" t="e">
        <f>VLOOKUP(pos(U18),'Language-Sprachen'!$A$160:$G$179,'Language-Sprachen'!$A$3,0)</f>
        <v>#N/A</v>
      </c>
      <c r="V18" s="1380" t="e">
        <f>VLOOKUP(pos(V18),'Language-Sprachen'!$A$160:$G$179,'Language-Sprachen'!$A$3,0)</f>
        <v>#N/A</v>
      </c>
      <c r="W18" s="1380" t="e">
        <f>VLOOKUP(pos(W18),'Language-Sprachen'!$A$160:$G$179,'Language-Sprachen'!$A$3,0)</f>
        <v>#N/A</v>
      </c>
      <c r="X18" s="1380" t="e">
        <f>VLOOKUP(pos(X18),'Language-Sprachen'!$A$160:$G$179,'Language-Sprachen'!$A$3,0)</f>
        <v>#N/A</v>
      </c>
      <c r="Y18" s="1380" t="e">
        <f>VLOOKUP(pos(Y18),'Language-Sprachen'!$A$160:$G$179,'Language-Sprachen'!$A$3,0)</f>
        <v>#N/A</v>
      </c>
      <c r="Z18" s="1380" t="e">
        <f>VLOOKUP(pos(Z18),'Language-Sprachen'!$A$160:$G$179,'Language-Sprachen'!$A$3,0)</f>
        <v>#N/A</v>
      </c>
      <c r="AA18" s="1380" t="e">
        <f>VLOOKUP(pos(AA18),'Language-Sprachen'!$A$160:$G$179,'Language-Sprachen'!$A$3,0)</f>
        <v>#N/A</v>
      </c>
      <c r="AB18" s="1380" t="e">
        <f>VLOOKUP(pos(AB18),'Language-Sprachen'!$A$160:$G$179,'Language-Sprachen'!$A$3,0)</f>
        <v>#N/A</v>
      </c>
      <c r="AC18" s="1380" t="e">
        <f>VLOOKUP(pos(AC18),'Language-Sprachen'!$A$160:$G$179,'Language-Sprachen'!$A$3,0)</f>
        <v>#N/A</v>
      </c>
      <c r="AD18" s="978"/>
    </row>
    <row r="19" spans="1:31" ht="6.75" customHeight="1">
      <c r="A19" s="925" t="e">
        <f>#NULL!</f>
        <v>#NULL!</v>
      </c>
      <c r="B19" s="931"/>
      <c r="C19" s="932"/>
      <c r="D19" s="932"/>
      <c r="E19" s="933"/>
      <c r="F19" s="933"/>
      <c r="G19" s="933"/>
      <c r="H19" s="933"/>
      <c r="I19" s="933"/>
      <c r="J19" s="933"/>
      <c r="K19" s="934"/>
      <c r="L19" s="935"/>
      <c r="M19" s="935"/>
      <c r="N19" s="935"/>
      <c r="O19" s="936"/>
      <c r="P19" s="188"/>
      <c r="Q19" s="188"/>
      <c r="R19" s="950"/>
      <c r="S19" s="1330"/>
      <c r="T19" s="1330"/>
      <c r="U19" s="1330"/>
      <c r="V19" s="1330"/>
      <c r="W19" s="1330"/>
      <c r="X19" s="1330"/>
      <c r="Y19" s="1330"/>
      <c r="Z19" s="1330"/>
      <c r="AA19" s="1330"/>
      <c r="AB19" s="1330"/>
      <c r="AC19" s="1330"/>
      <c r="AD19" s="952"/>
      <c r="AE19" s="188"/>
    </row>
    <row r="20" spans="1:31" ht="31.5" customHeight="1">
      <c r="B20" s="1384" t="str">
        <f>VLOOKUP(pos(B20),'Language-Sprachen'!$A$160:$G$179,'Language-Sprachen'!$A$3,0)</f>
        <v>Classification scale: A = 90 - 100% quality capable; B&gt;=80 - &lt;90% conditionally quality capable; C = 0 - &lt; 80% not quality capable</v>
      </c>
      <c r="C20" s="1384" t="e">
        <f>VLOOKUP(pos(C20),'Language-Sprachen'!$A$160:$G$179,'Language-Sprachen'!$A$3,0)</f>
        <v>#N/A</v>
      </c>
      <c r="D20" s="1384" t="e">
        <f>VLOOKUP(pos(D20),'Language-Sprachen'!$A$160:$G$179,'Language-Sprachen'!$A$3,0)</f>
        <v>#N/A</v>
      </c>
      <c r="E20" s="1384" t="e">
        <f>VLOOKUP(pos(E20),'Language-Sprachen'!$A$160:$G$179,'Language-Sprachen'!$A$3,0)</f>
        <v>#N/A</v>
      </c>
      <c r="F20" s="1384" t="e">
        <f>VLOOKUP(pos(F20),'Language-Sprachen'!$A$160:$G$179,'Language-Sprachen'!$A$3,0)</f>
        <v>#N/A</v>
      </c>
      <c r="G20" s="1384" t="e">
        <f>VLOOKUP(pos(G20),'Language-Sprachen'!$A$160:$G$179,'Language-Sprachen'!$A$3,0)</f>
        <v>#N/A</v>
      </c>
      <c r="H20" s="1384" t="e">
        <f>VLOOKUP(pos(H20),'Language-Sprachen'!$A$160:$G$179,'Language-Sprachen'!$A$3,0)</f>
        <v>#N/A</v>
      </c>
      <c r="I20" s="1384" t="e">
        <f>VLOOKUP(pos(I20),'Language-Sprachen'!$A$160:$G$179,'Language-Sprachen'!$A$3,0)</f>
        <v>#N/A</v>
      </c>
      <c r="J20" s="1384" t="e">
        <f>VLOOKUP(pos(J20),'Language-Sprachen'!$A$160:$G$179,'Language-Sprachen'!$A$3,0)</f>
        <v>#N/A</v>
      </c>
      <c r="K20" s="1384" t="e">
        <f>VLOOKUP(pos(K20),'Language-Sprachen'!$A$160:$G$179,'Language-Sprachen'!$A$3,0)</f>
        <v>#N/A</v>
      </c>
      <c r="L20" s="1384" t="e">
        <f>VLOOKUP(pos(L20),'Language-Sprachen'!$A$160:$G$179,'Language-Sprachen'!$A$3,0)</f>
        <v>#N/A</v>
      </c>
      <c r="M20" s="1384" t="e">
        <f>VLOOKUP(pos(M20),'Language-Sprachen'!$A$160:$G$179,'Language-Sprachen'!$A$3,0)</f>
        <v>#N/A</v>
      </c>
      <c r="N20" s="1384" t="e">
        <f>VLOOKUP(pos(N20),'Language-Sprachen'!$A$160:$G$179,'Language-Sprachen'!$A$3,0)</f>
        <v>#N/A</v>
      </c>
      <c r="O20" s="1384" t="e">
        <f>VLOOKUP(pos(O20),'Language-Sprachen'!$A$160:$G$179,'Language-Sprachen'!$A$3,0)</f>
        <v>#N/A</v>
      </c>
      <c r="P20" s="135"/>
      <c r="Q20" s="135"/>
      <c r="R20" s="975"/>
      <c r="S20" s="1330"/>
      <c r="T20" s="1330"/>
      <c r="U20" s="1330"/>
      <c r="V20" s="1330"/>
      <c r="W20" s="1330"/>
      <c r="X20" s="1330"/>
      <c r="Y20" s="1330"/>
      <c r="Z20" s="1330"/>
      <c r="AA20" s="1330"/>
      <c r="AB20" s="1330"/>
      <c r="AC20" s="1330"/>
      <c r="AD20" s="979"/>
      <c r="AE20" s="135"/>
    </row>
    <row r="21" spans="1:31" ht="93.75" customHeight="1">
      <c r="C21" s="1354"/>
      <c r="D21" s="1354"/>
      <c r="E21" s="1354"/>
      <c r="F21" s="1354"/>
      <c r="G21" s="1354"/>
      <c r="H21" s="1354"/>
      <c r="I21" s="1354"/>
      <c r="J21" s="1354"/>
      <c r="L21" s="1355"/>
      <c r="M21" s="1356"/>
      <c r="N21" s="1356"/>
      <c r="P21" s="188"/>
      <c r="Q21" s="188"/>
      <c r="R21" s="950"/>
      <c r="S21" s="1330"/>
      <c r="T21" s="1330"/>
      <c r="U21" s="1330"/>
      <c r="V21" s="1330"/>
      <c r="W21" s="1330"/>
      <c r="X21" s="1330"/>
      <c r="Y21" s="1330"/>
      <c r="Z21" s="1330"/>
      <c r="AA21" s="1330"/>
      <c r="AB21" s="1330"/>
      <c r="AC21" s="1330"/>
      <c r="AD21" s="952"/>
      <c r="AE21" s="188"/>
    </row>
    <row r="22" spans="1:31" ht="15.75" customHeight="1">
      <c r="A22" s="947"/>
      <c r="B22" s="948"/>
      <c r="C22" s="953" t="str">
        <f>'Input Form'!B27</f>
        <v>Last Audit Results  / Certificate</v>
      </c>
      <c r="D22" s="954"/>
      <c r="E22" s="955"/>
      <c r="F22" s="955"/>
      <c r="G22" s="955"/>
      <c r="H22" s="955"/>
      <c r="I22" s="955"/>
      <c r="J22" s="955"/>
      <c r="K22" s="956"/>
      <c r="L22" s="957"/>
      <c r="M22" s="957"/>
      <c r="N22" s="957"/>
      <c r="O22" s="951"/>
      <c r="P22" s="188"/>
      <c r="Q22" s="188"/>
      <c r="R22" s="950"/>
      <c r="S22" s="1331"/>
      <c r="T22" s="1331"/>
      <c r="U22" s="1331"/>
      <c r="V22" s="1331"/>
      <c r="W22" s="1331"/>
      <c r="X22" s="1331"/>
      <c r="Y22" s="1331"/>
      <c r="Z22" s="1331"/>
      <c r="AA22" s="1331"/>
      <c r="AB22" s="1331"/>
      <c r="AC22" s="1331"/>
      <c r="AD22" s="952"/>
      <c r="AE22" s="188"/>
    </row>
    <row r="23" spans="1:31" ht="31.5" customHeight="1">
      <c r="A23" s="947"/>
      <c r="B23" s="949"/>
      <c r="C23" s="1338" t="str">
        <f>'Input Form'!B28</f>
        <v>Certificate / Audit No:</v>
      </c>
      <c r="D23" s="1339"/>
      <c r="E23" s="1339"/>
      <c r="F23" s="1340"/>
      <c r="G23" s="958"/>
      <c r="H23" s="383" t="str">
        <f>'Input Form'!B29</f>
        <v>Issue Date</v>
      </c>
      <c r="I23" s="960"/>
      <c r="J23" s="384" t="str">
        <f>'Input Form'!B30</f>
        <v>Conducted by</v>
      </c>
      <c r="K23" s="958"/>
      <c r="L23" s="1338" t="str">
        <f>'Input Form'!B31</f>
        <v>Result / Certificate No.</v>
      </c>
      <c r="M23" s="1339"/>
      <c r="N23" s="1340"/>
      <c r="O23" s="952"/>
      <c r="P23" s="188"/>
      <c r="Q23" s="188"/>
      <c r="R23" s="950"/>
      <c r="S23" s="1380" t="str">
        <f>VLOOKUP(pos(S23),'Language-Sprachen'!$A$160:$G$179,'Language-Sprachen'!$A$3,0)</f>
        <v>Conclusion</v>
      </c>
      <c r="T23" s="1380" t="e">
        <f>VLOOKUP(pos(T23),'Language-Sprachen'!$A$160:$G$179,'Language-Sprachen'!$A$3,0)</f>
        <v>#N/A</v>
      </c>
      <c r="U23" s="1380" t="e">
        <f>VLOOKUP(pos(U23),'Language-Sprachen'!$A$160:$G$179,'Language-Sprachen'!$A$3,0)</f>
        <v>#N/A</v>
      </c>
      <c r="V23" s="1380" t="e">
        <f>VLOOKUP(pos(V23),'Language-Sprachen'!$A$160:$G$179,'Language-Sprachen'!$A$3,0)</f>
        <v>#N/A</v>
      </c>
      <c r="W23" s="1380" t="e">
        <f>VLOOKUP(pos(W23),'Language-Sprachen'!$A$160:$G$179,'Language-Sprachen'!$A$3,0)</f>
        <v>#N/A</v>
      </c>
      <c r="X23" s="1380" t="e">
        <f>VLOOKUP(pos(X23),'Language-Sprachen'!$A$160:$G$179,'Language-Sprachen'!$A$3,0)</f>
        <v>#N/A</v>
      </c>
      <c r="Y23" s="1380" t="e">
        <f>VLOOKUP(pos(Y23),'Language-Sprachen'!$A$160:$G$179,'Language-Sprachen'!$A$3,0)</f>
        <v>#N/A</v>
      </c>
      <c r="Z23" s="1380" t="e">
        <f>VLOOKUP(pos(Z23),'Language-Sprachen'!$A$160:$G$179,'Language-Sprachen'!$A$3,0)</f>
        <v>#N/A</v>
      </c>
      <c r="AA23" s="1380" t="e">
        <f>VLOOKUP(pos(AA23),'Language-Sprachen'!$A$160:$G$179,'Language-Sprachen'!$A$3,0)</f>
        <v>#N/A</v>
      </c>
      <c r="AB23" s="1380" t="e">
        <f>VLOOKUP(pos(AB23),'Language-Sprachen'!$A$160:$G$179,'Language-Sprachen'!$A$3,0)</f>
        <v>#N/A</v>
      </c>
      <c r="AC23" s="1380" t="e">
        <f>VLOOKUP(pos(AC23),'Language-Sprachen'!$A$160:$G$179,'Language-Sprachen'!$A$3,0)</f>
        <v>#N/A</v>
      </c>
      <c r="AD23" s="952"/>
      <c r="AE23" s="188"/>
    </row>
    <row r="24" spans="1:31" ht="15.75" customHeight="1">
      <c r="A24" s="947"/>
      <c r="B24" s="950"/>
      <c r="C24" s="1341" t="str">
        <f>IF('Input Form'!C28=""," ",'Input Form'!C28)</f>
        <v xml:space="preserve"> </v>
      </c>
      <c r="D24" s="1342"/>
      <c r="E24" s="1342"/>
      <c r="F24" s="1343"/>
      <c r="G24" s="959"/>
      <c r="H24" s="385" t="str">
        <f>IF('Input Form'!C29=""," ",'Input Form'!C29)</f>
        <v xml:space="preserve"> </v>
      </c>
      <c r="I24" s="961"/>
      <c r="J24" s="386" t="str">
        <f>IF('Input Form'!C30=""," ",'Input Form'!C30)</f>
        <v xml:space="preserve"> </v>
      </c>
      <c r="K24" s="959"/>
      <c r="L24" s="1341" t="str">
        <f>IF('Input Form'!C31=""," ",'Input Form'!C31)</f>
        <v xml:space="preserve"> </v>
      </c>
      <c r="M24" s="1342"/>
      <c r="N24" s="1343"/>
      <c r="O24" s="952"/>
      <c r="P24" s="188"/>
      <c r="Q24" s="188"/>
      <c r="R24" s="950"/>
      <c r="S24" s="1330"/>
      <c r="T24" s="1330"/>
      <c r="U24" s="1330"/>
      <c r="V24" s="1330"/>
      <c r="W24" s="1330"/>
      <c r="X24" s="1330"/>
      <c r="Y24" s="1330"/>
      <c r="Z24" s="1330"/>
      <c r="AA24" s="1330"/>
      <c r="AB24" s="1330"/>
      <c r="AC24" s="1330"/>
      <c r="AD24" s="952"/>
      <c r="AE24" s="188"/>
    </row>
    <row r="25" spans="1:31" ht="17.25" customHeight="1">
      <c r="A25" s="947"/>
      <c r="B25" s="950"/>
      <c r="C25" s="1344" t="str">
        <f>IF('Input Form'!D28=""," ",'Input Form'!D28)</f>
        <v xml:space="preserve"> </v>
      </c>
      <c r="D25" s="1345"/>
      <c r="E25" s="1345"/>
      <c r="F25" s="1346"/>
      <c r="G25" s="959"/>
      <c r="H25" s="387" t="str">
        <f>IF('Input Form'!D29=""," ",'Input Form'!D29)</f>
        <v xml:space="preserve"> </v>
      </c>
      <c r="I25" s="961"/>
      <c r="J25" s="388" t="str">
        <f>IF('Input Form'!D30=""," ",'Input Form'!D30)</f>
        <v xml:space="preserve"> </v>
      </c>
      <c r="K25" s="959"/>
      <c r="L25" s="1344" t="str">
        <f>IF('Input Form'!D31=""," ",'Input Form'!D31)</f>
        <v xml:space="preserve"> </v>
      </c>
      <c r="M25" s="1345"/>
      <c r="N25" s="1346"/>
      <c r="O25" s="952"/>
      <c r="P25" s="188"/>
      <c r="Q25" s="188"/>
      <c r="R25" s="950"/>
      <c r="S25" s="1330"/>
      <c r="T25" s="1330"/>
      <c r="U25" s="1330"/>
      <c r="V25" s="1330"/>
      <c r="W25" s="1330"/>
      <c r="X25" s="1330"/>
      <c r="Y25" s="1330"/>
      <c r="Z25" s="1330"/>
      <c r="AA25" s="1330"/>
      <c r="AB25" s="1330"/>
      <c r="AC25" s="1330"/>
      <c r="AD25" s="952"/>
      <c r="AE25" s="188"/>
    </row>
    <row r="26" spans="1:31" ht="15">
      <c r="A26" s="947"/>
      <c r="B26" s="950"/>
      <c r="C26" s="1344" t="str">
        <f>IF('Input Form'!E28=""," ",'Input Form'!E28)</f>
        <v xml:space="preserve"> </v>
      </c>
      <c r="D26" s="1345"/>
      <c r="E26" s="1345"/>
      <c r="F26" s="1346"/>
      <c r="G26" s="959"/>
      <c r="H26" s="387" t="str">
        <f>IF('Input Form'!E29=""," ",'Input Form'!E29)</f>
        <v xml:space="preserve"> </v>
      </c>
      <c r="I26" s="961"/>
      <c r="J26" s="388" t="str">
        <f>IF('Input Form'!E30=""," ",'Input Form'!E30)</f>
        <v xml:space="preserve"> </v>
      </c>
      <c r="K26" s="959"/>
      <c r="L26" s="1344" t="str">
        <f>IF('Input Form'!E31=""," ",'Input Form'!E31)</f>
        <v xml:space="preserve"> </v>
      </c>
      <c r="M26" s="1345"/>
      <c r="N26" s="1346"/>
      <c r="O26" s="952"/>
      <c r="P26" s="188"/>
      <c r="Q26" s="188"/>
      <c r="R26" s="950"/>
      <c r="S26" s="1330"/>
      <c r="T26" s="1330"/>
      <c r="U26" s="1330"/>
      <c r="V26" s="1330"/>
      <c r="W26" s="1330"/>
      <c r="X26" s="1330"/>
      <c r="Y26" s="1330"/>
      <c r="Z26" s="1330"/>
      <c r="AA26" s="1330"/>
      <c r="AB26" s="1330"/>
      <c r="AC26" s="1330"/>
      <c r="AD26" s="952"/>
      <c r="AE26" s="188"/>
    </row>
    <row r="27" spans="1:31" ht="15">
      <c r="A27" s="947"/>
      <c r="B27" s="950"/>
      <c r="C27" s="1347" t="str">
        <f>IF('Input Form'!F28=""," ",'Input Form'!F28)</f>
        <v xml:space="preserve"> </v>
      </c>
      <c r="D27" s="1348"/>
      <c r="E27" s="1348"/>
      <c r="F27" s="1349"/>
      <c r="G27" s="959"/>
      <c r="H27" s="389" t="str">
        <f>IF('Input Form'!F29=""," ",'Input Form'!F29)</f>
        <v xml:space="preserve"> </v>
      </c>
      <c r="I27" s="961"/>
      <c r="J27" s="390" t="str">
        <f>IF('Input Form'!F30=""," ",'Input Form'!F30)</f>
        <v xml:space="preserve"> </v>
      </c>
      <c r="K27" s="959"/>
      <c r="L27" s="1347" t="str">
        <f>IF('Input Form'!F31=""," ",'Input Form'!F31)</f>
        <v xml:space="preserve"> </v>
      </c>
      <c r="M27" s="1348"/>
      <c r="N27" s="1349"/>
      <c r="O27" s="952"/>
      <c r="P27" s="188"/>
      <c r="Q27" s="188"/>
      <c r="R27" s="950"/>
      <c r="S27" s="1331"/>
      <c r="T27" s="1331"/>
      <c r="U27" s="1331"/>
      <c r="V27" s="1331"/>
      <c r="W27" s="1331"/>
      <c r="X27" s="1331"/>
      <c r="Y27" s="1331"/>
      <c r="Z27" s="1331"/>
      <c r="AA27" s="1331"/>
      <c r="AB27" s="1331"/>
      <c r="AC27" s="1331"/>
      <c r="AD27" s="952"/>
      <c r="AE27" s="188"/>
    </row>
    <row r="28" spans="1:31" ht="18">
      <c r="A28" s="947"/>
      <c r="B28" s="931"/>
      <c r="C28" s="932"/>
      <c r="D28" s="932"/>
      <c r="E28" s="933"/>
      <c r="F28" s="933"/>
      <c r="G28" s="933"/>
      <c r="H28" s="933"/>
      <c r="I28" s="933"/>
      <c r="J28" s="933"/>
      <c r="K28" s="934"/>
      <c r="L28" s="935"/>
      <c r="M28" s="935"/>
      <c r="N28" s="935"/>
      <c r="O28" s="936"/>
      <c r="P28" s="188"/>
      <c r="Q28" s="188"/>
      <c r="R28" s="950"/>
      <c r="S28" s="1380" t="str">
        <f>VLOOKUP(pos(S28),'Language-Sprachen'!$A$160:$G$179,'Language-Sprachen'!$A$3,0)</f>
        <v>Further action</v>
      </c>
      <c r="T28" s="1380" t="e">
        <f>VLOOKUP(pos(T28),'Language-Sprachen'!$A$160:$G$179,'Language-Sprachen'!$A$3,0)</f>
        <v>#N/A</v>
      </c>
      <c r="U28" s="1380" t="e">
        <f>VLOOKUP(pos(U28),'Language-Sprachen'!$A$160:$G$179,'Language-Sprachen'!$A$3,0)</f>
        <v>#N/A</v>
      </c>
      <c r="V28" s="1380" t="e">
        <f>VLOOKUP(pos(V28),'Language-Sprachen'!$A$160:$G$179,'Language-Sprachen'!$A$3,0)</f>
        <v>#N/A</v>
      </c>
      <c r="W28" s="1380" t="e">
        <f>VLOOKUP(pos(W28),'Language-Sprachen'!$A$160:$G$179,'Language-Sprachen'!$A$3,0)</f>
        <v>#N/A</v>
      </c>
      <c r="X28" s="1380" t="e">
        <f>VLOOKUP(pos(X28),'Language-Sprachen'!$A$160:$G$179,'Language-Sprachen'!$A$3,0)</f>
        <v>#N/A</v>
      </c>
      <c r="Y28" s="1380" t="e">
        <f>VLOOKUP(pos(Y28),'Language-Sprachen'!$A$160:$G$179,'Language-Sprachen'!$A$3,0)</f>
        <v>#N/A</v>
      </c>
      <c r="Z28" s="1380" t="e">
        <f>VLOOKUP(pos(Z28),'Language-Sprachen'!$A$160:$G$179,'Language-Sprachen'!$A$3,0)</f>
        <v>#N/A</v>
      </c>
      <c r="AA28" s="1380" t="e">
        <f>VLOOKUP(pos(AA28),'Language-Sprachen'!$A$160:$G$179,'Language-Sprachen'!$A$3,0)</f>
        <v>#N/A</v>
      </c>
      <c r="AB28" s="1380" t="e">
        <f>VLOOKUP(pos(AB28),'Language-Sprachen'!$A$160:$G$179,'Language-Sprachen'!$A$3,0)</f>
        <v>#N/A</v>
      </c>
      <c r="AC28" s="1380" t="e">
        <f>VLOOKUP(pos(AC28),'Language-Sprachen'!$A$160:$G$179,'Language-Sprachen'!$A$3,0)</f>
        <v>#N/A</v>
      </c>
      <c r="AD28" s="952"/>
      <c r="AE28" s="188"/>
    </row>
    <row r="29" spans="1:31" ht="10.5" customHeight="1">
      <c r="P29" s="188"/>
      <c r="Q29" s="188"/>
      <c r="R29" s="950"/>
      <c r="S29" s="1330"/>
      <c r="T29" s="1330"/>
      <c r="U29" s="1330"/>
      <c r="V29" s="1330"/>
      <c r="W29" s="1330"/>
      <c r="X29" s="1330"/>
      <c r="Y29" s="1330"/>
      <c r="Z29" s="1330"/>
      <c r="AA29" s="1330"/>
      <c r="AB29" s="1330"/>
      <c r="AC29" s="1330"/>
      <c r="AD29" s="952"/>
      <c r="AE29" s="188"/>
    </row>
    <row r="30" spans="1:31" ht="15.75" customHeight="1">
      <c r="B30" s="947"/>
      <c r="C30" s="962" t="str">
        <f>'Input Form'!E65</f>
        <v>Participants:</v>
      </c>
      <c r="D30" s="962"/>
      <c r="E30" s="963"/>
      <c r="F30" s="963"/>
      <c r="G30" s="963"/>
      <c r="H30" s="963"/>
      <c r="I30" s="963"/>
      <c r="J30" s="963"/>
      <c r="K30" s="963"/>
      <c r="L30" s="964" t="str">
        <f>VLOOKUP(pos(L30),'Language-Sprachen'!$A$160:$G$179,'Language-Sprachen'!$A$3,0)</f>
        <v>Management:</v>
      </c>
      <c r="M30" s="963"/>
      <c r="N30" s="963"/>
      <c r="O30" s="947"/>
      <c r="P30" s="188"/>
      <c r="Q30" s="188"/>
      <c r="R30" s="950"/>
      <c r="S30" s="1330"/>
      <c r="T30" s="1330"/>
      <c r="U30" s="1330"/>
      <c r="V30" s="1330"/>
      <c r="W30" s="1330"/>
      <c r="X30" s="1330"/>
      <c r="Y30" s="1330"/>
      <c r="Z30" s="1330"/>
      <c r="AA30" s="1330"/>
      <c r="AB30" s="1330"/>
      <c r="AC30" s="1330"/>
      <c r="AD30" s="952"/>
      <c r="AE30" s="188"/>
    </row>
    <row r="31" spans="1:31" ht="17.25" customHeight="1">
      <c r="B31" s="965"/>
      <c r="C31" s="391" t="str">
        <f>'Input Form'!E73</f>
        <v>Audit team:</v>
      </c>
      <c r="D31" s="392"/>
      <c r="E31" s="759"/>
      <c r="F31" s="760"/>
      <c r="G31" s="967"/>
      <c r="H31" s="391" t="e">
        <f>#REF!</f>
        <v>#REF!</v>
      </c>
      <c r="I31" s="759"/>
      <c r="J31" s="760"/>
      <c r="K31" s="968"/>
      <c r="L31" s="391"/>
      <c r="M31" s="761"/>
      <c r="N31" s="762"/>
      <c r="O31" s="950"/>
      <c r="P31" s="188"/>
      <c r="Q31" s="188"/>
      <c r="R31" s="950"/>
      <c r="S31" s="1330"/>
      <c r="T31" s="1330"/>
      <c r="U31" s="1330"/>
      <c r="V31" s="1330"/>
      <c r="W31" s="1330"/>
      <c r="X31" s="1330"/>
      <c r="Y31" s="1330"/>
      <c r="Z31" s="1330"/>
      <c r="AA31" s="1330"/>
      <c r="AB31" s="1330"/>
      <c r="AC31" s="1330"/>
      <c r="AD31" s="952"/>
      <c r="AE31" s="188"/>
    </row>
    <row r="32" spans="1:31" ht="19.5" customHeight="1">
      <c r="B32" s="965"/>
      <c r="C32" s="393" t="str">
        <f>IF('Input Form'!F73=0,"",'Input Form'!F73)</f>
        <v/>
      </c>
      <c r="D32" s="338"/>
      <c r="E32" s="1357" t="str">
        <f>IF('Input Form'!G73=0,"",'Input Form'!G73)</f>
        <v/>
      </c>
      <c r="F32" s="1358"/>
      <c r="G32" s="970"/>
      <c r="H32" s="394" t="str">
        <f>IF('Input Form'!F65=0,"",'Input Form'!F65)</f>
        <v/>
      </c>
      <c r="I32" s="336"/>
      <c r="J32" s="395" t="str">
        <f>IF('Input Form'!G65=0,"",'Input Form'!G65)</f>
        <v/>
      </c>
      <c r="K32" s="971"/>
      <c r="L32" s="804" t="str">
        <f>'Input Form'!D18</f>
        <v>Senior Management:</v>
      </c>
      <c r="M32" s="204"/>
      <c r="N32" s="571" t="str">
        <f>IF('Input Form'!E18=0,"",'Input Form'!E18)</f>
        <v/>
      </c>
      <c r="O32" s="972"/>
      <c r="P32" s="188"/>
      <c r="Q32" s="188"/>
      <c r="R32" s="950"/>
      <c r="S32" s="1331"/>
      <c r="T32" s="1331"/>
      <c r="U32" s="1331"/>
      <c r="V32" s="1331"/>
      <c r="W32" s="1331"/>
      <c r="X32" s="1331"/>
      <c r="Y32" s="1331"/>
      <c r="Z32" s="1331"/>
      <c r="AA32" s="1331"/>
      <c r="AB32" s="1331"/>
      <c r="AC32" s="1331"/>
      <c r="AD32" s="952"/>
      <c r="AE32" s="188"/>
    </row>
    <row r="33" spans="1:32" ht="20.25" customHeight="1">
      <c r="B33" s="965"/>
      <c r="C33" s="396" t="str">
        <f>IF('Input Form'!F74=0,"",'Input Form'!F74)</f>
        <v/>
      </c>
      <c r="D33" s="205"/>
      <c r="E33" s="1361" t="str">
        <f>IF('Input Form'!G74=0,"",'Input Form'!G74)</f>
        <v/>
      </c>
      <c r="F33" s="1362"/>
      <c r="G33" s="970"/>
      <c r="H33" s="397" t="str">
        <f>IF('Input Form'!F67=0,"",'Input Form'!F67)</f>
        <v/>
      </c>
      <c r="I33" s="335"/>
      <c r="J33" s="398" t="str">
        <f>IF('Input Form'!G67=0,"",'Input Form'!G67)</f>
        <v/>
      </c>
      <c r="K33" s="971"/>
      <c r="L33" s="399" t="str">
        <f>'Input Form'!D19</f>
        <v>Plant Management:</v>
      </c>
      <c r="M33" s="205"/>
      <c r="N33" s="400" t="str">
        <f>IF('Input Form'!E19=0,"",'Input Form'!E19)</f>
        <v/>
      </c>
      <c r="O33" s="972"/>
      <c r="P33" s="188"/>
      <c r="Q33" s="188"/>
      <c r="R33" s="950"/>
      <c r="S33" s="976" t="str">
        <f>VLOOKUP(pos(S33),'Language-Sprachen'!$A$160:$G$179,'Language-Sprachen'!$A$3,0)</f>
        <v>Schedule of action plan</v>
      </c>
      <c r="T33" s="977"/>
      <c r="U33" s="977"/>
      <c r="V33" s="977"/>
      <c r="W33" s="977"/>
      <c r="X33" s="980"/>
      <c r="Y33" s="980"/>
      <c r="Z33" s="980"/>
      <c r="AA33" s="980"/>
      <c r="AB33" s="977"/>
      <c r="AC33" s="977"/>
      <c r="AD33" s="952"/>
      <c r="AE33" s="188"/>
    </row>
    <row r="34" spans="1:32" ht="22.5" customHeight="1">
      <c r="B34" s="965"/>
      <c r="C34" s="401" t="str">
        <f>IF('Input Form'!F75=0,"",'Input Form'!F75)</f>
        <v/>
      </c>
      <c r="D34" s="402"/>
      <c r="E34" s="1385" t="str">
        <f>IF('Input Form'!G75=0,"",'Input Form'!G75)</f>
        <v/>
      </c>
      <c r="F34" s="1386"/>
      <c r="G34" s="970"/>
      <c r="H34" s="403" t="str">
        <f>IF('Input Form'!F66=0,"",'Input Form'!F66)</f>
        <v/>
      </c>
      <c r="I34" s="404"/>
      <c r="J34" s="405" t="str">
        <f>IF('Input Form'!G66=0,"",'Input Form'!G66)</f>
        <v/>
      </c>
      <c r="K34" s="971"/>
      <c r="L34" s="406" t="str">
        <f>'Input Form'!D20</f>
        <v>Q-Management:</v>
      </c>
      <c r="M34" s="402"/>
      <c r="N34" s="407" t="str">
        <f>IF('Input Form'!E20=0,"",'Input Form'!E20)</f>
        <v/>
      </c>
      <c r="O34" s="972"/>
      <c r="P34" s="188"/>
      <c r="Q34" s="188"/>
      <c r="R34" s="950"/>
      <c r="S34" s="1367" t="str">
        <f>VLOOKUP(pos(S34),'Language-Sprachen'!$A$160:$G$179,'Language-Sprachen'!$A$3,0)</f>
        <v>Confirmation of measures</v>
      </c>
      <c r="T34" s="1368" t="e">
        <f>VLOOKUP(pos(T34),'Language-Sprachen'!$A$160:$G$179,'Language-Sprachen'!$A$3,0)</f>
        <v>#N/A</v>
      </c>
      <c r="U34" s="1368" t="e">
        <f>VLOOKUP(pos(U34),'Language-Sprachen'!$A$160:$G$179,'Language-Sprachen'!$A$3,0)</f>
        <v>#N/A</v>
      </c>
      <c r="V34" s="1368" t="e">
        <f>VLOOKUP(pos(V34),'Language-Sprachen'!$A$160:$G$179,'Language-Sprachen'!$A$3,0)</f>
        <v>#N/A</v>
      </c>
      <c r="W34" s="1369" t="e">
        <f>VLOOKUP(pos(W34),'Language-Sprachen'!$A$160:$G$179,'Language-Sprachen'!$A$3,0)</f>
        <v>#N/A</v>
      </c>
      <c r="X34" s="1365" t="str">
        <f>IF(SUM(COUNTIF(N13:N18,"B"),COUNTIF(N13:N18,"C"))&gt;0,AC5+14,"---")</f>
        <v>---</v>
      </c>
      <c r="Y34" s="1366"/>
      <c r="Z34" s="1367" t="str">
        <f>VLOOKUP(pos(Z34),'Language-Sprachen'!$A$160:$G$179,'Language-Sprachen'!$A$3,0)</f>
        <v>Effectiveness check</v>
      </c>
      <c r="AA34" s="1369" t="e">
        <f>VLOOKUP(pos(AA34),'Language-Sprachen'!$A$160:$G$179,'Language-Sprachen'!$A$3,0)</f>
        <v>#N/A</v>
      </c>
      <c r="AB34" s="1365" t="str">
        <f>IF(SUM(COUNTIF(N13:N18,"B"),COUNTIF(N13:N18,"C"))&gt;0,AC5+90,"---")</f>
        <v>---</v>
      </c>
      <c r="AC34" s="1366"/>
      <c r="AD34" s="952"/>
      <c r="AE34" s="188"/>
    </row>
    <row r="35" spans="1:32" ht="12" customHeight="1">
      <c r="A35" s="947"/>
      <c r="B35" s="965"/>
      <c r="C35" s="966"/>
      <c r="D35" s="966"/>
      <c r="E35" s="967"/>
      <c r="F35" s="967"/>
      <c r="G35" s="967"/>
      <c r="H35" s="967"/>
      <c r="I35" s="967"/>
      <c r="J35" s="967"/>
      <c r="K35" s="968"/>
      <c r="L35" s="969"/>
      <c r="M35" s="969"/>
      <c r="N35" s="947"/>
      <c r="O35" s="965"/>
      <c r="P35" s="188"/>
      <c r="Q35" s="188"/>
      <c r="R35" s="931"/>
      <c r="S35" s="981"/>
      <c r="T35" s="981"/>
      <c r="U35" s="981"/>
      <c r="V35" s="981"/>
      <c r="W35" s="981"/>
      <c r="X35" s="981"/>
      <c r="Y35" s="981"/>
      <c r="Z35" s="981"/>
      <c r="AA35" s="981"/>
      <c r="AB35" s="981"/>
      <c r="AC35" s="981"/>
      <c r="AD35" s="936"/>
      <c r="AE35" s="188"/>
    </row>
    <row r="36" spans="1:32" ht="17.25" customHeight="1">
      <c r="C36" s="62"/>
      <c r="D36" s="62"/>
      <c r="E36" s="763"/>
      <c r="F36" s="763"/>
      <c r="G36" s="763"/>
      <c r="H36" s="763"/>
      <c r="I36" s="763"/>
      <c r="J36" s="763"/>
      <c r="K36" s="63"/>
      <c r="L36" s="764"/>
      <c r="M36" s="764"/>
      <c r="N36" s="764"/>
      <c r="O36" s="136"/>
      <c r="P36" s="136"/>
      <c r="Q36" s="136"/>
      <c r="R36" s="136"/>
      <c r="S36" s="412" t="str">
        <f>VLOOKUP(pos(S36),'Language-Sprachen'!$A$160:$G$179,'Language-Sprachen'!$A$3,0)</f>
        <v>Corrective Actions see 'Individual Results' in 'Immediate Actions'</v>
      </c>
      <c r="T36" s="136"/>
      <c r="U36" s="136"/>
      <c r="V36" s="86"/>
      <c r="X36" s="137"/>
      <c r="Y36" s="137"/>
      <c r="AB36" s="188"/>
      <c r="AC36" s="188"/>
      <c r="AD36" s="188"/>
      <c r="AE36" s="188"/>
    </row>
    <row r="37" spans="1:32" ht="20.25" customHeight="1">
      <c r="B37" s="188"/>
      <c r="C37" s="62"/>
      <c r="D37" s="62"/>
      <c r="E37" s="763"/>
      <c r="F37" s="1371"/>
      <c r="G37" s="1371"/>
      <c r="H37" s="1371"/>
      <c r="I37" s="569"/>
      <c r="J37" s="136"/>
      <c r="K37" s="418"/>
      <c r="L37" s="204"/>
      <c r="M37" s="204"/>
      <c r="N37" s="136"/>
      <c r="O37" s="136"/>
      <c r="P37" s="188"/>
      <c r="Q37" s="188"/>
      <c r="R37" s="188"/>
      <c r="T37" s="138"/>
      <c r="U37" s="138"/>
      <c r="V37" s="138"/>
      <c r="W37" s="138"/>
      <c r="X37" s="138"/>
      <c r="Y37" s="138"/>
      <c r="Z37" s="138"/>
      <c r="AA37" s="138"/>
      <c r="AB37" s="188"/>
      <c r="AC37" s="188"/>
      <c r="AD37" s="188"/>
      <c r="AE37" s="188"/>
    </row>
    <row r="38" spans="1:32" ht="3" customHeight="1">
      <c r="B38" s="188"/>
      <c r="C38" s="62"/>
      <c r="D38" s="62"/>
      <c r="E38" s="763"/>
      <c r="F38" s="763"/>
      <c r="G38" s="763"/>
      <c r="H38" s="763"/>
      <c r="I38" s="763"/>
      <c r="J38" s="763"/>
      <c r="K38" s="63"/>
      <c r="L38" s="764"/>
      <c r="M38" s="764"/>
      <c r="N38" s="764"/>
      <c r="O38" s="188"/>
      <c r="P38" s="188"/>
      <c r="Q38" s="188"/>
      <c r="R38" s="188"/>
      <c r="S38" s="188"/>
      <c r="T38" s="188"/>
      <c r="U38" s="188"/>
      <c r="V38" s="188"/>
      <c r="W38" s="188"/>
      <c r="X38" s="188"/>
      <c r="Y38" s="188"/>
      <c r="Z38" s="188"/>
      <c r="AA38" s="188"/>
      <c r="AB38" s="188"/>
      <c r="AC38" s="188"/>
      <c r="AD38" s="188"/>
      <c r="AE38" s="188"/>
    </row>
    <row r="39" spans="1:32" ht="52.5" customHeight="1">
      <c r="B39" s="188"/>
      <c r="C39" s="188"/>
      <c r="D39" s="62"/>
      <c r="E39" s="763"/>
      <c r="F39" s="763"/>
      <c r="G39" s="763"/>
      <c r="H39" s="763"/>
      <c r="I39" s="763"/>
      <c r="J39" s="765"/>
      <c r="K39" s="63"/>
      <c r="L39" s="764"/>
      <c r="M39" s="764"/>
      <c r="N39" s="764"/>
      <c r="O39" s="188"/>
      <c r="P39" s="188"/>
      <c r="Q39" s="188"/>
      <c r="R39" s="188"/>
      <c r="S39" s="1374"/>
      <c r="T39" s="1374"/>
      <c r="U39" s="1374"/>
      <c r="V39" s="1374"/>
      <c r="W39" s="1374"/>
      <c r="X39" s="1374"/>
      <c r="Y39" s="188"/>
      <c r="Z39" s="188"/>
      <c r="AA39" s="188"/>
      <c r="AB39" s="188"/>
      <c r="AC39" s="188"/>
      <c r="AD39" s="188"/>
      <c r="AE39" s="188"/>
    </row>
    <row r="40" spans="1:32" ht="13.5" customHeight="1">
      <c r="B40" s="188"/>
      <c r="I40" s="763"/>
      <c r="J40" s="763"/>
      <c r="K40" s="77"/>
      <c r="L40" s="766"/>
      <c r="M40" s="766"/>
      <c r="N40" s="766"/>
      <c r="O40" s="408"/>
      <c r="P40" s="408"/>
      <c r="Q40" s="408"/>
      <c r="R40" s="408"/>
      <c r="S40" s="408"/>
      <c r="T40" s="337"/>
      <c r="U40" s="408"/>
      <c r="V40" s="188"/>
      <c r="W40" s="188"/>
      <c r="X40" s="188"/>
      <c r="Y40" s="408"/>
      <c r="Z40" s="408"/>
      <c r="AA40" s="408"/>
      <c r="AB40" s="408"/>
      <c r="AC40" s="408"/>
      <c r="AD40" s="188"/>
      <c r="AE40" s="188"/>
    </row>
    <row r="41" spans="1:32" ht="15.75">
      <c r="B41" s="188"/>
      <c r="C41" s="822" t="str">
        <f>'Input Form'!B14</f>
        <v>Auditor:</v>
      </c>
      <c r="D41" s="419"/>
      <c r="E41" s="1383" t="str">
        <f>IF('Input Form'!C14="","",'Input Form'!C14)</f>
        <v/>
      </c>
      <c r="F41" s="1383"/>
      <c r="G41" s="1383"/>
      <c r="H41" s="1383"/>
      <c r="I41" s="55"/>
      <c r="J41" s="57"/>
      <c r="K41" s="767"/>
      <c r="L41" s="1382" t="str">
        <f>'Input Form'!B15</f>
        <v>Manager of audited organisation:</v>
      </c>
      <c r="M41" s="1382"/>
      <c r="N41" s="1382"/>
      <c r="O41" s="1382"/>
      <c r="P41" s="1382"/>
      <c r="Q41" s="1382"/>
      <c r="R41" s="827"/>
      <c r="S41" s="827" t="str">
        <f>IF('Input Form'!C15="","",'Input Form'!C15)</f>
        <v/>
      </c>
      <c r="T41" s="412"/>
      <c r="U41" s="412"/>
      <c r="V41" s="412"/>
      <c r="W41" s="412"/>
      <c r="X41" s="412"/>
      <c r="Y41" s="57" t="str">
        <f>'Input Form'!B26</f>
        <v>Signed by (organisation):</v>
      </c>
      <c r="Z41" s="412"/>
      <c r="AA41" s="1377" t="str">
        <f>IF(Lief_Unterschr=0,"",Lief_Unterschr)</f>
        <v/>
      </c>
      <c r="AB41" s="1377"/>
      <c r="AD41" s="136"/>
      <c r="AE41" s="188"/>
    </row>
    <row r="42" spans="1:32" ht="15.75">
      <c r="B42" s="188"/>
      <c r="C42" s="136" t="str">
        <f>'Input Form'!G14</f>
        <v>Certificate No.:</v>
      </c>
      <c r="D42" s="62"/>
      <c r="E42" s="1381" t="str">
        <f>IF('Input Form'!H14="","",'Input Form'!H14)</f>
        <v/>
      </c>
      <c r="F42" s="1381"/>
      <c r="G42" s="1381"/>
      <c r="H42" s="1381"/>
      <c r="I42" s="763"/>
      <c r="J42" s="763"/>
      <c r="K42" s="63"/>
      <c r="L42" s="765"/>
      <c r="M42" s="764"/>
      <c r="N42" s="768" t="str">
        <f>IF('Input Form'!E15=0,"",'Input Form'!E15)</f>
        <v/>
      </c>
      <c r="O42" s="357"/>
      <c r="P42" s="357"/>
      <c r="Q42" s="357"/>
      <c r="R42" s="357"/>
      <c r="S42" s="357"/>
      <c r="T42" s="357"/>
      <c r="U42" s="357"/>
      <c r="V42" s="188"/>
      <c r="W42" s="188"/>
      <c r="X42" s="188"/>
      <c r="Y42" s="188"/>
      <c r="Z42" s="188"/>
      <c r="AC42" s="188"/>
      <c r="AD42" s="188"/>
      <c r="AE42" s="188"/>
    </row>
    <row r="43" spans="1:32" ht="7.5" customHeight="1">
      <c r="B43" s="188"/>
      <c r="C43" s="62"/>
      <c r="D43" s="62"/>
      <c r="E43" s="763"/>
      <c r="F43" s="763"/>
      <c r="G43" s="763"/>
      <c r="H43" s="763"/>
      <c r="I43" s="763"/>
      <c r="J43" s="763"/>
      <c r="K43" s="63"/>
      <c r="L43" s="765"/>
      <c r="M43" s="764"/>
      <c r="N43" s="764"/>
      <c r="O43" s="188"/>
      <c r="P43" s="188"/>
      <c r="Q43" s="188"/>
      <c r="R43" s="188"/>
      <c r="S43" s="188"/>
      <c r="T43" s="188"/>
      <c r="U43" s="188"/>
      <c r="V43" s="188"/>
      <c r="W43" s="188"/>
      <c r="X43" s="188"/>
      <c r="Y43" s="188"/>
      <c r="Z43" s="188"/>
      <c r="AA43" s="188"/>
      <c r="AB43" s="188"/>
      <c r="AC43" s="188"/>
      <c r="AD43" s="188"/>
      <c r="AE43" s="188"/>
    </row>
    <row r="44" spans="1:32" ht="6.75" customHeight="1">
      <c r="C44" s="62"/>
      <c r="D44" s="62"/>
      <c r="E44" s="62"/>
      <c r="F44" s="62"/>
      <c r="G44" s="62"/>
      <c r="H44" s="62"/>
      <c r="I44" s="62"/>
      <c r="J44" s="62"/>
      <c r="K44" s="62"/>
      <c r="L44" s="62"/>
      <c r="M44" s="62"/>
      <c r="N44" s="62"/>
      <c r="O44" s="62"/>
      <c r="P44" s="62"/>
      <c r="Q44" s="62"/>
      <c r="R44" s="62"/>
      <c r="S44" s="62"/>
      <c r="T44" s="62"/>
      <c r="U44" s="62"/>
      <c r="V44" s="62"/>
      <c r="W44" s="62"/>
      <c r="X44" s="62"/>
      <c r="Y44" s="62"/>
      <c r="Z44" s="62"/>
      <c r="AA44" s="62"/>
      <c r="AB44" s="62"/>
      <c r="AC44" s="62"/>
      <c r="AD44" s="62"/>
      <c r="AE44" s="62"/>
      <c r="AF44" s="62"/>
    </row>
    <row r="45" spans="1:32" ht="14.25" customHeight="1">
      <c r="C45" s="62"/>
      <c r="D45" s="62"/>
      <c r="E45" s="62"/>
      <c r="F45" s="62"/>
      <c r="G45" s="62"/>
      <c r="H45" s="62"/>
      <c r="I45" s="62"/>
      <c r="J45" s="62"/>
      <c r="K45" s="62"/>
      <c r="L45" s="62"/>
      <c r="M45" s="62"/>
      <c r="N45" s="62"/>
      <c r="O45" s="62"/>
      <c r="P45" s="62"/>
      <c r="Q45" s="62"/>
      <c r="R45" s="62"/>
      <c r="S45" s="62"/>
      <c r="T45" s="62"/>
      <c r="U45" s="62"/>
      <c r="V45" s="62"/>
      <c r="W45" s="62"/>
      <c r="X45" s="62"/>
      <c r="Y45" s="62"/>
      <c r="Z45" s="62"/>
      <c r="AA45" s="62"/>
      <c r="AB45" s="62"/>
      <c r="AC45" s="62"/>
      <c r="AD45" s="62"/>
      <c r="AE45" s="62"/>
      <c r="AF45" s="62"/>
    </row>
    <row r="46" spans="1:32" ht="14.25" customHeight="1">
      <c r="C46" s="62"/>
      <c r="D46" s="62"/>
      <c r="E46" s="62"/>
      <c r="F46" s="62"/>
      <c r="G46" s="62"/>
      <c r="H46" s="62"/>
      <c r="I46" s="62"/>
      <c r="J46" s="62"/>
      <c r="K46" s="62"/>
      <c r="L46" s="62"/>
      <c r="M46" s="62"/>
      <c r="N46" s="62"/>
      <c r="O46" s="62"/>
      <c r="P46" s="62"/>
      <c r="Q46" s="62"/>
      <c r="R46" s="62"/>
      <c r="S46" s="62"/>
      <c r="T46" s="62"/>
      <c r="U46" s="62"/>
      <c r="V46" s="62"/>
      <c r="W46" s="62"/>
      <c r="X46" s="62"/>
      <c r="Y46" s="62"/>
      <c r="Z46" s="62"/>
      <c r="AA46" s="62"/>
      <c r="AB46" s="62"/>
      <c r="AC46" s="62"/>
      <c r="AD46" s="62"/>
      <c r="AE46" s="62"/>
      <c r="AF46" s="62"/>
    </row>
    <row r="47" spans="1:32" ht="14.25" customHeight="1">
      <c r="C47" s="62"/>
      <c r="D47" s="62"/>
      <c r="E47" s="62"/>
      <c r="F47" s="62"/>
      <c r="G47" s="62"/>
      <c r="H47" s="62"/>
      <c r="I47" s="62"/>
      <c r="J47" s="62"/>
      <c r="K47" s="62"/>
      <c r="L47" s="62"/>
      <c r="M47" s="62"/>
      <c r="N47" s="62"/>
      <c r="O47" s="62"/>
      <c r="P47" s="62"/>
      <c r="Q47" s="62"/>
      <c r="R47" s="62"/>
      <c r="S47" s="62"/>
      <c r="T47" s="62"/>
      <c r="U47" s="62"/>
      <c r="V47" s="62"/>
      <c r="W47" s="62"/>
      <c r="X47" s="62"/>
      <c r="Y47" s="62"/>
      <c r="Z47" s="62"/>
      <c r="AA47" s="62"/>
      <c r="AB47" s="62"/>
      <c r="AC47" s="62"/>
      <c r="AD47" s="62"/>
      <c r="AE47" s="62"/>
      <c r="AF47" s="62"/>
    </row>
    <row r="48" spans="1:32" ht="14.25" customHeight="1">
      <c r="C48" s="62"/>
      <c r="D48" s="62"/>
      <c r="E48" s="62"/>
      <c r="F48" s="62"/>
      <c r="G48" s="62"/>
      <c r="H48" s="62"/>
      <c r="I48" s="62"/>
      <c r="J48" s="62"/>
      <c r="K48" s="62"/>
      <c r="L48" s="62"/>
      <c r="M48" s="62"/>
      <c r="N48" s="62"/>
      <c r="O48" s="62"/>
      <c r="P48" s="62"/>
      <c r="Q48" s="62"/>
      <c r="R48" s="62"/>
      <c r="S48" s="62"/>
      <c r="T48" s="62"/>
      <c r="U48" s="62"/>
      <c r="V48" s="62"/>
      <c r="W48" s="62"/>
      <c r="X48" s="62"/>
      <c r="Y48" s="62"/>
      <c r="Z48" s="62"/>
      <c r="AA48" s="62"/>
      <c r="AB48" s="62"/>
      <c r="AC48" s="62"/>
      <c r="AD48" s="62"/>
      <c r="AE48" s="62"/>
      <c r="AF48" s="62"/>
    </row>
    <row r="49" spans="3:32" ht="14.25" customHeight="1">
      <c r="C49" s="62"/>
      <c r="D49" s="62"/>
      <c r="E49" s="62"/>
      <c r="F49" s="62"/>
      <c r="G49" s="62"/>
      <c r="H49" s="62"/>
      <c r="I49" s="62"/>
      <c r="J49" s="62"/>
      <c r="K49" s="62"/>
      <c r="L49" s="62"/>
      <c r="M49" s="62"/>
      <c r="N49" s="62"/>
      <c r="O49" s="62"/>
      <c r="P49" s="62"/>
      <c r="Q49" s="62"/>
      <c r="R49" s="62"/>
      <c r="S49" s="62"/>
      <c r="T49" s="62"/>
      <c r="U49" s="62"/>
      <c r="V49" s="62"/>
      <c r="W49" s="62"/>
      <c r="X49" s="62"/>
      <c r="Y49" s="62"/>
      <c r="Z49" s="62"/>
      <c r="AA49" s="62"/>
      <c r="AB49" s="62"/>
      <c r="AC49" s="62"/>
      <c r="AD49" s="62"/>
      <c r="AE49" s="62"/>
      <c r="AF49" s="62"/>
    </row>
    <row r="50" spans="3:32" ht="14.25" customHeight="1">
      <c r="C50" s="62"/>
      <c r="D50" s="62"/>
      <c r="E50" s="62"/>
      <c r="F50" s="62"/>
      <c r="G50" s="62"/>
      <c r="H50" s="62"/>
      <c r="I50" s="62"/>
      <c r="J50" s="62"/>
      <c r="K50" s="62"/>
      <c r="L50" s="62"/>
      <c r="M50" s="62"/>
      <c r="N50" s="62"/>
      <c r="O50" s="62"/>
      <c r="P50" s="62"/>
      <c r="Q50" s="62"/>
      <c r="R50" s="62"/>
      <c r="S50" s="62"/>
      <c r="T50" s="62"/>
      <c r="U50" s="62"/>
      <c r="V50" s="62"/>
      <c r="W50" s="62"/>
      <c r="X50" s="62"/>
      <c r="Y50" s="62"/>
      <c r="Z50" s="62"/>
      <c r="AA50" s="62"/>
      <c r="AB50" s="62"/>
      <c r="AC50" s="62"/>
      <c r="AD50" s="62"/>
      <c r="AE50" s="62"/>
      <c r="AF50" s="62"/>
    </row>
    <row r="51" spans="3:32" ht="14.25" customHeight="1">
      <c r="C51" s="62"/>
      <c r="D51" s="62"/>
      <c r="E51" s="62"/>
      <c r="F51" s="62"/>
      <c r="G51" s="62"/>
      <c r="H51" s="62"/>
      <c r="I51" s="62"/>
      <c r="J51" s="62"/>
      <c r="K51" s="62"/>
      <c r="L51" s="62"/>
      <c r="M51" s="62"/>
      <c r="N51" s="62"/>
      <c r="O51" s="62"/>
      <c r="P51" s="62"/>
      <c r="Q51" s="62"/>
      <c r="R51" s="62"/>
      <c r="S51" s="62"/>
      <c r="T51" s="62"/>
      <c r="U51" s="62"/>
      <c r="V51" s="62"/>
      <c r="W51" s="62"/>
      <c r="X51" s="62"/>
      <c r="Y51" s="62"/>
      <c r="Z51" s="62"/>
      <c r="AA51" s="62"/>
      <c r="AB51" s="62"/>
      <c r="AC51" s="62"/>
      <c r="AD51" s="62"/>
      <c r="AE51" s="62"/>
      <c r="AF51" s="62"/>
    </row>
    <row r="52" spans="3:32" ht="14.25" customHeight="1">
      <c r="C52" s="62"/>
      <c r="D52" s="62"/>
      <c r="E52" s="62"/>
      <c r="F52" s="62"/>
      <c r="G52" s="62"/>
      <c r="H52" s="62"/>
      <c r="I52" s="62"/>
      <c r="J52" s="62"/>
      <c r="K52" s="62"/>
      <c r="L52" s="62"/>
      <c r="M52" s="62"/>
      <c r="N52" s="62"/>
      <c r="O52" s="62"/>
      <c r="P52" s="62"/>
      <c r="Q52" s="62"/>
      <c r="R52" s="62"/>
      <c r="S52" s="62"/>
      <c r="T52" s="62"/>
      <c r="U52" s="62"/>
      <c r="V52" s="62"/>
      <c r="W52" s="62"/>
      <c r="X52" s="62"/>
      <c r="Y52" s="62"/>
      <c r="Z52" s="62"/>
      <c r="AA52" s="62"/>
      <c r="AB52" s="62"/>
      <c r="AC52" s="62"/>
      <c r="AD52" s="62"/>
      <c r="AE52" s="62"/>
      <c r="AF52" s="62"/>
    </row>
    <row r="53" spans="3:32" ht="14.25" customHeight="1">
      <c r="C53" s="62"/>
      <c r="D53" s="62"/>
      <c r="E53" s="62"/>
      <c r="F53" s="62"/>
      <c r="G53" s="62"/>
      <c r="H53" s="62"/>
      <c r="I53" s="62"/>
      <c r="J53" s="62"/>
      <c r="K53" s="62"/>
      <c r="L53" s="62"/>
      <c r="M53" s="62"/>
      <c r="N53" s="62"/>
      <c r="O53" s="62"/>
      <c r="P53" s="62"/>
      <c r="Q53" s="62"/>
      <c r="R53" s="62"/>
      <c r="S53" s="62"/>
      <c r="T53" s="62"/>
      <c r="U53" s="62"/>
      <c r="V53" s="62"/>
      <c r="W53" s="62"/>
      <c r="X53" s="62"/>
      <c r="Y53" s="62"/>
      <c r="Z53" s="62"/>
      <c r="AA53" s="62"/>
      <c r="AB53" s="62"/>
      <c r="AC53" s="62"/>
      <c r="AD53" s="62"/>
      <c r="AE53" s="62"/>
      <c r="AF53" s="62"/>
    </row>
    <row r="54" spans="3:32" ht="14.25" customHeight="1">
      <c r="C54" s="62"/>
      <c r="D54" s="62"/>
      <c r="E54" s="62"/>
      <c r="F54" s="62"/>
      <c r="G54" s="62"/>
      <c r="H54" s="62"/>
      <c r="I54" s="62"/>
      <c r="J54" s="62"/>
      <c r="K54" s="62"/>
      <c r="L54" s="62"/>
      <c r="M54" s="62"/>
      <c r="N54" s="62"/>
      <c r="O54" s="62"/>
      <c r="P54" s="62"/>
      <c r="Q54" s="62"/>
      <c r="R54" s="62"/>
      <c r="S54" s="62"/>
      <c r="T54" s="62"/>
      <c r="U54" s="62"/>
      <c r="V54" s="62"/>
      <c r="W54" s="62"/>
      <c r="X54" s="62"/>
      <c r="Y54" s="62"/>
      <c r="Z54" s="62"/>
      <c r="AA54" s="62"/>
      <c r="AB54" s="62"/>
      <c r="AC54" s="62"/>
      <c r="AD54" s="62"/>
      <c r="AE54" s="62"/>
      <c r="AF54" s="62"/>
    </row>
    <row r="55" spans="3:32" ht="14.25" customHeight="1">
      <c r="C55" s="62"/>
      <c r="D55" s="62"/>
      <c r="E55" s="62"/>
      <c r="F55" s="62"/>
      <c r="G55" s="62"/>
      <c r="H55" s="62"/>
      <c r="I55" s="62"/>
      <c r="J55" s="62"/>
      <c r="K55" s="62"/>
      <c r="L55" s="62"/>
      <c r="M55" s="62"/>
      <c r="N55" s="62"/>
      <c r="O55" s="62"/>
      <c r="P55" s="62"/>
      <c r="Q55" s="62"/>
      <c r="R55" s="62"/>
      <c r="S55" s="62"/>
      <c r="T55" s="62"/>
      <c r="U55" s="62"/>
      <c r="V55" s="62"/>
      <c r="W55" s="62"/>
      <c r="X55" s="62"/>
      <c r="Y55" s="62"/>
      <c r="Z55" s="62"/>
      <c r="AA55" s="62"/>
      <c r="AB55" s="62"/>
      <c r="AC55" s="62"/>
      <c r="AD55" s="62"/>
      <c r="AE55" s="62"/>
      <c r="AF55" s="62"/>
    </row>
    <row r="56" spans="3:32" ht="14.25" customHeight="1">
      <c r="C56" s="62"/>
      <c r="D56" s="62"/>
      <c r="E56" s="62"/>
      <c r="F56" s="62"/>
      <c r="G56" s="62"/>
      <c r="H56" s="62"/>
      <c r="I56" s="62"/>
      <c r="J56" s="62"/>
      <c r="K56" s="62"/>
      <c r="L56" s="62"/>
      <c r="M56" s="62"/>
      <c r="N56" s="62"/>
      <c r="O56" s="62"/>
      <c r="P56" s="62"/>
      <c r="Q56" s="62"/>
      <c r="R56" s="62"/>
      <c r="S56" s="62"/>
      <c r="T56" s="62"/>
      <c r="U56" s="62"/>
      <c r="V56" s="62"/>
      <c r="W56" s="62"/>
      <c r="X56" s="62"/>
      <c r="Y56" s="62"/>
      <c r="Z56" s="62"/>
      <c r="AA56" s="62"/>
      <c r="AB56" s="62"/>
      <c r="AC56" s="62"/>
      <c r="AD56" s="62"/>
      <c r="AE56" s="62"/>
      <c r="AF56" s="62"/>
    </row>
    <row r="57" spans="3:32" ht="14.25" customHeight="1">
      <c r="C57" s="62"/>
      <c r="D57" s="62"/>
      <c r="E57" s="62"/>
      <c r="F57" s="62"/>
      <c r="G57" s="62"/>
      <c r="H57" s="62"/>
      <c r="I57" s="62"/>
      <c r="J57" s="62"/>
      <c r="K57" s="62"/>
      <c r="L57" s="62"/>
      <c r="M57" s="62"/>
      <c r="N57" s="62"/>
      <c r="O57" s="62"/>
      <c r="P57" s="62"/>
      <c r="Q57" s="62"/>
      <c r="R57" s="62"/>
      <c r="S57" s="62"/>
      <c r="T57" s="62"/>
      <c r="U57" s="62"/>
      <c r="V57" s="62"/>
      <c r="W57" s="62"/>
      <c r="X57" s="62"/>
      <c r="Y57" s="62"/>
      <c r="Z57" s="62"/>
      <c r="AA57" s="62"/>
      <c r="AB57" s="62"/>
      <c r="AC57" s="62"/>
      <c r="AD57" s="62"/>
      <c r="AE57" s="62"/>
      <c r="AF57" s="62"/>
    </row>
    <row r="58" spans="3:32" ht="14.25" customHeight="1">
      <c r="C58" s="62"/>
      <c r="D58" s="62"/>
      <c r="E58" s="62"/>
      <c r="F58" s="62"/>
      <c r="G58" s="62"/>
      <c r="H58" s="62"/>
      <c r="I58" s="62"/>
      <c r="J58" s="62"/>
      <c r="K58" s="62"/>
      <c r="L58" s="62"/>
      <c r="M58" s="62"/>
      <c r="N58" s="62"/>
      <c r="O58" s="62"/>
      <c r="P58" s="62"/>
      <c r="Q58" s="62"/>
      <c r="R58" s="62"/>
      <c r="S58" s="62"/>
      <c r="T58" s="62"/>
      <c r="U58" s="62"/>
      <c r="V58" s="62"/>
      <c r="W58" s="62"/>
      <c r="X58" s="62"/>
      <c r="Y58" s="62"/>
      <c r="Z58" s="62"/>
      <c r="AA58" s="62"/>
      <c r="AB58" s="62"/>
      <c r="AC58" s="62"/>
      <c r="AD58" s="62"/>
      <c r="AE58" s="62"/>
      <c r="AF58" s="62"/>
    </row>
    <row r="59" spans="3:32" ht="14.25" customHeight="1">
      <c r="C59" s="62"/>
      <c r="D59" s="62"/>
      <c r="E59" s="62"/>
      <c r="F59" s="62"/>
      <c r="G59" s="62"/>
      <c r="H59" s="62"/>
      <c r="I59" s="62"/>
      <c r="J59" s="62"/>
      <c r="K59" s="62"/>
      <c r="L59" s="62"/>
      <c r="M59" s="62"/>
      <c r="N59" s="62"/>
      <c r="O59" s="62"/>
      <c r="P59" s="62"/>
      <c r="Q59" s="62"/>
      <c r="R59" s="62"/>
      <c r="S59" s="62"/>
      <c r="T59" s="62"/>
      <c r="U59" s="62"/>
      <c r="V59" s="62"/>
      <c r="W59" s="62"/>
      <c r="X59" s="62"/>
      <c r="Y59" s="62"/>
      <c r="Z59" s="62"/>
      <c r="AA59" s="62"/>
      <c r="AB59" s="62"/>
      <c r="AC59" s="62"/>
      <c r="AD59" s="62"/>
      <c r="AE59" s="62"/>
      <c r="AF59" s="62"/>
    </row>
    <row r="60" spans="3:32" ht="14.25" customHeight="1">
      <c r="C60" s="62"/>
      <c r="D60" s="62"/>
      <c r="E60" s="62"/>
      <c r="F60" s="62"/>
      <c r="G60" s="62"/>
      <c r="H60" s="62"/>
      <c r="I60" s="62"/>
      <c r="J60" s="62"/>
      <c r="K60" s="62"/>
      <c r="L60" s="62"/>
      <c r="M60" s="62"/>
      <c r="N60" s="62"/>
      <c r="O60" s="62"/>
      <c r="P60" s="62"/>
      <c r="Q60" s="62"/>
      <c r="R60" s="62"/>
      <c r="S60" s="62"/>
      <c r="T60" s="62"/>
      <c r="U60" s="62"/>
      <c r="V60" s="62"/>
      <c r="W60" s="62"/>
      <c r="X60" s="62"/>
      <c r="Y60" s="62"/>
      <c r="Z60" s="62"/>
      <c r="AA60" s="62"/>
      <c r="AB60" s="62"/>
      <c r="AC60" s="62"/>
      <c r="AD60" s="62"/>
      <c r="AE60" s="62"/>
      <c r="AF60" s="62"/>
    </row>
    <row r="61" spans="3:32" ht="14.25" customHeight="1">
      <c r="C61" s="62"/>
      <c r="D61" s="62"/>
      <c r="E61" s="62"/>
      <c r="F61" s="62"/>
      <c r="G61" s="62"/>
      <c r="H61" s="62"/>
      <c r="I61" s="62"/>
      <c r="J61" s="62"/>
      <c r="K61" s="62"/>
      <c r="L61" s="62"/>
      <c r="M61" s="62"/>
      <c r="N61" s="62"/>
      <c r="O61" s="62"/>
      <c r="P61" s="62"/>
      <c r="Q61" s="62"/>
      <c r="R61" s="62"/>
      <c r="S61" s="62"/>
      <c r="T61" s="62"/>
      <c r="U61" s="62"/>
      <c r="V61" s="62"/>
      <c r="W61" s="62"/>
      <c r="X61" s="62"/>
      <c r="Y61" s="62"/>
      <c r="Z61" s="62"/>
      <c r="AA61" s="62"/>
      <c r="AB61" s="62"/>
      <c r="AC61" s="62"/>
      <c r="AD61" s="62"/>
      <c r="AE61" s="62"/>
      <c r="AF61" s="62"/>
    </row>
    <row r="62" spans="3:32" ht="14.25" customHeight="1">
      <c r="C62" s="62"/>
      <c r="D62" s="62"/>
      <c r="E62" s="62"/>
      <c r="F62" s="62"/>
      <c r="G62" s="62"/>
      <c r="H62" s="62"/>
      <c r="I62" s="62"/>
      <c r="J62" s="62"/>
      <c r="K62" s="62"/>
      <c r="L62" s="62"/>
      <c r="M62" s="62"/>
      <c r="N62" s="62"/>
      <c r="O62" s="62"/>
      <c r="P62" s="62"/>
      <c r="Q62" s="62"/>
      <c r="R62" s="62"/>
      <c r="S62" s="62"/>
      <c r="T62" s="62"/>
      <c r="U62" s="62"/>
      <c r="V62" s="62"/>
      <c r="W62" s="62"/>
      <c r="X62" s="62"/>
      <c r="Y62" s="62"/>
      <c r="Z62" s="62"/>
      <c r="AA62" s="62"/>
      <c r="AB62" s="62"/>
      <c r="AC62" s="62"/>
      <c r="AD62" s="62"/>
      <c r="AE62" s="62"/>
      <c r="AF62" s="62"/>
    </row>
    <row r="63" spans="3:32" ht="14.25" customHeight="1">
      <c r="C63" s="62"/>
      <c r="D63" s="62"/>
      <c r="E63" s="62"/>
      <c r="F63" s="62"/>
      <c r="G63" s="62"/>
      <c r="H63" s="62"/>
      <c r="I63" s="62"/>
      <c r="J63" s="62"/>
      <c r="K63" s="62"/>
      <c r="L63" s="62"/>
      <c r="M63" s="62"/>
      <c r="N63" s="62"/>
      <c r="O63" s="62"/>
      <c r="P63" s="62"/>
      <c r="Q63" s="62"/>
      <c r="R63" s="62"/>
      <c r="S63" s="62"/>
      <c r="T63" s="62"/>
      <c r="U63" s="62"/>
      <c r="V63" s="62"/>
      <c r="W63" s="62"/>
      <c r="X63" s="62"/>
      <c r="Y63" s="62"/>
      <c r="Z63" s="62"/>
      <c r="AA63" s="62"/>
      <c r="AB63" s="62"/>
      <c r="AC63" s="62"/>
      <c r="AD63" s="62"/>
      <c r="AE63" s="62"/>
      <c r="AF63" s="62"/>
    </row>
    <row r="64" spans="3:32" ht="14.25" customHeight="1">
      <c r="C64" s="62"/>
      <c r="D64" s="62"/>
      <c r="E64" s="62"/>
      <c r="F64" s="62"/>
      <c r="G64" s="62"/>
      <c r="H64" s="62"/>
      <c r="I64" s="62"/>
      <c r="J64" s="62"/>
      <c r="K64" s="62"/>
      <c r="L64" s="62"/>
      <c r="M64" s="62"/>
      <c r="N64" s="62"/>
      <c r="O64" s="62"/>
      <c r="P64" s="62"/>
      <c r="Q64" s="62"/>
      <c r="R64" s="62"/>
      <c r="S64" s="62"/>
      <c r="T64" s="62"/>
      <c r="U64" s="62"/>
      <c r="V64" s="62"/>
      <c r="W64" s="62"/>
      <c r="X64" s="62"/>
      <c r="Y64" s="62"/>
      <c r="Z64" s="62"/>
      <c r="AA64" s="62"/>
      <c r="AB64" s="62"/>
      <c r="AC64" s="62"/>
      <c r="AD64" s="62"/>
      <c r="AE64" s="62"/>
      <c r="AF64" s="62"/>
    </row>
    <row r="65" spans="3:32" ht="14.25" customHeight="1">
      <c r="C65" s="62"/>
      <c r="D65" s="62"/>
      <c r="E65" s="62"/>
      <c r="F65" s="62"/>
      <c r="G65" s="62"/>
      <c r="H65" s="62"/>
      <c r="I65" s="62"/>
      <c r="J65" s="62"/>
      <c r="K65" s="62"/>
      <c r="L65" s="62"/>
      <c r="M65" s="62"/>
      <c r="N65" s="62"/>
      <c r="O65" s="62"/>
      <c r="P65" s="62"/>
      <c r="Q65" s="62"/>
      <c r="R65" s="62"/>
      <c r="S65" s="62"/>
      <c r="T65" s="62"/>
      <c r="U65" s="62"/>
      <c r="V65" s="62"/>
      <c r="W65" s="62"/>
      <c r="X65" s="62"/>
      <c r="Y65" s="62"/>
      <c r="Z65" s="62"/>
      <c r="AA65" s="62"/>
      <c r="AB65" s="62"/>
      <c r="AC65" s="62"/>
      <c r="AD65" s="62"/>
      <c r="AE65" s="62"/>
      <c r="AF65" s="62"/>
    </row>
    <row r="66" spans="3:32" ht="14.25" customHeight="1">
      <c r="C66" s="62"/>
      <c r="D66" s="62"/>
      <c r="E66" s="62"/>
      <c r="F66" s="62"/>
      <c r="G66" s="62"/>
      <c r="H66" s="62"/>
      <c r="I66" s="62"/>
      <c r="J66" s="62"/>
      <c r="K66" s="62"/>
      <c r="L66" s="62"/>
      <c r="M66" s="62"/>
      <c r="N66" s="62"/>
      <c r="O66" s="62"/>
      <c r="P66" s="62"/>
      <c r="Q66" s="62"/>
      <c r="R66" s="62"/>
      <c r="S66" s="62"/>
      <c r="T66" s="62"/>
      <c r="U66" s="62"/>
      <c r="V66" s="62"/>
      <c r="W66" s="62"/>
      <c r="X66" s="62"/>
      <c r="Y66" s="62"/>
      <c r="Z66" s="62"/>
      <c r="AA66" s="62"/>
      <c r="AB66" s="62"/>
      <c r="AC66" s="62"/>
      <c r="AD66" s="62"/>
      <c r="AE66" s="62"/>
      <c r="AF66" s="62"/>
    </row>
    <row r="67" spans="3:32" ht="14.25" customHeight="1">
      <c r="C67" s="62"/>
      <c r="D67" s="62"/>
      <c r="E67" s="62"/>
      <c r="F67" s="62"/>
      <c r="G67" s="62"/>
      <c r="H67" s="62"/>
      <c r="I67" s="62"/>
      <c r="J67" s="62"/>
      <c r="K67" s="62"/>
      <c r="L67" s="62"/>
      <c r="M67" s="62"/>
      <c r="N67" s="62"/>
      <c r="O67" s="62"/>
      <c r="P67" s="62"/>
      <c r="Q67" s="62"/>
      <c r="R67" s="62"/>
      <c r="S67" s="62"/>
      <c r="T67" s="62"/>
      <c r="U67" s="62"/>
      <c r="V67" s="62"/>
      <c r="W67" s="62"/>
      <c r="X67" s="62"/>
      <c r="Y67" s="62"/>
      <c r="Z67" s="62"/>
      <c r="AA67" s="62"/>
      <c r="AB67" s="62"/>
      <c r="AC67" s="62"/>
      <c r="AD67" s="62"/>
      <c r="AE67" s="62"/>
      <c r="AF67" s="62"/>
    </row>
    <row r="68" spans="3:32" ht="14.25" customHeight="1">
      <c r="C68" s="62"/>
      <c r="D68" s="62"/>
      <c r="E68" s="62"/>
      <c r="F68" s="62"/>
      <c r="G68" s="62"/>
      <c r="H68" s="62"/>
      <c r="I68" s="62"/>
      <c r="J68" s="62"/>
      <c r="K68" s="62"/>
      <c r="L68" s="62"/>
      <c r="M68" s="62"/>
      <c r="N68" s="62"/>
      <c r="O68" s="62"/>
      <c r="P68" s="62"/>
      <c r="Q68" s="62"/>
      <c r="R68" s="62"/>
      <c r="S68" s="62"/>
      <c r="T68" s="62"/>
      <c r="U68" s="62"/>
      <c r="V68" s="62"/>
      <c r="W68" s="62"/>
      <c r="X68" s="62"/>
      <c r="Y68" s="62"/>
      <c r="Z68" s="62"/>
      <c r="AA68" s="62"/>
      <c r="AB68" s="62"/>
      <c r="AC68" s="62"/>
      <c r="AD68" s="62"/>
      <c r="AE68" s="62"/>
      <c r="AF68" s="62"/>
    </row>
    <row r="69" spans="3:32" ht="14.25" customHeight="1">
      <c r="C69" s="62"/>
      <c r="D69" s="62"/>
      <c r="E69" s="62"/>
      <c r="F69" s="62"/>
      <c r="G69" s="62"/>
      <c r="H69" s="62"/>
      <c r="I69" s="62"/>
      <c r="J69" s="62"/>
      <c r="K69" s="62"/>
      <c r="L69" s="62"/>
      <c r="M69" s="62"/>
      <c r="N69" s="62"/>
      <c r="O69" s="62"/>
      <c r="P69" s="62"/>
      <c r="Q69" s="62"/>
      <c r="R69" s="62"/>
      <c r="S69" s="62"/>
      <c r="T69" s="62"/>
      <c r="U69" s="62"/>
      <c r="V69" s="62"/>
      <c r="W69" s="62"/>
      <c r="X69" s="62"/>
      <c r="Y69" s="62"/>
      <c r="Z69" s="62"/>
      <c r="AA69" s="62"/>
      <c r="AB69" s="62"/>
      <c r="AC69" s="62"/>
      <c r="AD69" s="62"/>
      <c r="AE69" s="62"/>
      <c r="AF69" s="62"/>
    </row>
    <row r="70" spans="3:32" ht="14.25" customHeight="1">
      <c r="C70" s="62"/>
      <c r="D70" s="62"/>
      <c r="E70" s="62"/>
      <c r="F70" s="62"/>
      <c r="G70" s="62"/>
      <c r="H70" s="62"/>
      <c r="I70" s="62"/>
      <c r="J70" s="62"/>
      <c r="K70" s="62"/>
      <c r="L70" s="62"/>
      <c r="M70" s="62"/>
      <c r="N70" s="62"/>
      <c r="O70" s="62"/>
      <c r="P70" s="62"/>
      <c r="Q70" s="62"/>
      <c r="R70" s="62"/>
      <c r="S70" s="62"/>
      <c r="T70" s="62"/>
      <c r="U70" s="62"/>
      <c r="V70" s="62"/>
      <c r="W70" s="62"/>
      <c r="X70" s="62"/>
      <c r="Y70" s="62"/>
      <c r="Z70" s="62"/>
      <c r="AA70" s="62"/>
      <c r="AB70" s="62"/>
      <c r="AC70" s="62"/>
      <c r="AD70" s="62"/>
      <c r="AE70" s="62"/>
      <c r="AF70" s="62"/>
    </row>
    <row r="71" spans="3:32" ht="14.25" customHeight="1">
      <c r="C71" s="62"/>
      <c r="D71" s="62"/>
      <c r="E71" s="62"/>
      <c r="F71" s="62"/>
      <c r="G71" s="62"/>
      <c r="H71" s="62"/>
      <c r="I71" s="62"/>
      <c r="J71" s="62"/>
      <c r="K71" s="62"/>
      <c r="L71" s="62"/>
      <c r="M71" s="62"/>
      <c r="N71" s="62"/>
      <c r="O71" s="62"/>
      <c r="P71" s="62"/>
      <c r="Q71" s="62"/>
      <c r="R71" s="62"/>
      <c r="S71" s="62"/>
      <c r="T71" s="62"/>
      <c r="U71" s="62"/>
      <c r="V71" s="62"/>
      <c r="W71" s="62"/>
      <c r="X71" s="62"/>
      <c r="Y71" s="62"/>
      <c r="Z71" s="62"/>
      <c r="AA71" s="62"/>
      <c r="AB71" s="62"/>
      <c r="AC71" s="62"/>
      <c r="AD71" s="62"/>
      <c r="AE71" s="62"/>
      <c r="AF71" s="62"/>
    </row>
    <row r="72" spans="3:32" ht="14.25" customHeight="1">
      <c r="C72" s="62"/>
      <c r="D72" s="62"/>
      <c r="E72" s="62"/>
      <c r="F72" s="62"/>
      <c r="G72" s="62"/>
      <c r="H72" s="62"/>
      <c r="I72" s="62"/>
      <c r="J72" s="62"/>
      <c r="K72" s="62"/>
      <c r="L72" s="62"/>
      <c r="M72" s="62"/>
      <c r="N72" s="62"/>
      <c r="O72" s="62"/>
      <c r="P72" s="62"/>
      <c r="Q72" s="62"/>
      <c r="R72" s="62"/>
      <c r="S72" s="62"/>
      <c r="T72" s="62"/>
      <c r="U72" s="62"/>
      <c r="V72" s="62"/>
      <c r="W72" s="62"/>
      <c r="X72" s="62"/>
      <c r="Y72" s="62"/>
      <c r="Z72" s="62"/>
      <c r="AA72" s="62"/>
      <c r="AB72" s="62"/>
      <c r="AC72" s="62"/>
      <c r="AD72" s="62"/>
      <c r="AE72" s="62"/>
      <c r="AF72" s="62"/>
    </row>
    <row r="73" spans="3:32" ht="14.25" customHeight="1">
      <c r="C73" s="62"/>
      <c r="D73" s="62"/>
      <c r="E73" s="62"/>
      <c r="F73" s="62"/>
      <c r="G73" s="62"/>
      <c r="H73" s="62"/>
      <c r="I73" s="62"/>
      <c r="J73" s="62"/>
      <c r="K73" s="62"/>
      <c r="L73" s="62"/>
      <c r="M73" s="62"/>
      <c r="N73" s="62"/>
      <c r="O73" s="62"/>
      <c r="P73" s="62"/>
      <c r="Q73" s="62"/>
      <c r="R73" s="62"/>
      <c r="S73" s="62"/>
      <c r="T73" s="62"/>
      <c r="U73" s="62"/>
      <c r="V73" s="62"/>
      <c r="W73" s="62"/>
      <c r="X73" s="62"/>
      <c r="Y73" s="62"/>
      <c r="Z73" s="62"/>
      <c r="AA73" s="62"/>
      <c r="AB73" s="62"/>
      <c r="AC73" s="62"/>
      <c r="AD73" s="62"/>
      <c r="AE73" s="62"/>
      <c r="AF73" s="62"/>
    </row>
    <row r="74" spans="3:32" ht="14.25" customHeight="1">
      <c r="C74" s="62"/>
      <c r="D74" s="62"/>
      <c r="E74" s="62"/>
      <c r="F74" s="62"/>
      <c r="G74" s="62"/>
      <c r="H74" s="62"/>
      <c r="I74" s="62"/>
      <c r="J74" s="62"/>
      <c r="K74" s="62"/>
      <c r="L74" s="62"/>
      <c r="M74" s="62"/>
      <c r="N74" s="62"/>
      <c r="O74" s="62"/>
      <c r="P74" s="62"/>
      <c r="Q74" s="62"/>
      <c r="R74" s="62"/>
      <c r="S74" s="62"/>
      <c r="T74" s="62"/>
      <c r="U74" s="62"/>
      <c r="V74" s="62"/>
      <c r="W74" s="62"/>
      <c r="X74" s="62"/>
      <c r="Y74" s="62"/>
      <c r="Z74" s="62"/>
      <c r="AA74" s="62"/>
      <c r="AB74" s="62"/>
      <c r="AC74" s="62"/>
      <c r="AD74" s="62"/>
      <c r="AE74" s="62"/>
      <c r="AF74" s="62"/>
    </row>
    <row r="75" spans="3:32" ht="14.25" customHeight="1">
      <c r="C75" s="62"/>
      <c r="D75" s="62"/>
      <c r="E75" s="62"/>
      <c r="F75" s="62"/>
      <c r="G75" s="62"/>
      <c r="H75" s="62"/>
      <c r="I75" s="62"/>
      <c r="J75" s="62"/>
      <c r="K75" s="62"/>
      <c r="L75" s="62"/>
      <c r="M75" s="62"/>
      <c r="N75" s="62"/>
      <c r="O75" s="62"/>
      <c r="P75" s="62"/>
      <c r="Q75" s="62"/>
      <c r="R75" s="62"/>
      <c r="S75" s="62"/>
      <c r="T75" s="62"/>
      <c r="U75" s="62"/>
      <c r="V75" s="62"/>
      <c r="W75" s="62"/>
      <c r="X75" s="62"/>
      <c r="Y75" s="62"/>
      <c r="Z75" s="62"/>
      <c r="AA75" s="62"/>
      <c r="AB75" s="62"/>
      <c r="AC75" s="62"/>
      <c r="AD75" s="62"/>
      <c r="AE75" s="62"/>
      <c r="AF75" s="62"/>
    </row>
    <row r="76" spans="3:32" ht="14.25" customHeight="1">
      <c r="C76" s="62"/>
      <c r="D76" s="62"/>
      <c r="E76" s="62"/>
      <c r="F76" s="62"/>
      <c r="G76" s="62"/>
      <c r="H76" s="62"/>
      <c r="I76" s="62"/>
      <c r="J76" s="62"/>
      <c r="K76" s="62"/>
      <c r="L76" s="62"/>
      <c r="M76" s="62"/>
      <c r="N76" s="62"/>
      <c r="O76" s="62"/>
      <c r="P76" s="62"/>
      <c r="Q76" s="62"/>
      <c r="R76" s="62"/>
      <c r="S76" s="62"/>
      <c r="T76" s="62"/>
      <c r="U76" s="62"/>
      <c r="V76" s="62"/>
      <c r="W76" s="62"/>
      <c r="X76" s="62"/>
      <c r="Y76" s="62"/>
      <c r="Z76" s="62"/>
      <c r="AA76" s="62"/>
      <c r="AB76" s="62"/>
      <c r="AC76" s="62"/>
      <c r="AD76" s="62"/>
      <c r="AE76" s="62"/>
      <c r="AF76" s="62"/>
    </row>
    <row r="77" spans="3:32" ht="14.25" customHeight="1">
      <c r="C77" s="62"/>
      <c r="D77" s="62"/>
      <c r="E77" s="62"/>
      <c r="F77" s="62"/>
      <c r="G77" s="62"/>
      <c r="H77" s="62"/>
      <c r="I77" s="62"/>
      <c r="J77" s="62"/>
      <c r="K77" s="62"/>
      <c r="L77" s="62"/>
      <c r="M77" s="62"/>
      <c r="N77" s="62"/>
      <c r="O77" s="62"/>
      <c r="P77" s="62"/>
      <c r="Q77" s="62"/>
      <c r="R77" s="62"/>
      <c r="S77" s="62"/>
      <c r="T77" s="62"/>
      <c r="U77" s="62"/>
      <c r="V77" s="62"/>
      <c r="W77" s="62"/>
      <c r="X77" s="62"/>
      <c r="Y77" s="62"/>
      <c r="Z77" s="62"/>
      <c r="AA77" s="62"/>
      <c r="AB77" s="62"/>
      <c r="AC77" s="62"/>
      <c r="AD77" s="62"/>
      <c r="AE77" s="62"/>
      <c r="AF77" s="62"/>
    </row>
    <row r="78" spans="3:32" ht="14.25" customHeight="1">
      <c r="C78" s="62"/>
      <c r="D78" s="62"/>
      <c r="E78" s="62"/>
      <c r="F78" s="62"/>
      <c r="G78" s="62"/>
      <c r="H78" s="62"/>
      <c r="I78" s="62"/>
      <c r="J78" s="62"/>
      <c r="K78" s="62"/>
      <c r="L78" s="62"/>
      <c r="M78" s="62"/>
      <c r="N78" s="62"/>
      <c r="O78" s="62"/>
      <c r="P78" s="62"/>
      <c r="Q78" s="62"/>
      <c r="R78" s="62"/>
      <c r="S78" s="62"/>
      <c r="T78" s="62"/>
      <c r="U78" s="62"/>
      <c r="V78" s="62"/>
      <c r="W78" s="62"/>
      <c r="X78" s="62"/>
      <c r="Y78" s="62"/>
      <c r="Z78" s="62"/>
      <c r="AA78" s="62"/>
      <c r="AB78" s="62"/>
      <c r="AC78" s="62"/>
      <c r="AD78" s="62"/>
      <c r="AE78" s="62"/>
      <c r="AF78" s="62"/>
    </row>
    <row r="79" spans="3:32" ht="14.25" customHeight="1">
      <c r="C79" s="62"/>
      <c r="D79" s="62"/>
      <c r="E79" s="62"/>
      <c r="F79" s="62"/>
      <c r="G79" s="62"/>
      <c r="H79" s="62"/>
      <c r="I79" s="62"/>
      <c r="J79" s="62"/>
      <c r="K79" s="62"/>
      <c r="L79" s="62"/>
      <c r="M79" s="62"/>
      <c r="N79" s="62"/>
      <c r="O79" s="62"/>
      <c r="P79" s="62"/>
      <c r="Q79" s="62"/>
      <c r="R79" s="62"/>
      <c r="S79" s="62"/>
      <c r="T79" s="62"/>
      <c r="U79" s="62"/>
      <c r="V79" s="62"/>
      <c r="W79" s="62"/>
      <c r="X79" s="62"/>
      <c r="Y79" s="62"/>
      <c r="Z79" s="62"/>
      <c r="AA79" s="62"/>
      <c r="AB79" s="62"/>
      <c r="AC79" s="62"/>
      <c r="AD79" s="62"/>
      <c r="AE79" s="62"/>
      <c r="AF79" s="62"/>
    </row>
    <row r="80" spans="3:32" ht="14.25" customHeight="1">
      <c r="C80" s="62"/>
      <c r="D80" s="62"/>
      <c r="E80" s="62"/>
      <c r="F80" s="62"/>
      <c r="G80" s="62"/>
      <c r="H80" s="62"/>
      <c r="I80" s="62"/>
      <c r="J80" s="62"/>
      <c r="K80" s="62"/>
      <c r="L80" s="62"/>
      <c r="M80" s="62"/>
      <c r="N80" s="62"/>
      <c r="O80" s="62"/>
      <c r="P80" s="62"/>
      <c r="Q80" s="62"/>
      <c r="R80" s="62"/>
      <c r="S80" s="62"/>
      <c r="T80" s="62"/>
      <c r="U80" s="62"/>
      <c r="V80" s="62"/>
      <c r="W80" s="62"/>
      <c r="X80" s="62"/>
      <c r="Y80" s="62"/>
      <c r="Z80" s="62"/>
      <c r="AA80" s="62"/>
      <c r="AB80" s="62"/>
      <c r="AC80" s="62"/>
      <c r="AD80" s="62"/>
      <c r="AE80" s="62"/>
      <c r="AF80" s="62"/>
    </row>
    <row r="81" spans="3:32" ht="14.25" customHeight="1">
      <c r="C81" s="62"/>
      <c r="D81" s="62"/>
      <c r="E81" s="62"/>
      <c r="F81" s="62"/>
      <c r="G81" s="62"/>
      <c r="H81" s="62"/>
      <c r="I81" s="62"/>
      <c r="J81" s="62"/>
      <c r="K81" s="62"/>
      <c r="L81" s="62"/>
      <c r="M81" s="62"/>
      <c r="N81" s="62"/>
      <c r="O81" s="62"/>
      <c r="P81" s="62"/>
      <c r="Q81" s="62"/>
      <c r="R81" s="62"/>
      <c r="S81" s="62"/>
      <c r="T81" s="62"/>
      <c r="U81" s="62"/>
      <c r="V81" s="62"/>
      <c r="W81" s="62"/>
      <c r="X81" s="62"/>
      <c r="Y81" s="62"/>
      <c r="Z81" s="62"/>
      <c r="AA81" s="62"/>
      <c r="AB81" s="62"/>
      <c r="AC81" s="62"/>
      <c r="AD81" s="62"/>
      <c r="AE81" s="62"/>
      <c r="AF81" s="62"/>
    </row>
    <row r="82" spans="3:32" ht="14.25" customHeight="1">
      <c r="C82" s="62"/>
      <c r="D82" s="62"/>
      <c r="E82" s="62"/>
      <c r="F82" s="62"/>
      <c r="G82" s="62"/>
      <c r="H82" s="62"/>
      <c r="I82" s="62"/>
      <c r="J82" s="62"/>
      <c r="K82" s="62"/>
      <c r="L82" s="62"/>
      <c r="M82" s="62"/>
      <c r="N82" s="62"/>
      <c r="O82" s="62"/>
      <c r="P82" s="62"/>
      <c r="Q82" s="62"/>
      <c r="R82" s="62"/>
      <c r="S82" s="62"/>
      <c r="T82" s="62"/>
      <c r="U82" s="62"/>
      <c r="V82" s="62"/>
      <c r="W82" s="62"/>
      <c r="X82" s="62"/>
      <c r="Y82" s="62"/>
      <c r="Z82" s="62"/>
      <c r="AA82" s="62"/>
      <c r="AB82" s="62"/>
      <c r="AC82" s="62"/>
      <c r="AD82" s="62"/>
      <c r="AE82" s="62"/>
      <c r="AF82" s="62"/>
    </row>
    <row r="83" spans="3:32" ht="14.25" customHeight="1">
      <c r="C83" s="62"/>
      <c r="D83" s="62"/>
      <c r="E83" s="62"/>
      <c r="F83" s="62"/>
      <c r="G83" s="62"/>
      <c r="H83" s="62"/>
      <c r="I83" s="62"/>
      <c r="J83" s="62"/>
      <c r="K83" s="62"/>
      <c r="L83" s="62"/>
      <c r="M83" s="62"/>
      <c r="N83" s="62"/>
      <c r="O83" s="62"/>
      <c r="P83" s="62"/>
      <c r="Q83" s="62"/>
      <c r="R83" s="62"/>
      <c r="S83" s="62"/>
      <c r="T83" s="62"/>
      <c r="U83" s="62"/>
      <c r="V83" s="62"/>
      <c r="W83" s="62"/>
      <c r="X83" s="62"/>
      <c r="Y83" s="62"/>
      <c r="Z83" s="62"/>
      <c r="AA83" s="62"/>
      <c r="AB83" s="62"/>
      <c r="AC83" s="62"/>
      <c r="AD83" s="62"/>
      <c r="AE83" s="62"/>
      <c r="AF83" s="62"/>
    </row>
    <row r="84" spans="3:32" ht="14.25" customHeight="1">
      <c r="C84" s="62"/>
      <c r="D84" s="62"/>
      <c r="E84" s="62"/>
      <c r="F84" s="62"/>
      <c r="G84" s="62"/>
      <c r="H84" s="62"/>
      <c r="I84" s="62"/>
      <c r="J84" s="62"/>
      <c r="K84" s="62"/>
      <c r="L84" s="62"/>
      <c r="M84" s="62"/>
      <c r="N84" s="62"/>
      <c r="O84" s="62"/>
      <c r="P84" s="62"/>
      <c r="Q84" s="62"/>
      <c r="R84" s="62"/>
      <c r="S84" s="62"/>
      <c r="T84" s="62"/>
      <c r="U84" s="62"/>
      <c r="V84" s="62"/>
      <c r="W84" s="62"/>
      <c r="X84" s="62"/>
      <c r="Y84" s="62"/>
      <c r="Z84" s="62"/>
      <c r="AA84" s="62"/>
      <c r="AB84" s="62"/>
      <c r="AC84" s="62"/>
      <c r="AD84" s="62"/>
      <c r="AE84" s="62"/>
      <c r="AF84" s="62"/>
    </row>
    <row r="85" spans="3:32" ht="14.25" customHeight="1">
      <c r="C85" s="62"/>
      <c r="D85" s="62"/>
      <c r="E85" s="62"/>
      <c r="F85" s="62"/>
      <c r="G85" s="62"/>
      <c r="H85" s="62"/>
      <c r="I85" s="62"/>
      <c r="J85" s="62"/>
      <c r="K85" s="62"/>
      <c r="L85" s="62"/>
      <c r="M85" s="62"/>
      <c r="N85" s="62"/>
      <c r="O85" s="62"/>
      <c r="P85" s="62"/>
      <c r="Q85" s="62"/>
      <c r="R85" s="62"/>
      <c r="S85" s="62"/>
      <c r="T85" s="62"/>
      <c r="U85" s="62"/>
      <c r="V85" s="62"/>
      <c r="W85" s="62"/>
      <c r="X85" s="62"/>
      <c r="Y85" s="62"/>
      <c r="Z85" s="62"/>
      <c r="AA85" s="62"/>
      <c r="AB85" s="62"/>
      <c r="AC85" s="62"/>
      <c r="AD85" s="62"/>
      <c r="AE85" s="62"/>
      <c r="AF85" s="62"/>
    </row>
    <row r="86" spans="3:32" ht="14.25" customHeight="1">
      <c r="C86" s="62"/>
      <c r="D86" s="62"/>
      <c r="E86" s="62"/>
      <c r="F86" s="62"/>
      <c r="G86" s="62"/>
      <c r="H86" s="62"/>
      <c r="I86" s="62"/>
      <c r="J86" s="62"/>
      <c r="K86" s="62"/>
      <c r="L86" s="62"/>
      <c r="M86" s="62"/>
      <c r="N86" s="62"/>
      <c r="O86" s="62"/>
      <c r="P86" s="62"/>
      <c r="Q86" s="62"/>
      <c r="R86" s="62"/>
      <c r="S86" s="62"/>
      <c r="T86" s="62"/>
      <c r="U86" s="62"/>
      <c r="V86" s="62"/>
      <c r="W86" s="62"/>
      <c r="X86" s="62"/>
      <c r="Y86" s="62"/>
      <c r="Z86" s="62"/>
      <c r="AA86" s="62"/>
      <c r="AB86" s="62"/>
      <c r="AC86" s="62"/>
      <c r="AD86" s="62"/>
      <c r="AE86" s="62"/>
      <c r="AF86" s="62"/>
    </row>
    <row r="87" spans="3:32" ht="14.25" customHeight="1">
      <c r="C87" s="62"/>
      <c r="D87" s="62"/>
      <c r="E87" s="62"/>
      <c r="F87" s="62"/>
      <c r="G87" s="62"/>
      <c r="H87" s="62"/>
      <c r="I87" s="62"/>
      <c r="J87" s="62"/>
      <c r="K87" s="62"/>
      <c r="L87" s="62"/>
      <c r="M87" s="62"/>
      <c r="N87" s="62"/>
      <c r="O87" s="62"/>
      <c r="P87" s="62"/>
      <c r="Q87" s="62"/>
      <c r="R87" s="62"/>
      <c r="S87" s="62"/>
      <c r="T87" s="62"/>
      <c r="U87" s="62"/>
      <c r="V87" s="62"/>
      <c r="W87" s="62"/>
      <c r="X87" s="62"/>
      <c r="Y87" s="62"/>
      <c r="Z87" s="62"/>
      <c r="AA87" s="62"/>
      <c r="AB87" s="62"/>
      <c r="AC87" s="62"/>
      <c r="AD87" s="62"/>
      <c r="AE87" s="62"/>
      <c r="AF87" s="62"/>
    </row>
    <row r="88" spans="3:32" ht="14.25" customHeight="1">
      <c r="C88" s="62"/>
      <c r="D88" s="62"/>
      <c r="E88" s="62"/>
      <c r="F88" s="62"/>
      <c r="G88" s="62"/>
      <c r="H88" s="62"/>
      <c r="I88" s="62"/>
      <c r="J88" s="62"/>
      <c r="K88" s="62"/>
      <c r="L88" s="62"/>
      <c r="M88" s="62"/>
      <c r="N88" s="62"/>
      <c r="O88" s="62"/>
      <c r="P88" s="62"/>
      <c r="Q88" s="62"/>
      <c r="R88" s="62"/>
      <c r="S88" s="62"/>
      <c r="T88" s="62"/>
      <c r="U88" s="62"/>
      <c r="V88" s="62"/>
      <c r="W88" s="62"/>
      <c r="X88" s="62"/>
      <c r="Y88" s="62"/>
      <c r="Z88" s="62"/>
      <c r="AA88" s="62"/>
      <c r="AB88" s="62"/>
      <c r="AC88" s="62"/>
      <c r="AD88" s="62"/>
      <c r="AE88" s="62"/>
      <c r="AF88" s="62"/>
    </row>
    <row r="89" spans="3:32" ht="14.25" customHeight="1">
      <c r="C89" s="62"/>
      <c r="D89" s="62"/>
      <c r="E89" s="62"/>
      <c r="F89" s="62"/>
      <c r="G89" s="62"/>
      <c r="H89" s="62"/>
      <c r="I89" s="62"/>
      <c r="J89" s="62"/>
      <c r="K89" s="62"/>
      <c r="L89" s="62"/>
      <c r="M89" s="62"/>
      <c r="N89" s="62"/>
      <c r="O89" s="62"/>
      <c r="P89" s="62"/>
      <c r="Q89" s="62"/>
      <c r="R89" s="62"/>
      <c r="S89" s="62"/>
      <c r="T89" s="62"/>
      <c r="U89" s="62"/>
      <c r="V89" s="62"/>
      <c r="W89" s="62"/>
      <c r="X89" s="62"/>
      <c r="Y89" s="62"/>
      <c r="Z89" s="62"/>
      <c r="AA89" s="62"/>
      <c r="AB89" s="62"/>
      <c r="AC89" s="62"/>
      <c r="AD89" s="62"/>
      <c r="AE89" s="62"/>
      <c r="AF89" s="62"/>
    </row>
    <row r="90" spans="3:32" ht="14.25" customHeight="1">
      <c r="C90" s="62"/>
      <c r="D90" s="62"/>
      <c r="E90" s="62"/>
      <c r="F90" s="62"/>
      <c r="G90" s="62"/>
      <c r="H90" s="62"/>
      <c r="I90" s="62"/>
      <c r="J90" s="62"/>
      <c r="K90" s="62"/>
      <c r="L90" s="62"/>
      <c r="M90" s="62"/>
      <c r="N90" s="62"/>
      <c r="O90" s="62"/>
      <c r="P90" s="62"/>
      <c r="Q90" s="62"/>
      <c r="R90" s="62"/>
      <c r="S90" s="62"/>
      <c r="T90" s="62"/>
      <c r="U90" s="62"/>
      <c r="V90" s="62"/>
      <c r="W90" s="62"/>
      <c r="X90" s="62"/>
      <c r="Y90" s="62"/>
      <c r="Z90" s="62"/>
      <c r="AA90" s="62"/>
      <c r="AB90" s="62"/>
      <c r="AC90" s="62"/>
      <c r="AD90" s="62"/>
      <c r="AE90" s="62"/>
      <c r="AF90" s="62"/>
    </row>
  </sheetData>
  <sheetProtection formatColumns="0" formatRows="0" selectLockedCells="1"/>
  <dataConsolidate link="1"/>
  <mergeCells count="58">
    <mergeCell ref="AB8:AB9"/>
    <mergeCell ref="U8:AA9"/>
    <mergeCell ref="AC8:AC9"/>
    <mergeCell ref="S39:X39"/>
    <mergeCell ref="L24:N24"/>
    <mergeCell ref="L25:N25"/>
    <mergeCell ref="S28:AC28"/>
    <mergeCell ref="S24:AC27"/>
    <mergeCell ref="S34:W34"/>
    <mergeCell ref="X34:Y34"/>
    <mergeCell ref="L26:N26"/>
    <mergeCell ref="S29:AC32"/>
    <mergeCell ref="Z34:AA34"/>
    <mergeCell ref="AB34:AC34"/>
    <mergeCell ref="L21:N21"/>
    <mergeCell ref="L23:N23"/>
    <mergeCell ref="C24:F24"/>
    <mergeCell ref="C25:F25"/>
    <mergeCell ref="C26:F26"/>
    <mergeCell ref="C27:F27"/>
    <mergeCell ref="E34:F34"/>
    <mergeCell ref="E42:H42"/>
    <mergeCell ref="AA41:AB41"/>
    <mergeCell ref="L41:Q41"/>
    <mergeCell ref="E41:H41"/>
    <mergeCell ref="AC6:AC7"/>
    <mergeCell ref="F37:H37"/>
    <mergeCell ref="S6:T7"/>
    <mergeCell ref="E33:F33"/>
    <mergeCell ref="C8:H8"/>
    <mergeCell ref="C9:H9"/>
    <mergeCell ref="C21:J21"/>
    <mergeCell ref="B20:O20"/>
    <mergeCell ref="E32:F32"/>
    <mergeCell ref="S8:T9"/>
    <mergeCell ref="L27:N27"/>
    <mergeCell ref="L8:O9"/>
    <mergeCell ref="C16:H16"/>
    <mergeCell ref="C17:H17"/>
    <mergeCell ref="C18:H18"/>
    <mergeCell ref="C23:F23"/>
    <mergeCell ref="C10:H10"/>
    <mergeCell ref="C13:H13"/>
    <mergeCell ref="C15:H15"/>
    <mergeCell ref="S5:T5"/>
    <mergeCell ref="C2:AB2"/>
    <mergeCell ref="U5:W5"/>
    <mergeCell ref="U6:W7"/>
    <mergeCell ref="X6:X7"/>
    <mergeCell ref="Y6:Z7"/>
    <mergeCell ref="Y5:Z5"/>
    <mergeCell ref="C5:N5"/>
    <mergeCell ref="AB6:AB7"/>
    <mergeCell ref="S12:AC12"/>
    <mergeCell ref="S18:AC18"/>
    <mergeCell ref="S23:AC23"/>
    <mergeCell ref="S13:AC17"/>
    <mergeCell ref="S19:AC22"/>
  </mergeCells>
  <phoneticPr fontId="15" type="noConversion"/>
  <pageMargins left="0.39370078740157483" right="0.39370078740157483" top="0.59055118110236227" bottom="0.39370078740157483" header="0.19685039370078741" footer="0.19685039370078741"/>
  <pageSetup paperSize="9" scale="58" orientation="landscape" r:id="rId1"/>
  <headerFooter scaleWithDoc="0">
    <oddHeader>&amp;L&amp;8VDA 6.3 Process Audit - Revision  2016</oddHeader>
    <oddFooter>&amp;L&amp;8QM-18_s2_ed.6-Audit_Report_VDA_6.3 - Report&amp;R&amp;8Page &amp;P of &amp;N</oddFooter>
  </headerFooter>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Massn">
    <tabColor indexed="39"/>
    <pageSetUpPr fitToPage="1"/>
  </sheetPr>
  <dimension ref="A1:AB320"/>
  <sheetViews>
    <sheetView showGridLines="0" zoomScale="70" zoomScaleNormal="70" zoomScaleSheetLayoutView="70" workbookViewId="0">
      <pane ySplit="10" topLeftCell="A11" activePane="bottomLeft" state="frozen"/>
      <selection pane="bottomLeft" activeCell="J12" sqref="J12"/>
    </sheetView>
  </sheetViews>
  <sheetFormatPr baseColWidth="10" defaultColWidth="0" defaultRowHeight="14.25"/>
  <cols>
    <col min="1" max="1" width="0.85546875" style="11" customWidth="1"/>
    <col min="2" max="2" width="8.42578125" style="12" customWidth="1"/>
    <col min="3" max="3" width="0.85546875" style="12" customWidth="1"/>
    <col min="4" max="4" width="9.42578125" style="13" customWidth="1"/>
    <col min="5" max="5" width="0.85546875" style="13" customWidth="1"/>
    <col min="6" max="6" width="55.5703125" style="15" customWidth="1"/>
    <col min="7" max="7" width="0.85546875" style="15" customWidth="1"/>
    <col min="8" max="8" width="5.140625" style="15" bestFit="1" customWidth="1"/>
    <col min="9" max="9" width="15.140625" style="13" customWidth="1"/>
    <col min="10" max="10" width="20.42578125" style="15" customWidth="1"/>
    <col min="11" max="11" width="37.85546875" style="13" customWidth="1"/>
    <col min="12" max="12" width="0.85546875" style="13" customWidth="1"/>
    <col min="13" max="13" width="41.7109375" style="13" customWidth="1"/>
    <col min="14" max="14" width="0.85546875" style="13" customWidth="1"/>
    <col min="15" max="15" width="13.140625" style="13" customWidth="1"/>
    <col min="16" max="16" width="0.85546875" style="13" customWidth="1"/>
    <col min="17" max="17" width="15" style="13" customWidth="1"/>
    <col min="18" max="18" width="0.85546875" style="13" customWidth="1"/>
    <col min="19" max="19" width="12" style="13" customWidth="1"/>
    <col min="20" max="27" width="11.42578125" style="13" customWidth="1"/>
    <col min="28" max="28" width="46.42578125" style="13" hidden="1" customWidth="1"/>
    <col min="29" max="16384" width="11.42578125" style="13" hidden="1"/>
  </cols>
  <sheetData>
    <row r="1" spans="1:28" ht="7.5" customHeight="1">
      <c r="B1" s="71"/>
      <c r="C1" s="71"/>
      <c r="D1" s="64"/>
      <c r="E1" s="64"/>
      <c r="F1" s="64"/>
      <c r="G1" s="64"/>
      <c r="H1" s="64"/>
      <c r="I1" s="74"/>
      <c r="J1" s="64"/>
      <c r="K1" s="64"/>
      <c r="L1" s="64"/>
      <c r="M1" s="64"/>
      <c r="N1" s="64"/>
      <c r="O1" s="72"/>
      <c r="P1" s="72"/>
      <c r="Q1" s="73"/>
      <c r="R1" s="73"/>
      <c r="S1" s="74"/>
    </row>
    <row r="2" spans="1:28" ht="15.75" customHeight="1">
      <c r="D2" s="65"/>
      <c r="E2" s="65"/>
      <c r="F2" s="65"/>
      <c r="G2" s="65"/>
      <c r="H2" s="65"/>
      <c r="I2" s="68"/>
      <c r="J2" s="65"/>
      <c r="K2" s="65"/>
      <c r="L2" s="65"/>
      <c r="M2" s="65"/>
      <c r="N2" s="65"/>
      <c r="O2" s="66"/>
      <c r="P2" s="66"/>
      <c r="Q2" s="67"/>
      <c r="R2" s="67"/>
      <c r="S2" s="68"/>
    </row>
    <row r="3" spans="1:28" ht="25.5" customHeight="1">
      <c r="B3" s="84" t="str">
        <f>VLOOKUP(pos(B3),'Language-Sprachen'!$A$180:$G$199,'Language-Sprachen'!$A$3,0)</f>
        <v>Action plan with defined immediate action</v>
      </c>
      <c r="C3" s="84"/>
      <c r="D3" s="84"/>
      <c r="E3" s="84"/>
      <c r="F3" s="84"/>
      <c r="G3" s="65"/>
      <c r="H3" s="65"/>
      <c r="I3" s="68"/>
      <c r="J3" s="65"/>
      <c r="K3" s="65"/>
      <c r="L3" s="65"/>
      <c r="M3" s="65"/>
      <c r="N3" s="65"/>
      <c r="O3" s="66"/>
      <c r="P3" s="66"/>
      <c r="Q3" s="67"/>
      <c r="R3" s="67"/>
      <c r="S3" s="68"/>
      <c r="AB3" s="13" t="str">
        <f>VLOOKUP(pos(AB3),'Language-Sprachen'!$A$180:$G$199,'Language-Sprachen'!$A$3,0)</f>
        <v>Show all rows</v>
      </c>
    </row>
    <row r="4" spans="1:28" ht="12.75" customHeight="1">
      <c r="D4" s="65"/>
      <c r="E4" s="65"/>
      <c r="F4" s="65"/>
      <c r="G4" s="65"/>
      <c r="H4" s="65"/>
      <c r="I4" s="68"/>
      <c r="J4" s="65"/>
      <c r="K4" s="65"/>
      <c r="L4" s="65"/>
      <c r="M4" s="65"/>
      <c r="N4" s="65"/>
      <c r="O4" s="66"/>
      <c r="P4" s="66"/>
      <c r="Q4" s="67"/>
      <c r="R4" s="67"/>
      <c r="S4" s="68"/>
    </row>
    <row r="5" spans="1:28" ht="18">
      <c r="C5" s="75"/>
      <c r="D5" s="557" t="str">
        <f>'Input Form'!B19</f>
        <v>Supplier:</v>
      </c>
      <c r="E5" s="65"/>
      <c r="F5" s="280" t="str">
        <f>IF('Input Form'!C19=0,"",'Input Form'!C19)</f>
        <v>COMPONENTES Y CONJUNTOS SA</v>
      </c>
      <c r="G5" s="280"/>
      <c r="H5" s="280"/>
      <c r="I5" s="286"/>
      <c r="J5" s="280"/>
      <c r="K5" s="280"/>
      <c r="L5" s="280"/>
      <c r="M5" s="280"/>
      <c r="N5" s="76"/>
      <c r="O5" s="558" t="str">
        <f>'Input Form'!B9</f>
        <v>Order No.:</v>
      </c>
      <c r="P5" s="66"/>
      <c r="Q5" s="286">
        <f>IF('Input Form'!C9=0,"",'Input Form'!C9)</f>
        <v>29885</v>
      </c>
      <c r="R5" s="286"/>
      <c r="S5" s="286"/>
    </row>
    <row r="6" spans="1:28" ht="18">
      <c r="C6" s="75"/>
      <c r="D6" s="557" t="str">
        <f>'Input Form'!B21</f>
        <v>Location:</v>
      </c>
      <c r="E6" s="65"/>
      <c r="F6" s="85" t="str">
        <f>IF('Input Form'!C21=0,"",'Input Form'!C21)</f>
        <v/>
      </c>
      <c r="G6" s="280"/>
      <c r="H6" s="280"/>
      <c r="I6" s="78"/>
      <c r="J6" s="280"/>
      <c r="K6" s="280"/>
      <c r="L6" s="280"/>
      <c r="M6" s="280"/>
      <c r="N6" s="76"/>
      <c r="O6" s="558" t="str">
        <f>'Input Form'!B10</f>
        <v>Date:</v>
      </c>
      <c r="P6" s="66"/>
      <c r="Q6" s="1387">
        <f>IF('Input Form'!$C$10=0,"",'Input Form'!$C$10+14)</f>
        <v>46083</v>
      </c>
      <c r="R6" s="1387"/>
      <c r="S6" s="78"/>
    </row>
    <row r="7" spans="1:28" ht="20.25" customHeight="1">
      <c r="D7" s="65"/>
      <c r="E7" s="65"/>
      <c r="F7" s="65"/>
      <c r="G7" s="65"/>
      <c r="H7" s="65"/>
      <c r="I7" s="70"/>
      <c r="J7" s="65"/>
      <c r="K7" s="65"/>
      <c r="L7" s="65"/>
      <c r="M7" s="65"/>
      <c r="N7" s="65"/>
      <c r="O7" s="69"/>
      <c r="P7" s="69"/>
      <c r="Q7" s="70"/>
      <c r="R7" s="70"/>
      <c r="S7" s="70"/>
    </row>
    <row r="8" spans="1:28" ht="3.75" customHeight="1">
      <c r="D8" s="65"/>
      <c r="E8" s="65"/>
      <c r="F8" s="65"/>
      <c r="G8" s="65"/>
      <c r="H8" s="65"/>
      <c r="I8" s="70"/>
      <c r="J8" s="65"/>
      <c r="K8" s="65"/>
      <c r="L8" s="65"/>
      <c r="M8" s="65"/>
      <c r="N8" s="65"/>
      <c r="O8" s="69"/>
      <c r="P8" s="69"/>
      <c r="Q8" s="70"/>
      <c r="R8" s="70"/>
      <c r="S8" s="70"/>
    </row>
    <row r="9" spans="1:28" ht="20.25">
      <c r="B9" s="351"/>
      <c r="C9" s="352"/>
      <c r="D9" s="352"/>
      <c r="E9" s="352"/>
      <c r="F9" s="1388" t="str">
        <f>VLOOKUP(pos(F9),'Language-Sprachen'!$A$180:$G$199,'Language-Sprachen'!$A$3,0)</f>
        <v>Filled in by the auditor in the questionnaire</v>
      </c>
      <c r="G9" s="1389" t="e">
        <f>VLOOKUP(pos(G9),'Language-Sprachen'!$A$180:$G$199,'Language-Sprachen'!$A$3,0)</f>
        <v>#N/A</v>
      </c>
      <c r="H9" s="1389" t="e">
        <f>VLOOKUP(pos(H9),'Language-Sprachen'!$A$180:$G$199,'Language-Sprachen'!$A$3,0)</f>
        <v>#N/A</v>
      </c>
      <c r="I9" s="354"/>
      <c r="J9" s="178"/>
      <c r="K9" s="351"/>
      <c r="L9" s="352"/>
      <c r="M9" s="561"/>
      <c r="N9" s="353"/>
      <c r="O9" s="573" t="str">
        <f>VLOOKUP(pos(O9),'Language-Sprachen'!$A$180:$G$199,'Language-Sprachen'!$A$3,0)</f>
        <v>Filled in by the audited area</v>
      </c>
      <c r="P9" s="353"/>
      <c r="Q9" s="353"/>
      <c r="R9" s="353"/>
      <c r="S9" s="354"/>
    </row>
    <row r="10" spans="1:28" ht="56.25" customHeight="1">
      <c r="B10" s="920" t="str">
        <f>Questions!C9&amp;" "&amp;Questions!A9</f>
        <v>Question No.</v>
      </c>
      <c r="C10" s="880"/>
      <c r="D10" s="920" t="str">
        <f>VLOOKUP(pos(D10),'Language-Sprachen'!$A$180:$G$199,'Language-Sprachen'!$A$3,0)</f>
        <v>Reference</v>
      </c>
      <c r="E10" s="881"/>
      <c r="F10" s="920" t="str">
        <f>Questions!E9</f>
        <v>Audit results</v>
      </c>
      <c r="G10" s="881"/>
      <c r="H10" s="921" t="str">
        <f>VLOOKUP(pos(H10),'Language-Sprachen'!$A$180:$G$199,'Language-Sprachen'!$A$3,0)</f>
        <v>Points</v>
      </c>
      <c r="I10" s="922" t="str">
        <f>VLOOKUP(pos(I10),'Language-Sprachen'!$A$180:$G$199,'Language-Sprachen'!$A$3,0)</f>
        <v>Immediate action (x)</v>
      </c>
      <c r="J10" s="880"/>
      <c r="K10" s="923" t="str">
        <f>VLOOKUP(pos(K10),'Language-Sprachen'!$A$180:$G$199,'Language-Sprachen'!$A$3,0)</f>
        <v>Reason(s)</v>
      </c>
      <c r="L10" s="828"/>
      <c r="M10" s="924" t="str">
        <f>VLOOKUP(pos(M10),'Language-Sprachen'!$A$180:$G$199,'Language-Sprachen'!$A$3,0)</f>
        <v>Measure(s)</v>
      </c>
      <c r="N10" s="882"/>
      <c r="O10" s="920" t="str">
        <f>VLOOKUP(pos(O10),'Language-Sprachen'!$A$180:$G$199,'Language-Sprachen'!$A$3,0)</f>
        <v>Deadline</v>
      </c>
      <c r="P10" s="882"/>
      <c r="Q10" s="920" t="str">
        <f>VLOOKUP(pos(Q10),'Language-Sprachen'!$A$180:$G$199,'Language-Sprachen'!$A$3,0)</f>
        <v>Respon-sibility</v>
      </c>
      <c r="R10" s="882"/>
      <c r="S10" s="922" t="str">
        <f>VLOOKUP(pos(S10),'Language-Sprachen'!$A$180:$G$199,'Language-Sprachen'!$A$3,0)</f>
        <v>Effec-tivity</v>
      </c>
      <c r="AB10" s="13" t="str">
        <f>VLOOKUP(pos(AB10),'Language-Sprachen'!$A$180:$G$199,'Language-Sprachen'!$A$3,0)</f>
        <v>Copy sheet to new file (only for suppliers)</v>
      </c>
    </row>
    <row r="11" spans="1:28" s="15" customFormat="1" ht="15.75" hidden="1">
      <c r="A11" s="287"/>
      <c r="B11" s="513" t="s">
        <v>138</v>
      </c>
      <c r="C11" s="514"/>
      <c r="D11" s="515"/>
      <c r="E11" s="516"/>
      <c r="F11" s="517" t="str">
        <f>Questions!C12</f>
        <v>Project management</v>
      </c>
      <c r="G11" s="518"/>
      <c r="H11" s="519" t="str">
        <f>IF(COUNTIF(H12:H18,"&lt;10")=0,10,"X")</f>
        <v>X</v>
      </c>
      <c r="I11" s="520"/>
      <c r="J11" s="518"/>
      <c r="K11" s="520"/>
      <c r="L11" s="520"/>
      <c r="M11" s="520"/>
      <c r="N11" s="520"/>
      <c r="O11" s="521"/>
      <c r="P11" s="520"/>
      <c r="Q11" s="520"/>
      <c r="R11" s="520"/>
      <c r="S11" s="520"/>
    </row>
    <row r="12" spans="1:28" s="15" customFormat="1" ht="60">
      <c r="A12" s="16"/>
      <c r="B12" s="302" t="str">
        <f>Questions!A13</f>
        <v>2.1</v>
      </c>
      <c r="C12" s="14"/>
      <c r="D12" s="522"/>
      <c r="E12" s="523"/>
      <c r="F12" s="524" t="str">
        <f>Questions!E13</f>
        <v xml:space="preserve">For PN 351 : APQP is not started, please prepare the sheet.
Seen for 049 ( APQP 466).
</v>
      </c>
      <c r="G12" s="88"/>
      <c r="H12" s="297">
        <f>Questions!D13</f>
        <v>8</v>
      </c>
      <c r="I12" s="854" t="str">
        <f>IF(Questions!F13="","",Questions!F13)</f>
        <v/>
      </c>
      <c r="J12" s="88"/>
      <c r="K12" s="769"/>
      <c r="L12" s="826"/>
      <c r="M12" s="769"/>
      <c r="N12" s="88"/>
      <c r="O12" s="775"/>
      <c r="P12" s="88"/>
      <c r="Q12" s="769"/>
      <c r="R12" s="88"/>
      <c r="S12" s="769"/>
    </row>
    <row r="13" spans="1:28" s="15" customFormat="1" ht="30">
      <c r="A13" s="16"/>
      <c r="B13" s="301" t="str">
        <f>Questions!A14</f>
        <v>2.2</v>
      </c>
      <c r="C13" s="14"/>
      <c r="D13" s="522"/>
      <c r="E13" s="523"/>
      <c r="F13" s="525" t="str">
        <f>Questions!E14</f>
        <v>Ressources seen for APQP 466.
Please do it for PN 351.</v>
      </c>
      <c r="G13" s="88"/>
      <c r="H13" s="297">
        <f>Questions!D14</f>
        <v>8</v>
      </c>
      <c r="I13" s="854" t="str">
        <f>IF(Questions!F14="","",Questions!F14)</f>
        <v/>
      </c>
      <c r="J13" s="88"/>
      <c r="K13" s="769"/>
      <c r="L13" s="772"/>
      <c r="M13" s="769"/>
      <c r="N13" s="88"/>
      <c r="O13" s="775"/>
      <c r="P13" s="88"/>
      <c r="Q13" s="769"/>
      <c r="R13" s="88"/>
      <c r="S13" s="769"/>
    </row>
    <row r="14" spans="1:28" s="15" customFormat="1" ht="15.75">
      <c r="A14" s="16"/>
      <c r="B14" s="301" t="str">
        <f>Questions!A15</f>
        <v>2.3</v>
      </c>
      <c r="C14" s="14"/>
      <c r="D14" s="522"/>
      <c r="E14" s="523"/>
      <c r="F14" s="525" t="str">
        <f>Questions!E15</f>
        <v>Not for 351.</v>
      </c>
      <c r="G14" s="88"/>
      <c r="H14" s="297">
        <f>Questions!D15</f>
        <v>8</v>
      </c>
      <c r="I14" s="854" t="str">
        <f>IF(Questions!F15="","",Questions!F15)</f>
        <v/>
      </c>
      <c r="J14" s="88"/>
      <c r="K14" s="769"/>
      <c r="L14" s="772"/>
      <c r="M14" s="769"/>
      <c r="N14" s="88"/>
      <c r="O14" s="775"/>
      <c r="P14" s="88"/>
      <c r="Q14" s="769"/>
      <c r="R14" s="88"/>
      <c r="S14" s="769"/>
    </row>
    <row r="15" spans="1:28" s="15" customFormat="1" ht="45">
      <c r="A15" s="16"/>
      <c r="B15" s="301" t="str">
        <f>Questions!A16</f>
        <v>2.4</v>
      </c>
      <c r="C15" s="14"/>
      <c r="D15" s="522"/>
      <c r="E15" s="523"/>
      <c r="F15" s="525" t="str">
        <f>Questions!E16</f>
        <v xml:space="preserve">Customer information milestone is in the procedure, but it's not exactly clear on when it should be done.
</v>
      </c>
      <c r="G15" s="88"/>
      <c r="H15" s="297">
        <f>Questions!D16</f>
        <v>8</v>
      </c>
      <c r="I15" s="854" t="str">
        <f>IF(Questions!F16="","",Questions!F16)</f>
        <v/>
      </c>
      <c r="J15" s="88"/>
      <c r="K15" s="769"/>
      <c r="L15" s="772"/>
      <c r="M15" s="769"/>
      <c r="N15" s="88"/>
      <c r="O15" s="775"/>
      <c r="P15" s="88"/>
      <c r="Q15" s="769"/>
      <c r="R15" s="88"/>
      <c r="S15" s="769"/>
    </row>
    <row r="16" spans="1:28" s="15" customFormat="1" ht="15.75">
      <c r="A16" s="16"/>
      <c r="B16" s="301" t="str">
        <f>Questions!A17</f>
        <v>2.5</v>
      </c>
      <c r="C16" s="14"/>
      <c r="D16" s="522"/>
      <c r="E16" s="523"/>
      <c r="F16" s="525" t="str">
        <f>Questions!E17</f>
        <v>Description of non conformance (mandatory)</v>
      </c>
      <c r="G16" s="88"/>
      <c r="H16" s="297">
        <f>Questions!D17</f>
        <v>8</v>
      </c>
      <c r="I16" s="854" t="str">
        <f>IF(Questions!F17="","",Questions!F17)</f>
        <v/>
      </c>
      <c r="J16" s="88"/>
      <c r="K16" s="769"/>
      <c r="L16" s="772"/>
      <c r="M16" s="769"/>
      <c r="N16" s="88"/>
      <c r="O16" s="775"/>
      <c r="P16" s="88"/>
      <c r="Q16" s="769"/>
      <c r="R16" s="88"/>
      <c r="S16" s="769"/>
    </row>
    <row r="17" spans="1:19" s="15" customFormat="1" ht="90">
      <c r="A17" s="16"/>
      <c r="B17" s="301" t="str">
        <f>Questions!A18</f>
        <v>2.6</v>
      </c>
      <c r="C17" s="14"/>
      <c r="D17" s="522"/>
      <c r="E17" s="523"/>
      <c r="F17" s="525" t="str">
        <f>Questions!E18</f>
        <v>Managed with the 
- To improve the CSR management matrix by june. ==&gt; Change Management audit not included.
- Robustness of the documentation.(update of the CSR matrix). No robust way to show that this is the last update.</v>
      </c>
      <c r="G17" s="88"/>
      <c r="H17" s="297">
        <f>Questions!D18</f>
        <v>8</v>
      </c>
      <c r="I17" s="854" t="str">
        <f>IF(Questions!F18="","",Questions!F18)</f>
        <v/>
      </c>
      <c r="J17" s="88"/>
      <c r="K17" s="769"/>
      <c r="L17" s="772"/>
      <c r="M17" s="769"/>
      <c r="N17" s="88"/>
      <c r="O17" s="775"/>
      <c r="P17" s="88"/>
      <c r="Q17" s="769"/>
      <c r="R17" s="88"/>
      <c r="S17" s="769"/>
    </row>
    <row r="18" spans="1:19" s="15" customFormat="1" ht="45.75" thickBot="1">
      <c r="A18" s="16"/>
      <c r="B18" s="307" t="str">
        <f>Questions!A19</f>
        <v>2.7</v>
      </c>
      <c r="C18" s="295"/>
      <c r="D18" s="910"/>
      <c r="E18" s="539"/>
      <c r="F18" s="540" t="str">
        <f>Questions!E19</f>
        <v>Implemented in the procedure.
For Volvo project, seen the project list where all the open points are higlighted.</v>
      </c>
      <c r="G18" s="296"/>
      <c r="H18" s="298">
        <f>Questions!D19</f>
        <v>10</v>
      </c>
      <c r="I18" s="890" t="str">
        <f>IF(Questions!F19="","",Questions!F19)</f>
        <v/>
      </c>
      <c r="J18" s="296"/>
      <c r="K18" s="774"/>
      <c r="L18" s="774"/>
      <c r="M18" s="774"/>
      <c r="N18" s="296"/>
      <c r="O18" s="777"/>
      <c r="P18" s="296"/>
      <c r="Q18" s="774"/>
      <c r="R18" s="296"/>
      <c r="S18" s="774"/>
    </row>
    <row r="19" spans="1:19" s="15" customFormat="1" ht="15.75">
      <c r="A19" s="287"/>
      <c r="B19" s="512" t="s">
        <v>139</v>
      </c>
      <c r="C19" s="527"/>
      <c r="D19" s="528"/>
      <c r="E19" s="529"/>
      <c r="F19" s="530" t="str">
        <f>Questions!C20</f>
        <v>Planning the product and process development</v>
      </c>
      <c r="G19" s="531"/>
      <c r="H19" s="532" t="str">
        <f>IF(COUNTIF(H20:H29,"&lt;10")=0,10,"X")</f>
        <v>X</v>
      </c>
      <c r="I19" s="533"/>
      <c r="J19" s="531"/>
      <c r="K19" s="533"/>
      <c r="L19" s="533"/>
      <c r="M19" s="533"/>
      <c r="N19" s="533"/>
      <c r="O19" s="534"/>
      <c r="P19" s="533"/>
      <c r="Q19" s="533"/>
      <c r="R19" s="533"/>
      <c r="S19" s="533"/>
    </row>
    <row r="20" spans="1:19" s="15" customFormat="1" ht="15.75">
      <c r="A20" s="16"/>
      <c r="B20" s="301" t="str">
        <f>Questions!A22</f>
        <v>3.1</v>
      </c>
      <c r="C20" s="14"/>
      <c r="D20" s="535" t="str">
        <f>Questions!$C$23</f>
        <v>Product</v>
      </c>
      <c r="E20" s="523"/>
      <c r="F20" s="525" t="str">
        <f>Questions!E23</f>
        <v>See P2 - 2.8</v>
      </c>
      <c r="G20" s="88"/>
      <c r="H20" s="297">
        <f>Questions!D23</f>
        <v>8</v>
      </c>
      <c r="I20" s="854" t="str">
        <f>IF(Questions!F23="","",Questions!F23)</f>
        <v/>
      </c>
      <c r="J20" s="88"/>
      <c r="K20" s="769"/>
      <c r="L20" s="826"/>
      <c r="M20" s="769"/>
      <c r="N20" s="88"/>
      <c r="O20" s="775"/>
      <c r="P20" s="88"/>
      <c r="Q20" s="769"/>
      <c r="R20" s="88"/>
      <c r="S20" s="769"/>
    </row>
    <row r="21" spans="1:19" s="15" customFormat="1" ht="15.75">
      <c r="A21" s="16"/>
      <c r="B21" s="306" t="str">
        <f>Questions!A22</f>
        <v>3.1</v>
      </c>
      <c r="C21" s="303"/>
      <c r="D21" s="536" t="str">
        <f>Questions!$C$24</f>
        <v>Process</v>
      </c>
      <c r="E21" s="537"/>
      <c r="F21" s="538" t="str">
        <f>Questions!E24</f>
        <v>See P2 - 2.8</v>
      </c>
      <c r="G21" s="304"/>
      <c r="H21" s="305">
        <f>Questions!D24</f>
        <v>8</v>
      </c>
      <c r="I21" s="854" t="str">
        <f>IF(Questions!F24="","",Questions!F24)</f>
        <v/>
      </c>
      <c r="J21" s="304"/>
      <c r="K21" s="770"/>
      <c r="L21" s="770"/>
      <c r="M21" s="770"/>
      <c r="N21" s="304"/>
      <c r="O21" s="776"/>
      <c r="P21" s="304"/>
      <c r="Q21" s="770"/>
      <c r="R21" s="304"/>
      <c r="S21" s="770"/>
    </row>
    <row r="22" spans="1:19" s="15" customFormat="1" ht="75">
      <c r="A22" s="16"/>
      <c r="B22" s="301" t="str">
        <f>Questions!A25</f>
        <v>3.2</v>
      </c>
      <c r="C22" s="14"/>
      <c r="D22" s="535" t="str">
        <f>Questions!$C$23</f>
        <v>Product</v>
      </c>
      <c r="E22" s="523"/>
      <c r="F22" s="525" t="str">
        <f>Questions!E26</f>
        <v>Ok example seen for 946 (Analisis de Factibilidad).The document includes planning, capcity, capability points &amp; planning as well.
The nomination date is part of the document. This step is equivalent to Customer approval.</v>
      </c>
      <c r="G22" s="88"/>
      <c r="H22" s="297">
        <f>Questions!D26</f>
        <v>10</v>
      </c>
      <c r="I22" s="854" t="str">
        <f>IF(Questions!F26="","",Questions!F26)</f>
        <v/>
      </c>
      <c r="J22" s="88"/>
      <c r="K22" s="769"/>
      <c r="L22" s="826"/>
      <c r="M22" s="769"/>
      <c r="N22" s="88"/>
      <c r="O22" s="775"/>
      <c r="P22" s="88"/>
      <c r="Q22" s="769"/>
      <c r="R22" s="88"/>
      <c r="S22" s="769"/>
    </row>
    <row r="23" spans="1:19" s="15" customFormat="1" ht="15.75">
      <c r="A23" s="16"/>
      <c r="B23" s="306" t="str">
        <f>Questions!A25</f>
        <v>3.2</v>
      </c>
      <c r="C23" s="303"/>
      <c r="D23" s="536" t="str">
        <f>Questions!$C$24</f>
        <v>Process</v>
      </c>
      <c r="E23" s="537"/>
      <c r="F23" s="538" t="str">
        <f>Questions!E27</f>
        <v>Ok example seen for 946 (Analisis de Factibilidad.</v>
      </c>
      <c r="G23" s="304"/>
      <c r="H23" s="305">
        <f>Questions!D27</f>
        <v>10</v>
      </c>
      <c r="I23" s="854" t="str">
        <f>IF(Questions!F27="","",Questions!F27)</f>
        <v/>
      </c>
      <c r="J23" s="304"/>
      <c r="K23" s="770"/>
      <c r="L23" s="770"/>
      <c r="M23" s="770"/>
      <c r="N23" s="304"/>
      <c r="O23" s="776"/>
      <c r="P23" s="304"/>
      <c r="Q23" s="770"/>
      <c r="R23" s="304"/>
      <c r="S23" s="770"/>
    </row>
    <row r="24" spans="1:19" s="15" customFormat="1" ht="15.75">
      <c r="A24" s="16"/>
      <c r="B24" s="301" t="str">
        <f>Questions!A28</f>
        <v>3.3</v>
      </c>
      <c r="C24" s="14"/>
      <c r="D24" s="535" t="str">
        <f>Questions!$C$23</f>
        <v>Product</v>
      </c>
      <c r="E24" s="523"/>
      <c r="F24" s="525" t="str">
        <f>Questions!E29</f>
        <v>OK, only 351 missing</v>
      </c>
      <c r="G24" s="88"/>
      <c r="H24" s="297">
        <f>Questions!D29</f>
        <v>8</v>
      </c>
      <c r="I24" s="854" t="str">
        <f>IF(Questions!F29="","",Questions!F29)</f>
        <v/>
      </c>
      <c r="J24" s="88"/>
      <c r="K24" s="769"/>
      <c r="L24" s="826"/>
      <c r="M24" s="769"/>
      <c r="N24" s="88"/>
      <c r="O24" s="775"/>
      <c r="P24" s="88"/>
      <c r="Q24" s="769"/>
      <c r="R24" s="88"/>
      <c r="S24" s="769"/>
    </row>
    <row r="25" spans="1:19" s="15" customFormat="1" ht="15.75">
      <c r="A25" s="16"/>
      <c r="B25" s="306" t="str">
        <f>Questions!A28</f>
        <v>3.3</v>
      </c>
      <c r="C25" s="303"/>
      <c r="D25" s="536" t="str">
        <f>Questions!$C$24</f>
        <v>Process</v>
      </c>
      <c r="E25" s="537"/>
      <c r="F25" s="538" t="str">
        <f>Questions!E30</f>
        <v>OK</v>
      </c>
      <c r="G25" s="304"/>
      <c r="H25" s="305">
        <f>Questions!D30</f>
        <v>8</v>
      </c>
      <c r="I25" s="854" t="str">
        <f>IF(Questions!F30="","",Questions!F30)</f>
        <v/>
      </c>
      <c r="J25" s="304"/>
      <c r="K25" s="770"/>
      <c r="L25" s="770"/>
      <c r="M25" s="770"/>
      <c r="N25" s="304"/>
      <c r="O25" s="776"/>
      <c r="P25" s="304"/>
      <c r="Q25" s="770"/>
      <c r="R25" s="304"/>
      <c r="S25" s="770"/>
    </row>
    <row r="26" spans="1:19" s="15" customFormat="1" ht="15.75">
      <c r="A26" s="16"/>
      <c r="B26" s="301" t="str">
        <f>Questions!A31</f>
        <v>3.4</v>
      </c>
      <c r="C26" s="14"/>
      <c r="D26" s="535" t="str">
        <f>Questions!$C$23</f>
        <v>Product</v>
      </c>
      <c r="E26" s="523"/>
      <c r="F26" s="525" t="str">
        <f>Questions!E32</f>
        <v>No weakness identified</v>
      </c>
      <c r="G26" s="88"/>
      <c r="H26" s="297">
        <f>Questions!D32</f>
        <v>10</v>
      </c>
      <c r="I26" s="854" t="str">
        <f>IF(Questions!F32="","",Questions!F32)</f>
        <v/>
      </c>
      <c r="J26" s="88"/>
      <c r="K26" s="769"/>
      <c r="L26" s="772"/>
      <c r="M26" s="769"/>
      <c r="N26" s="88"/>
      <c r="O26" s="775"/>
      <c r="P26" s="88"/>
      <c r="Q26" s="769"/>
      <c r="R26" s="88"/>
      <c r="S26" s="769"/>
    </row>
    <row r="27" spans="1:19" s="15" customFormat="1" ht="75">
      <c r="A27" s="16"/>
      <c r="B27" s="306" t="str">
        <f>Questions!A31</f>
        <v>3.4</v>
      </c>
      <c r="C27" s="303"/>
      <c r="D27" s="536" t="str">
        <f>Questions!$C$24</f>
        <v>Process</v>
      </c>
      <c r="E27" s="537"/>
      <c r="F27" s="538" t="str">
        <f>Questions!E33</f>
        <v>Run@Rate activities are not included in the APQP planning seen for 946.
No Run@Rate format available in Grupo Cropu organization.
Example seen of R@R done with customer format.</v>
      </c>
      <c r="G27" s="304"/>
      <c r="H27" s="305">
        <f>Questions!D33</f>
        <v>6</v>
      </c>
      <c r="I27" s="854" t="str">
        <f>IF(Questions!F33="","",Questions!F33)</f>
        <v/>
      </c>
      <c r="J27" s="304"/>
      <c r="K27" s="770"/>
      <c r="L27" s="772"/>
      <c r="M27" s="770"/>
      <c r="N27" s="304"/>
      <c r="O27" s="776"/>
      <c r="P27" s="304"/>
      <c r="Q27" s="770"/>
      <c r="R27" s="304"/>
      <c r="S27" s="770"/>
    </row>
    <row r="28" spans="1:19" s="15" customFormat="1" ht="15.75">
      <c r="A28" s="16"/>
      <c r="B28" s="301" t="str">
        <f>Questions!A34</f>
        <v>3.5</v>
      </c>
      <c r="C28" s="14"/>
      <c r="D28" s="535" t="str">
        <f>Questions!$C$23</f>
        <v>Product</v>
      </c>
      <c r="E28" s="523"/>
      <c r="F28" s="525" t="str">
        <f>Questions!E35</f>
        <v>See 3.2</v>
      </c>
      <c r="G28" s="88"/>
      <c r="H28" s="297">
        <f>Questions!D35</f>
        <v>10</v>
      </c>
      <c r="I28" s="854" t="str">
        <f>IF(Questions!F35="","",Questions!F35)</f>
        <v/>
      </c>
      <c r="J28" s="88"/>
      <c r="K28" s="769"/>
      <c r="L28" s="826"/>
      <c r="M28" s="769"/>
      <c r="N28" s="88"/>
      <c r="O28" s="775"/>
      <c r="P28" s="88"/>
      <c r="Q28" s="769"/>
      <c r="R28" s="88"/>
      <c r="S28" s="769"/>
    </row>
    <row r="29" spans="1:19" s="15" customFormat="1" ht="16.5" thickBot="1">
      <c r="A29" s="16"/>
      <c r="B29" s="307" t="str">
        <f>Questions!A34</f>
        <v>3.5</v>
      </c>
      <c r="C29" s="295"/>
      <c r="D29" s="909" t="str">
        <f>Questions!$C$24</f>
        <v>Process</v>
      </c>
      <c r="E29" s="539"/>
      <c r="F29" s="540" t="str">
        <f>Questions!E36</f>
        <v>See 3.2</v>
      </c>
      <c r="G29" s="296"/>
      <c r="H29" s="298">
        <f>Questions!D36</f>
        <v>10</v>
      </c>
      <c r="I29" s="890" t="str">
        <f>IF(Questions!F36="","",Questions!F36)</f>
        <v/>
      </c>
      <c r="J29" s="296"/>
      <c r="K29" s="774"/>
      <c r="L29" s="774"/>
      <c r="M29" s="774"/>
      <c r="N29" s="296"/>
      <c r="O29" s="777"/>
      <c r="P29" s="296"/>
      <c r="Q29" s="774"/>
      <c r="R29" s="296"/>
      <c r="S29" s="774"/>
    </row>
    <row r="30" spans="1:19" s="15" customFormat="1" ht="31.5">
      <c r="A30" s="287"/>
      <c r="B30" s="512" t="s">
        <v>140</v>
      </c>
      <c r="C30" s="527"/>
      <c r="D30" s="528"/>
      <c r="E30" s="529"/>
      <c r="F30" s="530" t="str">
        <f>Questions!C37</f>
        <v>Implementation of the product and process development</v>
      </c>
      <c r="G30" s="531"/>
      <c r="H30" s="532" t="str">
        <f>IF(COUNTIF(H31:H44,"&lt;10")=0,10,"X")</f>
        <v>X</v>
      </c>
      <c r="I30" s="533"/>
      <c r="J30" s="531"/>
      <c r="K30" s="533"/>
      <c r="L30" s="533"/>
      <c r="M30" s="533"/>
      <c r="N30" s="533"/>
      <c r="O30" s="534"/>
      <c r="P30" s="533"/>
      <c r="Q30" s="533"/>
      <c r="R30" s="533"/>
      <c r="S30" s="533"/>
    </row>
    <row r="31" spans="1:19" s="15" customFormat="1" ht="15.75">
      <c r="A31" s="16"/>
      <c r="B31" s="301" t="str">
        <f>Questions!A39</f>
        <v>4.1</v>
      </c>
      <c r="C31" s="14"/>
      <c r="D31" s="535" t="str">
        <f>Questions!$C$23</f>
        <v>Product</v>
      </c>
      <c r="E31" s="523"/>
      <c r="F31" s="525" t="str">
        <f>Questions!E40</f>
        <v>See P2</v>
      </c>
      <c r="G31" s="88"/>
      <c r="H31" s="297">
        <f>Questions!D40</f>
        <v>8</v>
      </c>
      <c r="I31" s="854" t="str">
        <f>IF(Questions!F40="","",Questions!F40)</f>
        <v/>
      </c>
      <c r="J31" s="88"/>
      <c r="K31" s="769"/>
      <c r="L31" s="826"/>
      <c r="M31" s="769"/>
      <c r="N31" s="88"/>
      <c r="O31" s="775"/>
      <c r="P31" s="88"/>
      <c r="Q31" s="769"/>
      <c r="R31" s="88"/>
      <c r="S31" s="769"/>
    </row>
    <row r="32" spans="1:19" s="15" customFormat="1" ht="15.75">
      <c r="A32" s="16"/>
      <c r="B32" s="306" t="str">
        <f>Questions!A39</f>
        <v>4.1</v>
      </c>
      <c r="C32" s="303"/>
      <c r="D32" s="536" t="str">
        <f>Questions!$C$24</f>
        <v>Process</v>
      </c>
      <c r="E32" s="537"/>
      <c r="F32" s="538" t="str">
        <f>Questions!E41</f>
        <v>See P2</v>
      </c>
      <c r="G32" s="304"/>
      <c r="H32" s="305">
        <f>Questions!D41</f>
        <v>8</v>
      </c>
      <c r="I32" s="855" t="str">
        <f>IF(Questions!F41="","",Questions!F41)</f>
        <v/>
      </c>
      <c r="J32" s="304"/>
      <c r="K32" s="770"/>
      <c r="L32" s="770"/>
      <c r="M32" s="770"/>
      <c r="N32" s="304"/>
      <c r="O32" s="776"/>
      <c r="P32" s="304"/>
      <c r="Q32" s="770"/>
      <c r="R32" s="304"/>
      <c r="S32" s="770"/>
    </row>
    <row r="33" spans="1:19" ht="15.75">
      <c r="A33" s="16"/>
      <c r="B33" s="301" t="str">
        <f>Questions!A42</f>
        <v>4.2</v>
      </c>
      <c r="C33" s="14"/>
      <c r="D33" s="535" t="str">
        <f>Questions!$C$23</f>
        <v>Product</v>
      </c>
      <c r="E33" s="523"/>
      <c r="F33" s="525" t="str">
        <f>Questions!E43</f>
        <v>Ok included in feeasibliity sheet</v>
      </c>
      <c r="G33" s="88"/>
      <c r="H33" s="297">
        <f>Questions!D43</f>
        <v>8</v>
      </c>
      <c r="I33" s="854" t="str">
        <f>IF(Questions!F43="","",Questions!F43)</f>
        <v/>
      </c>
      <c r="J33" s="88"/>
      <c r="K33" s="769"/>
      <c r="L33" s="826"/>
      <c r="M33" s="769"/>
      <c r="N33" s="88"/>
      <c r="O33" s="775"/>
      <c r="P33" s="88"/>
      <c r="Q33" s="769"/>
      <c r="R33" s="88"/>
      <c r="S33" s="769"/>
    </row>
    <row r="34" spans="1:19" ht="15.75">
      <c r="A34" s="16"/>
      <c r="B34" s="306" t="str">
        <f>Questions!A42</f>
        <v>4.2</v>
      </c>
      <c r="C34" s="303"/>
      <c r="D34" s="536" t="str">
        <f>Questions!$C$24</f>
        <v>Process</v>
      </c>
      <c r="E34" s="537"/>
      <c r="F34" s="538" t="str">
        <f>Questions!E44</f>
        <v>Ok included in feeasibliity sheet</v>
      </c>
      <c r="G34" s="304"/>
      <c r="H34" s="305">
        <f>Questions!D44</f>
        <v>8</v>
      </c>
      <c r="I34" s="855" t="str">
        <f>IF(Questions!F44="","",Questions!F44)</f>
        <v/>
      </c>
      <c r="J34" s="304"/>
      <c r="K34" s="770"/>
      <c r="L34" s="770"/>
      <c r="M34" s="770"/>
      <c r="N34" s="304"/>
      <c r="O34" s="776"/>
      <c r="P34" s="304"/>
      <c r="Q34" s="770"/>
      <c r="R34" s="304"/>
      <c r="S34" s="770"/>
    </row>
    <row r="35" spans="1:19" s="15" customFormat="1" ht="15.75">
      <c r="A35" s="16"/>
      <c r="B35" s="301" t="str">
        <f>Questions!A45</f>
        <v>4.3</v>
      </c>
      <c r="C35" s="14"/>
      <c r="D35" s="535" t="str">
        <f>Questions!$C$23</f>
        <v>Product</v>
      </c>
      <c r="E35" s="523"/>
      <c r="F35" s="525" t="str">
        <f>Questions!E46</f>
        <v>Topic managed with DAU</v>
      </c>
      <c r="G35" s="88"/>
      <c r="H35" s="297">
        <f>Questions!D46</f>
        <v>10</v>
      </c>
      <c r="I35" s="854" t="str">
        <f>IF(Questions!F46="","",Questions!F46)</f>
        <v/>
      </c>
      <c r="J35" s="88"/>
      <c r="K35" s="769"/>
      <c r="L35" s="826"/>
      <c r="M35" s="769"/>
      <c r="N35" s="88"/>
      <c r="O35" s="775"/>
      <c r="P35" s="88"/>
      <c r="Q35" s="769"/>
      <c r="R35" s="88"/>
      <c r="S35" s="769"/>
    </row>
    <row r="36" spans="1:19" s="15" customFormat="1" ht="15.75">
      <c r="A36" s="16"/>
      <c r="B36" s="306" t="str">
        <f>Questions!A45</f>
        <v>4.3</v>
      </c>
      <c r="C36" s="303"/>
      <c r="D36" s="536" t="str">
        <f>Questions!$C$24</f>
        <v>Process</v>
      </c>
      <c r="E36" s="537"/>
      <c r="F36" s="538" t="str">
        <f>Questions!E47</f>
        <v>Topic managed with DAU</v>
      </c>
      <c r="G36" s="304"/>
      <c r="H36" s="305">
        <f>Questions!D47</f>
        <v>10</v>
      </c>
      <c r="I36" s="855" t="str">
        <f>IF(Questions!F47="","",Questions!F47)</f>
        <v/>
      </c>
      <c r="J36" s="304"/>
      <c r="K36" s="770"/>
      <c r="L36" s="770"/>
      <c r="M36" s="770"/>
      <c r="N36" s="304"/>
      <c r="O36" s="776"/>
      <c r="P36" s="304"/>
      <c r="Q36" s="770"/>
      <c r="R36" s="304"/>
      <c r="S36" s="770"/>
    </row>
    <row r="37" spans="1:19" s="15" customFormat="1" ht="15.75">
      <c r="A37" s="16"/>
      <c r="B37" s="301" t="str">
        <f>Questions!A48</f>
        <v>4.4</v>
      </c>
      <c r="C37" s="14"/>
      <c r="D37" s="535" t="str">
        <f>Questions!$C$23</f>
        <v>Product</v>
      </c>
      <c r="E37" s="523"/>
      <c r="F37" s="525" t="str">
        <f>Questions!E49</f>
        <v>No weakness identified</v>
      </c>
      <c r="G37" s="88"/>
      <c r="H37" s="297">
        <f>Questions!D49</f>
        <v>10</v>
      </c>
      <c r="I37" s="854" t="str">
        <f>IF(Questions!F49="","",Questions!F49)</f>
        <v/>
      </c>
      <c r="J37" s="88"/>
      <c r="K37" s="769"/>
      <c r="L37" s="826"/>
      <c r="M37" s="769"/>
      <c r="N37" s="88"/>
      <c r="O37" s="775"/>
      <c r="P37" s="88"/>
      <c r="Q37" s="769"/>
      <c r="R37" s="88"/>
      <c r="S37" s="769"/>
    </row>
    <row r="38" spans="1:19" s="15" customFormat="1" ht="15.75">
      <c r="A38" s="16"/>
      <c r="B38" s="306" t="str">
        <f>Questions!A48</f>
        <v>4.4</v>
      </c>
      <c r="C38" s="303"/>
      <c r="D38" s="536" t="str">
        <f>Questions!$C$24</f>
        <v>Process</v>
      </c>
      <c r="E38" s="537"/>
      <c r="F38" s="538" t="str">
        <f>Questions!E50</f>
        <v>Run Rate missing.</v>
      </c>
      <c r="G38" s="304"/>
      <c r="H38" s="305">
        <f>Questions!D50</f>
        <v>6</v>
      </c>
      <c r="I38" s="856" t="str">
        <f>IF(Questions!F50="","",Questions!F50)</f>
        <v/>
      </c>
      <c r="J38" s="304"/>
      <c r="K38" s="770"/>
      <c r="L38" s="770"/>
      <c r="M38" s="770"/>
      <c r="N38" s="304"/>
      <c r="O38" s="776"/>
      <c r="P38" s="304"/>
      <c r="Q38" s="770"/>
      <c r="R38" s="304"/>
      <c r="S38" s="770"/>
    </row>
    <row r="39" spans="1:19" s="15" customFormat="1" ht="15.75">
      <c r="A39" s="16"/>
      <c r="B39" s="302" t="str">
        <f>Questions!A51</f>
        <v>4.5</v>
      </c>
      <c r="C39" s="14"/>
      <c r="D39" s="535" t="str">
        <f>Questions!$C$23</f>
        <v>Product</v>
      </c>
      <c r="E39" s="523"/>
      <c r="F39" s="525" t="str">
        <f>Questions!E52</f>
        <v>Included in APQP</v>
      </c>
      <c r="G39" s="88"/>
      <c r="H39" s="297">
        <f>Questions!D52</f>
        <v>10</v>
      </c>
      <c r="I39" s="857" t="str">
        <f>IF(Questions!F52="","",Questions!F52)</f>
        <v/>
      </c>
      <c r="J39" s="88"/>
      <c r="K39" s="769"/>
      <c r="L39" s="826"/>
      <c r="M39" s="769"/>
      <c r="N39" s="88"/>
      <c r="O39" s="775"/>
      <c r="P39" s="88"/>
      <c r="Q39" s="769"/>
      <c r="R39" s="88"/>
      <c r="S39" s="769"/>
    </row>
    <row r="40" spans="1:19" s="15" customFormat="1" ht="15.75">
      <c r="A40" s="16"/>
      <c r="B40" s="308" t="str">
        <f>Questions!A51</f>
        <v>4.5</v>
      </c>
      <c r="C40" s="303"/>
      <c r="D40" s="536" t="str">
        <f>Questions!$C$24</f>
        <v>Process</v>
      </c>
      <c r="E40" s="537"/>
      <c r="F40" s="538" t="str">
        <f>Questions!E53</f>
        <v>Included in APQP</v>
      </c>
      <c r="G40" s="304"/>
      <c r="H40" s="305">
        <f>Questions!D53</f>
        <v>10</v>
      </c>
      <c r="I40" s="856" t="str">
        <f>IF(Questions!F53="","",Questions!F53)</f>
        <v/>
      </c>
      <c r="J40" s="304"/>
      <c r="K40" s="770"/>
      <c r="L40" s="770"/>
      <c r="M40" s="770"/>
      <c r="N40" s="304"/>
      <c r="O40" s="776"/>
      <c r="P40" s="304"/>
      <c r="Q40" s="770"/>
      <c r="R40" s="304"/>
      <c r="S40" s="770"/>
    </row>
    <row r="41" spans="1:19" s="15" customFormat="1" ht="15.75">
      <c r="A41" s="16"/>
      <c r="B41" s="309" t="str">
        <f>Questions!A54</f>
        <v>4.6</v>
      </c>
      <c r="C41" s="310"/>
      <c r="D41" s="541" t="str">
        <f>Questions!$C$24</f>
        <v>Process</v>
      </c>
      <c r="E41" s="542"/>
      <c r="F41" s="543" t="str">
        <f>Questions!E55</f>
        <v>Done excepted Run Rate</v>
      </c>
      <c r="G41" s="311"/>
      <c r="H41" s="312">
        <f>Questions!D55</f>
        <v>8</v>
      </c>
      <c r="I41" s="858" t="str">
        <f>IF(Questions!F55="","",Questions!F55)</f>
        <v/>
      </c>
      <c r="J41" s="311"/>
      <c r="K41" s="773"/>
      <c r="L41" s="773"/>
      <c r="M41" s="773"/>
      <c r="N41" s="311"/>
      <c r="O41" s="778"/>
      <c r="P41" s="311"/>
      <c r="Q41" s="773"/>
      <c r="R41" s="311"/>
      <c r="S41" s="773"/>
    </row>
    <row r="42" spans="1:19" s="15" customFormat="1" ht="75">
      <c r="A42" s="16"/>
      <c r="B42" s="309" t="str">
        <f>Questions!A56</f>
        <v>4.7</v>
      </c>
      <c r="C42" s="310"/>
      <c r="D42" s="541" t="str">
        <f>Questions!$C$24</f>
        <v>Process</v>
      </c>
      <c r="E42" s="542"/>
      <c r="F42" s="821" t="str">
        <f>Questions!E57</f>
        <v>A document exists but is not totally official and not linked to the documentation system and not apppy in CYC.
This CSR is not included in the APQP as well.
==&gt; Corporate ICL / SL to rediscuss with ASTEMO.</v>
      </c>
      <c r="G42" s="311"/>
      <c r="H42" s="312">
        <f>Questions!D57</f>
        <v>6</v>
      </c>
      <c r="I42" s="858" t="str">
        <f>IF(Questions!F57="","",Questions!F57)</f>
        <v/>
      </c>
      <c r="J42" s="311"/>
      <c r="K42" s="773"/>
      <c r="L42" s="773"/>
      <c r="M42" s="773"/>
      <c r="N42" s="311"/>
      <c r="O42" s="778"/>
      <c r="P42" s="311"/>
      <c r="Q42" s="773"/>
      <c r="R42" s="311"/>
      <c r="S42" s="773"/>
    </row>
    <row r="43" spans="1:19" s="15" customFormat="1" ht="15.75">
      <c r="A43" s="16"/>
      <c r="B43" s="302" t="str">
        <f>Questions!A58</f>
        <v>4.8</v>
      </c>
      <c r="C43" s="14"/>
      <c r="D43" s="535" t="str">
        <f>Questions!$C$23</f>
        <v>Product</v>
      </c>
      <c r="E43" s="523"/>
      <c r="F43" s="525" t="str">
        <f>Questions!E59</f>
        <v>Yes seen in APQP</v>
      </c>
      <c r="G43" s="88"/>
      <c r="H43" s="297">
        <f>Questions!D59</f>
        <v>10</v>
      </c>
      <c r="I43" s="857" t="str">
        <f>IF(Questions!F59="","",Questions!F59)</f>
        <v/>
      </c>
      <c r="J43" s="88"/>
      <c r="K43" s="769"/>
      <c r="L43" s="826"/>
      <c r="M43" s="769"/>
      <c r="N43" s="88"/>
      <c r="O43" s="775"/>
      <c r="P43" s="88"/>
      <c r="Q43" s="769"/>
      <c r="R43" s="88"/>
      <c r="S43" s="769"/>
    </row>
    <row r="44" spans="1:19" s="15" customFormat="1" ht="16.5" thickBot="1">
      <c r="A44" s="16"/>
      <c r="B44" s="307" t="str">
        <f>Questions!A58</f>
        <v>4.8</v>
      </c>
      <c r="C44" s="295"/>
      <c r="D44" s="909" t="str">
        <f>Questions!$C$24</f>
        <v>Process</v>
      </c>
      <c r="E44" s="539"/>
      <c r="F44" s="540" t="str">
        <f>Questions!E60</f>
        <v>Yes seen in APQP</v>
      </c>
      <c r="G44" s="296"/>
      <c r="H44" s="298">
        <f>Questions!D60</f>
        <v>10</v>
      </c>
      <c r="I44" s="911" t="str">
        <f>IF(Questions!F60="","",Questions!F60)</f>
        <v/>
      </c>
      <c r="J44" s="296"/>
      <c r="K44" s="774"/>
      <c r="L44" s="774"/>
      <c r="M44" s="774"/>
      <c r="N44" s="296"/>
      <c r="O44" s="777"/>
      <c r="P44" s="296"/>
      <c r="Q44" s="774"/>
      <c r="R44" s="296"/>
      <c r="S44" s="774"/>
    </row>
    <row r="45" spans="1:19" s="15" customFormat="1" ht="15.75">
      <c r="A45" s="287"/>
      <c r="B45" s="512" t="s">
        <v>141</v>
      </c>
      <c r="C45" s="527"/>
      <c r="D45" s="528"/>
      <c r="E45" s="529"/>
      <c r="F45" s="530" t="str">
        <f>Questions!C61</f>
        <v xml:space="preserve">Supplier Management </v>
      </c>
      <c r="G45" s="531"/>
      <c r="H45" s="532" t="str">
        <f>IF(COUNTIF(H46:H52,"&lt;10")=0,10,"X")</f>
        <v>X</v>
      </c>
      <c r="I45" s="533"/>
      <c r="J45" s="531"/>
      <c r="K45" s="533"/>
      <c r="L45" s="533"/>
      <c r="M45" s="533"/>
      <c r="N45" s="533"/>
      <c r="O45" s="534"/>
      <c r="P45" s="533"/>
      <c r="Q45" s="533"/>
      <c r="R45" s="533"/>
      <c r="S45" s="533"/>
    </row>
    <row r="46" spans="1:19" ht="105">
      <c r="A46" s="16"/>
      <c r="B46" s="302" t="str">
        <f>Questions!A62</f>
        <v>5.1</v>
      </c>
      <c r="C46" s="14"/>
      <c r="D46" s="522"/>
      <c r="E46" s="523"/>
      <c r="F46" s="525" t="str">
        <f>Questions!E62</f>
        <v>ORI Martin (raw material supplier) y DAU seen.
All suppliers are green (grade A).
The evaluation is done 1/year. The scoring rules are taking in account Quality &amp; Logistic.
Note : 
Evaluation looks reactive as it's done one time per year. !!!</v>
      </c>
      <c r="G46" s="88"/>
      <c r="H46" s="297">
        <f>Questions!D62</f>
        <v>6</v>
      </c>
      <c r="I46" s="854" t="str">
        <f>IF(Questions!F62="","",Questions!F62)</f>
        <v/>
      </c>
      <c r="J46" s="88"/>
      <c r="K46" s="769"/>
      <c r="L46" s="826"/>
      <c r="M46" s="769"/>
      <c r="N46" s="88"/>
      <c r="O46" s="775"/>
      <c r="P46" s="88"/>
      <c r="Q46" s="769"/>
      <c r="R46" s="88"/>
      <c r="S46" s="769"/>
    </row>
    <row r="47" spans="1:19" s="15" customFormat="1" ht="15.75">
      <c r="A47" s="16"/>
      <c r="B47" s="301" t="str">
        <f>Questions!A63</f>
        <v>5.2</v>
      </c>
      <c r="C47" s="14"/>
      <c r="D47" s="522"/>
      <c r="E47" s="523"/>
      <c r="F47" s="525" t="str">
        <f>Questions!E63</f>
        <v>No weakness identified</v>
      </c>
      <c r="G47" s="88"/>
      <c r="H47" s="297">
        <f>Questions!D63</f>
        <v>10</v>
      </c>
      <c r="I47" s="854" t="str">
        <f>IF(Questions!F63="","",Questions!F63)</f>
        <v/>
      </c>
      <c r="J47" s="88"/>
      <c r="K47" s="769"/>
      <c r="L47" s="772"/>
      <c r="M47" s="769"/>
      <c r="N47" s="88"/>
      <c r="O47" s="775"/>
      <c r="P47" s="88"/>
      <c r="Q47" s="769"/>
      <c r="R47" s="88"/>
      <c r="S47" s="769"/>
    </row>
    <row r="48" spans="1:19" s="15" customFormat="1" ht="15.75">
      <c r="A48" s="16"/>
      <c r="B48" s="301" t="str">
        <f>Questions!A64</f>
        <v>5.3</v>
      </c>
      <c r="C48" s="14"/>
      <c r="D48" s="522"/>
      <c r="E48" s="523"/>
      <c r="F48" s="525" t="str">
        <f>Questions!E64</f>
        <v>Ok, see 5.1</v>
      </c>
      <c r="G48" s="88"/>
      <c r="H48" s="297">
        <f>Questions!D64</f>
        <v>10</v>
      </c>
      <c r="I48" s="854" t="str">
        <f>IF(Questions!F64="","",Questions!F64)</f>
        <v/>
      </c>
      <c r="J48" s="88"/>
      <c r="K48" s="769"/>
      <c r="L48" s="772"/>
      <c r="M48" s="769"/>
      <c r="N48" s="88"/>
      <c r="O48" s="775"/>
      <c r="P48" s="88"/>
      <c r="Q48" s="769"/>
      <c r="R48" s="88"/>
      <c r="S48" s="769"/>
    </row>
    <row r="49" spans="1:19" s="15" customFormat="1" ht="15.75">
      <c r="A49" s="16"/>
      <c r="B49" s="301" t="str">
        <f>Questions!A65</f>
        <v>5.4</v>
      </c>
      <c r="C49" s="14"/>
      <c r="D49" s="522"/>
      <c r="E49" s="523"/>
      <c r="F49" s="525" t="str">
        <f>Questions!E65</f>
        <v>Included in APQP. See in shopflorr</v>
      </c>
      <c r="G49" s="88"/>
      <c r="H49" s="297">
        <f>Questions!D65</f>
        <v>10</v>
      </c>
      <c r="I49" s="854" t="str">
        <f>IF(Questions!F65="","",Questions!F65)</f>
        <v/>
      </c>
      <c r="J49" s="88"/>
      <c r="K49" s="769"/>
      <c r="L49" s="772"/>
      <c r="M49" s="769"/>
      <c r="N49" s="88"/>
      <c r="O49" s="775"/>
      <c r="P49" s="88"/>
      <c r="Q49" s="769"/>
      <c r="R49" s="88"/>
      <c r="S49" s="769"/>
    </row>
    <row r="50" spans="1:19" s="15" customFormat="1" ht="15.75">
      <c r="A50" s="16"/>
      <c r="B50" s="301" t="str">
        <f>Questions!A66</f>
        <v>5.5</v>
      </c>
      <c r="C50" s="14"/>
      <c r="D50" s="522"/>
      <c r="E50" s="523"/>
      <c r="F50" s="525" t="str">
        <f>Questions!E66</f>
        <v>No weakness identified</v>
      </c>
      <c r="G50" s="88"/>
      <c r="H50" s="297">
        <f>Questions!D66</f>
        <v>10</v>
      </c>
      <c r="I50" s="854" t="str">
        <f>IF(Questions!F66="","",Questions!F66)</f>
        <v/>
      </c>
      <c r="J50" s="88"/>
      <c r="K50" s="769"/>
      <c r="L50" s="772"/>
      <c r="M50" s="769"/>
      <c r="N50" s="88"/>
      <c r="O50" s="775"/>
      <c r="P50" s="88"/>
      <c r="Q50" s="769"/>
      <c r="R50" s="88"/>
      <c r="S50" s="769"/>
    </row>
    <row r="51" spans="1:19" s="15" customFormat="1" ht="15.75">
      <c r="A51" s="16"/>
      <c r="B51" s="301" t="str">
        <f>Questions!A67</f>
        <v>5.6</v>
      </c>
      <c r="C51" s="14"/>
      <c r="D51" s="522"/>
      <c r="E51" s="523"/>
      <c r="F51" s="525" t="str">
        <f>Questions!E67</f>
        <v>No weakness identified</v>
      </c>
      <c r="G51" s="88"/>
      <c r="H51" s="297">
        <f>Questions!D67</f>
        <v>10</v>
      </c>
      <c r="I51" s="854" t="str">
        <f>IF(Questions!F67="","",Questions!F67)</f>
        <v/>
      </c>
      <c r="J51" s="88"/>
      <c r="K51" s="769"/>
      <c r="L51" s="772"/>
      <c r="M51" s="769"/>
      <c r="N51" s="88"/>
      <c r="O51" s="775"/>
      <c r="P51" s="88"/>
      <c r="Q51" s="769"/>
      <c r="R51" s="88"/>
      <c r="S51" s="769"/>
    </row>
    <row r="52" spans="1:19" s="15" customFormat="1" ht="16.5" thickBot="1">
      <c r="A52" s="16"/>
      <c r="B52" s="307" t="str">
        <f>Questions!A68</f>
        <v>5.7</v>
      </c>
      <c r="C52" s="295"/>
      <c r="D52" s="910"/>
      <c r="E52" s="539"/>
      <c r="F52" s="540" t="str">
        <f>Questions!E68</f>
        <v>No weakness identified</v>
      </c>
      <c r="G52" s="296"/>
      <c r="H52" s="298">
        <f>Questions!D68</f>
        <v>10</v>
      </c>
      <c r="I52" s="890" t="str">
        <f>IF(Questions!F68="","",Questions!F68)</f>
        <v/>
      </c>
      <c r="J52" s="296"/>
      <c r="K52" s="774"/>
      <c r="L52" s="774"/>
      <c r="M52" s="774"/>
      <c r="N52" s="296"/>
      <c r="O52" s="777"/>
      <c r="P52" s="296"/>
      <c r="Q52" s="774"/>
      <c r="R52" s="296"/>
      <c r="S52" s="774"/>
    </row>
    <row r="53" spans="1:19" s="15" customFormat="1" ht="31.5">
      <c r="A53" s="287"/>
      <c r="B53" s="512" t="s">
        <v>142</v>
      </c>
      <c r="C53" s="527"/>
      <c r="D53" s="528"/>
      <c r="E53" s="529"/>
      <c r="F53" s="530" t="str">
        <f>Questions!C69</f>
        <v xml:space="preserve">Process analysis /
production </v>
      </c>
      <c r="G53" s="531"/>
      <c r="H53" s="532" t="str">
        <f>IF(COUNTIF(H54:H306,"&lt;10")=0,10,"X")</f>
        <v>X</v>
      </c>
      <c r="I53" s="533"/>
      <c r="J53" s="531"/>
      <c r="K53" s="533"/>
      <c r="L53" s="533"/>
      <c r="M53" s="533"/>
      <c r="N53" s="533"/>
      <c r="O53" s="534"/>
      <c r="P53" s="533"/>
      <c r="Q53" s="533"/>
      <c r="R53" s="533"/>
      <c r="S53" s="533"/>
    </row>
    <row r="54" spans="1:19" s="15" customFormat="1" ht="15.75">
      <c r="A54" s="16"/>
      <c r="B54" s="301" t="str">
        <f>Questions!$A$71</f>
        <v>6.1.1</v>
      </c>
      <c r="C54" s="14"/>
      <c r="D54" s="544" t="str">
        <f>Questions!$A$72</f>
        <v>PS1</v>
      </c>
      <c r="E54" s="523"/>
      <c r="F54" s="524" t="str">
        <f>Questions!E72</f>
        <v>No weakness identified</v>
      </c>
      <c r="G54" s="88"/>
      <c r="H54" s="297">
        <f>Questions!D72</f>
        <v>10</v>
      </c>
      <c r="I54" s="854" t="str">
        <f>IF(Questions!F72="","",Questions!F72)</f>
        <v/>
      </c>
      <c r="J54" s="88"/>
      <c r="K54" s="769"/>
      <c r="L54" s="826"/>
      <c r="M54" s="769"/>
      <c r="N54" s="88"/>
      <c r="O54" s="775"/>
      <c r="P54" s="88"/>
      <c r="Q54" s="769"/>
      <c r="R54" s="88"/>
      <c r="S54" s="769"/>
    </row>
    <row r="55" spans="1:19" s="15" customFormat="1" ht="15.75">
      <c r="A55" s="16"/>
      <c r="B55" s="301" t="str">
        <f>Questions!$A$71</f>
        <v>6.1.1</v>
      </c>
      <c r="C55" s="14"/>
      <c r="D55" s="544" t="str">
        <f>Questions!$A$73</f>
        <v>PS2</v>
      </c>
      <c r="E55" s="523"/>
      <c r="F55" s="524" t="str">
        <f>Questions!E73</f>
        <v>No weakness identified</v>
      </c>
      <c r="G55" s="88"/>
      <c r="H55" s="297">
        <f>Questions!D73</f>
        <v>10</v>
      </c>
      <c r="I55" s="854" t="str">
        <f>IF(Questions!F73="","",Questions!F73)</f>
        <v/>
      </c>
      <c r="J55" s="88"/>
      <c r="K55" s="769"/>
      <c r="L55" s="772"/>
      <c r="M55" s="769"/>
      <c r="N55" s="88"/>
      <c r="O55" s="775"/>
      <c r="P55" s="88"/>
      <c r="Q55" s="769"/>
      <c r="R55" s="88"/>
      <c r="S55" s="769"/>
    </row>
    <row r="56" spans="1:19" s="15" customFormat="1" ht="15.75">
      <c r="A56" s="16"/>
      <c r="B56" s="301" t="str">
        <f>Questions!$A$71</f>
        <v>6.1.1</v>
      </c>
      <c r="C56" s="14"/>
      <c r="D56" s="544" t="str">
        <f>Questions!$A$74</f>
        <v>PS3</v>
      </c>
      <c r="E56" s="523"/>
      <c r="F56" s="524" t="str">
        <f>Questions!E74</f>
        <v>No weakness identified</v>
      </c>
      <c r="G56" s="88"/>
      <c r="H56" s="297">
        <f>Questions!D74</f>
        <v>10</v>
      </c>
      <c r="I56" s="854" t="str">
        <f>IF(Questions!F74="","",Questions!F74)</f>
        <v/>
      </c>
      <c r="J56" s="88"/>
      <c r="K56" s="769"/>
      <c r="L56" s="772"/>
      <c r="M56" s="769"/>
      <c r="N56" s="88"/>
      <c r="O56" s="775"/>
      <c r="P56" s="88"/>
      <c r="Q56" s="769"/>
      <c r="R56" s="88"/>
      <c r="S56" s="769"/>
    </row>
    <row r="57" spans="1:19" s="15" customFormat="1" ht="15.75" hidden="1">
      <c r="A57" s="16"/>
      <c r="B57" s="301" t="str">
        <f>Questions!$A$71</f>
        <v>6.1.1</v>
      </c>
      <c r="C57" s="14"/>
      <c r="D57" s="544" t="str">
        <f>Questions!$A$75</f>
        <v>PS4</v>
      </c>
      <c r="E57" s="523"/>
      <c r="F57" s="524" t="str">
        <f>Questions!E75</f>
        <v>Description of non conformance (mandatory)</v>
      </c>
      <c r="G57" s="88"/>
      <c r="H57" s="297" t="str">
        <f>Questions!D75</f>
        <v>n.e.</v>
      </c>
      <c r="I57" s="854" t="str">
        <f>IF(Questions!F75="","",Questions!F75)</f>
        <v/>
      </c>
      <c r="J57" s="88"/>
      <c r="K57" s="769"/>
      <c r="L57" s="772"/>
      <c r="M57" s="769"/>
      <c r="N57" s="88"/>
      <c r="O57" s="775"/>
      <c r="P57" s="88"/>
      <c r="Q57" s="769"/>
      <c r="R57" s="88"/>
      <c r="S57" s="769"/>
    </row>
    <row r="58" spans="1:19" s="15" customFormat="1" ht="15.75" hidden="1">
      <c r="A58" s="16"/>
      <c r="B58" s="301" t="str">
        <f>Questions!$A$71</f>
        <v>6.1.1</v>
      </c>
      <c r="C58" s="14"/>
      <c r="D58" s="544" t="str">
        <f>Questions!$A$76</f>
        <v>PS5</v>
      </c>
      <c r="E58" s="523"/>
      <c r="F58" s="524" t="str">
        <f>Questions!E76</f>
        <v>Description of non conformance (mandatory)</v>
      </c>
      <c r="G58" s="88"/>
      <c r="H58" s="297" t="str">
        <f>Questions!D76</f>
        <v>n.e.</v>
      </c>
      <c r="I58" s="854" t="str">
        <f>IF(Questions!F76="","",Questions!F76)</f>
        <v/>
      </c>
      <c r="J58" s="88"/>
      <c r="K58" s="769"/>
      <c r="L58" s="772"/>
      <c r="M58" s="769"/>
      <c r="N58" s="88"/>
      <c r="O58" s="775"/>
      <c r="P58" s="88"/>
      <c r="Q58" s="769"/>
      <c r="R58" s="88"/>
      <c r="S58" s="769"/>
    </row>
    <row r="59" spans="1:19" s="15" customFormat="1" ht="15.75" hidden="1">
      <c r="A59" s="16"/>
      <c r="B59" s="301" t="str">
        <f>Questions!$A$71</f>
        <v>6.1.1</v>
      </c>
      <c r="C59" s="14"/>
      <c r="D59" s="544" t="str">
        <f>Questions!$A$77</f>
        <v>PS6</v>
      </c>
      <c r="E59" s="523"/>
      <c r="F59" s="524" t="str">
        <f>Questions!E77</f>
        <v>Description of non conformance (mandatory)</v>
      </c>
      <c r="G59" s="88"/>
      <c r="H59" s="297" t="str">
        <f>Questions!D77</f>
        <v>n.e.</v>
      </c>
      <c r="I59" s="854" t="str">
        <f>IF(Questions!F77="","",Questions!F77)</f>
        <v/>
      </c>
      <c r="J59" s="88"/>
      <c r="K59" s="769"/>
      <c r="L59" s="772"/>
      <c r="M59" s="769"/>
      <c r="N59" s="88"/>
      <c r="O59" s="775"/>
      <c r="P59" s="88"/>
      <c r="Q59" s="769"/>
      <c r="R59" s="88"/>
      <c r="S59" s="769"/>
    </row>
    <row r="60" spans="1:19" s="15" customFormat="1" ht="15.75" hidden="1">
      <c r="A60" s="16"/>
      <c r="B60" s="301" t="str">
        <f>Questions!$A$71</f>
        <v>6.1.1</v>
      </c>
      <c r="C60" s="14"/>
      <c r="D60" s="544" t="str">
        <f>Questions!$A$78</f>
        <v>PS7</v>
      </c>
      <c r="E60" s="523"/>
      <c r="F60" s="524" t="str">
        <f>Questions!E78</f>
        <v>Description of non conformance (mandatory)</v>
      </c>
      <c r="G60" s="88"/>
      <c r="H60" s="297" t="str">
        <f>Questions!D78</f>
        <v>n.e.</v>
      </c>
      <c r="I60" s="854" t="str">
        <f>IF(Questions!F78="","",Questions!F78)</f>
        <v/>
      </c>
      <c r="J60" s="88"/>
      <c r="K60" s="769"/>
      <c r="L60" s="772"/>
      <c r="M60" s="769"/>
      <c r="N60" s="88"/>
      <c r="O60" s="775"/>
      <c r="P60" s="88"/>
      <c r="Q60" s="769"/>
      <c r="R60" s="88"/>
      <c r="S60" s="769"/>
    </row>
    <row r="61" spans="1:19" s="15" customFormat="1" ht="15.75" hidden="1">
      <c r="A61" s="16"/>
      <c r="B61" s="301" t="str">
        <f>Questions!$A$71</f>
        <v>6.1.1</v>
      </c>
      <c r="C61" s="14"/>
      <c r="D61" s="544" t="str">
        <f>Questions!$A$79</f>
        <v>PS8</v>
      </c>
      <c r="E61" s="523"/>
      <c r="F61" s="524" t="str">
        <f>Questions!E79</f>
        <v>Description of non conformance (mandatory)</v>
      </c>
      <c r="G61" s="88"/>
      <c r="H61" s="297" t="str">
        <f>Questions!D79</f>
        <v>n.e.</v>
      </c>
      <c r="I61" s="854" t="str">
        <f>IF(Questions!F79="","",Questions!F79)</f>
        <v/>
      </c>
      <c r="J61" s="88"/>
      <c r="K61" s="769"/>
      <c r="L61" s="772"/>
      <c r="M61" s="769"/>
      <c r="N61" s="88"/>
      <c r="O61" s="775"/>
      <c r="P61" s="88"/>
      <c r="Q61" s="769"/>
      <c r="R61" s="88"/>
      <c r="S61" s="769"/>
    </row>
    <row r="62" spans="1:19" s="15" customFormat="1" ht="15.75" hidden="1">
      <c r="A62" s="16"/>
      <c r="B62" s="301" t="str">
        <f>Questions!$A$71</f>
        <v>6.1.1</v>
      </c>
      <c r="C62" s="14"/>
      <c r="D62" s="544" t="str">
        <f>Questions!$A$80</f>
        <v>PS9</v>
      </c>
      <c r="E62" s="523"/>
      <c r="F62" s="524" t="str">
        <f>Questions!E80</f>
        <v>Description of non conformance (mandatory)</v>
      </c>
      <c r="G62" s="88"/>
      <c r="H62" s="297" t="str">
        <f>Questions!D80</f>
        <v>n.e.</v>
      </c>
      <c r="I62" s="854" t="str">
        <f>IF(Questions!F80="","",Questions!F80)</f>
        <v/>
      </c>
      <c r="J62" s="88"/>
      <c r="K62" s="769"/>
      <c r="L62" s="772"/>
      <c r="M62" s="769"/>
      <c r="N62" s="88"/>
      <c r="O62" s="775"/>
      <c r="P62" s="88"/>
      <c r="Q62" s="769"/>
      <c r="R62" s="88"/>
      <c r="S62" s="769"/>
    </row>
    <row r="63" spans="1:19" s="15" customFormat="1" ht="15.75" hidden="1">
      <c r="A63" s="16"/>
      <c r="B63" s="301" t="str">
        <f>Questions!$A$71</f>
        <v>6.1.1</v>
      </c>
      <c r="C63" s="14"/>
      <c r="D63" s="544" t="str">
        <f>Questions!$A$81</f>
        <v>PS10</v>
      </c>
      <c r="E63" s="523"/>
      <c r="F63" s="524" t="str">
        <f>Questions!E81</f>
        <v>Description of non conformance (mandatory)</v>
      </c>
      <c r="G63" s="88"/>
      <c r="H63" s="297" t="str">
        <f>Questions!D81</f>
        <v>n.e.</v>
      </c>
      <c r="I63" s="854" t="str">
        <f>IF(Questions!F81="","",Questions!F81)</f>
        <v/>
      </c>
      <c r="J63" s="88"/>
      <c r="K63" s="769"/>
      <c r="L63" s="772"/>
      <c r="M63" s="769"/>
      <c r="N63" s="88"/>
      <c r="O63" s="775"/>
      <c r="P63" s="88"/>
      <c r="Q63" s="769"/>
      <c r="R63" s="88"/>
      <c r="S63" s="769"/>
    </row>
    <row r="64" spans="1:19" s="15" customFormat="1" ht="15.75">
      <c r="A64" s="16"/>
      <c r="B64" s="313" t="str">
        <f>Questions!$A$82</f>
        <v>6.1.2</v>
      </c>
      <c r="C64" s="314"/>
      <c r="D64" s="545" t="str">
        <f>D54</f>
        <v>PS1</v>
      </c>
      <c r="E64" s="546"/>
      <c r="F64" s="548" t="str">
        <f>Questions!E83</f>
        <v>No weakness identified</v>
      </c>
      <c r="G64" s="315"/>
      <c r="H64" s="316">
        <f>Questions!D83</f>
        <v>10</v>
      </c>
      <c r="I64" s="859" t="str">
        <f>IF(Questions!F83="","",Questions!F83)</f>
        <v/>
      </c>
      <c r="J64" s="315"/>
      <c r="K64" s="771"/>
      <c r="L64" s="772"/>
      <c r="M64" s="771"/>
      <c r="N64" s="315"/>
      <c r="O64" s="779"/>
      <c r="P64" s="315"/>
      <c r="Q64" s="771"/>
      <c r="R64" s="315"/>
      <c r="S64" s="771"/>
    </row>
    <row r="65" spans="1:19" s="15" customFormat="1" ht="15.75">
      <c r="A65" s="16"/>
      <c r="B65" s="301" t="str">
        <f>Questions!$A$82</f>
        <v>6.1.2</v>
      </c>
      <c r="C65" s="14"/>
      <c r="D65" s="544" t="str">
        <f>D55</f>
        <v>PS2</v>
      </c>
      <c r="E65" s="523"/>
      <c r="F65" s="524" t="str">
        <f>Questions!E84</f>
        <v>No weakness identified</v>
      </c>
      <c r="G65" s="88"/>
      <c r="H65" s="297">
        <f>Questions!D84</f>
        <v>10</v>
      </c>
      <c r="I65" s="854" t="str">
        <f>IF(Questions!F84="","",Questions!F84)</f>
        <v/>
      </c>
      <c r="J65" s="88"/>
      <c r="K65" s="769"/>
      <c r="L65" s="772"/>
      <c r="M65" s="769"/>
      <c r="N65" s="88"/>
      <c r="O65" s="775"/>
      <c r="P65" s="88"/>
      <c r="Q65" s="769"/>
      <c r="R65" s="88"/>
      <c r="S65" s="769"/>
    </row>
    <row r="66" spans="1:19" s="15" customFormat="1" ht="15.75">
      <c r="A66" s="16"/>
      <c r="B66" s="301" t="str">
        <f>Questions!$A$82</f>
        <v>6.1.2</v>
      </c>
      <c r="C66" s="14"/>
      <c r="D66" s="544" t="str">
        <f>D56</f>
        <v>PS3</v>
      </c>
      <c r="E66" s="523"/>
      <c r="F66" s="524" t="str">
        <f>Questions!E85</f>
        <v>No weakness identified</v>
      </c>
      <c r="G66" s="88"/>
      <c r="H66" s="297">
        <f>Questions!D85</f>
        <v>10</v>
      </c>
      <c r="I66" s="854" t="str">
        <f>IF(Questions!F85="","",Questions!F85)</f>
        <v/>
      </c>
      <c r="J66" s="88"/>
      <c r="K66" s="769"/>
      <c r="L66" s="772"/>
      <c r="M66" s="769"/>
      <c r="N66" s="88"/>
      <c r="O66" s="775"/>
      <c r="P66" s="88"/>
      <c r="Q66" s="769"/>
      <c r="R66" s="88"/>
      <c r="S66" s="769"/>
    </row>
    <row r="67" spans="1:19" s="15" customFormat="1" ht="15.75" hidden="1">
      <c r="A67" s="16"/>
      <c r="B67" s="301" t="str">
        <f>Questions!$A$82</f>
        <v>6.1.2</v>
      </c>
      <c r="C67" s="14"/>
      <c r="D67" s="544" t="str">
        <f t="shared" ref="D67:D73" si="0">D57</f>
        <v>PS4</v>
      </c>
      <c r="E67" s="523"/>
      <c r="F67" s="524" t="str">
        <f>Questions!E86</f>
        <v>No weakness identified</v>
      </c>
      <c r="G67" s="88"/>
      <c r="H67" s="297">
        <f>Questions!D86</f>
        <v>10</v>
      </c>
      <c r="I67" s="854" t="str">
        <f>IF(Questions!F86="","",Questions!F86)</f>
        <v/>
      </c>
      <c r="J67" s="88"/>
      <c r="K67" s="769"/>
      <c r="L67" s="772"/>
      <c r="M67" s="769"/>
      <c r="N67" s="88"/>
      <c r="O67" s="775"/>
      <c r="P67" s="88"/>
      <c r="Q67" s="769"/>
      <c r="R67" s="88"/>
      <c r="S67" s="769"/>
    </row>
    <row r="68" spans="1:19" s="15" customFormat="1" ht="15.75" hidden="1">
      <c r="A68" s="16"/>
      <c r="B68" s="301" t="str">
        <f>Questions!$A$82</f>
        <v>6.1.2</v>
      </c>
      <c r="C68" s="14"/>
      <c r="D68" s="544" t="str">
        <f t="shared" si="0"/>
        <v>PS5</v>
      </c>
      <c r="E68" s="523"/>
      <c r="F68" s="524" t="str">
        <f>Questions!E87</f>
        <v>No weakness identified</v>
      </c>
      <c r="G68" s="88"/>
      <c r="H68" s="297">
        <f>Questions!D87</f>
        <v>10</v>
      </c>
      <c r="I68" s="854" t="str">
        <f>IF(Questions!F87="","",Questions!F87)</f>
        <v/>
      </c>
      <c r="J68" s="88"/>
      <c r="K68" s="769"/>
      <c r="L68" s="772"/>
      <c r="M68" s="769"/>
      <c r="N68" s="88"/>
      <c r="O68" s="775"/>
      <c r="P68" s="88"/>
      <c r="Q68" s="769"/>
      <c r="R68" s="88"/>
      <c r="S68" s="769"/>
    </row>
    <row r="69" spans="1:19" s="15" customFormat="1" ht="15.75" hidden="1">
      <c r="A69" s="16"/>
      <c r="B69" s="301" t="str">
        <f>Questions!$A$82</f>
        <v>6.1.2</v>
      </c>
      <c r="C69" s="14"/>
      <c r="D69" s="544" t="str">
        <f t="shared" si="0"/>
        <v>PS6</v>
      </c>
      <c r="E69" s="523"/>
      <c r="F69" s="524" t="str">
        <f>Questions!E88</f>
        <v>No weakness identified</v>
      </c>
      <c r="G69" s="88"/>
      <c r="H69" s="297">
        <f>Questions!D88</f>
        <v>10</v>
      </c>
      <c r="I69" s="854" t="str">
        <f>IF(Questions!F88="","",Questions!F88)</f>
        <v/>
      </c>
      <c r="J69" s="88"/>
      <c r="K69" s="769"/>
      <c r="L69" s="772"/>
      <c r="M69" s="769"/>
      <c r="N69" s="88"/>
      <c r="O69" s="775"/>
      <c r="P69" s="88"/>
      <c r="Q69" s="769"/>
      <c r="R69" s="88"/>
      <c r="S69" s="769"/>
    </row>
    <row r="70" spans="1:19" s="15" customFormat="1" ht="15.75" hidden="1">
      <c r="A70" s="16"/>
      <c r="B70" s="301" t="str">
        <f>Questions!$A$82</f>
        <v>6.1.2</v>
      </c>
      <c r="C70" s="14"/>
      <c r="D70" s="544" t="str">
        <f t="shared" si="0"/>
        <v>PS7</v>
      </c>
      <c r="E70" s="523"/>
      <c r="F70" s="524" t="str">
        <f>Questions!E89</f>
        <v>No weakness identified</v>
      </c>
      <c r="G70" s="88"/>
      <c r="H70" s="297">
        <f>Questions!D89</f>
        <v>10</v>
      </c>
      <c r="I70" s="854" t="str">
        <f>IF(Questions!F89="","",Questions!F89)</f>
        <v/>
      </c>
      <c r="J70" s="88"/>
      <c r="K70" s="769"/>
      <c r="L70" s="772"/>
      <c r="M70" s="769"/>
      <c r="N70" s="88"/>
      <c r="O70" s="775"/>
      <c r="P70" s="88"/>
      <c r="Q70" s="769"/>
      <c r="R70" s="88"/>
      <c r="S70" s="769"/>
    </row>
    <row r="71" spans="1:19" s="15" customFormat="1" ht="15.75" hidden="1">
      <c r="A71" s="16"/>
      <c r="B71" s="301" t="str">
        <f>Questions!$A$82</f>
        <v>6.1.2</v>
      </c>
      <c r="C71" s="14"/>
      <c r="D71" s="544" t="str">
        <f t="shared" si="0"/>
        <v>PS8</v>
      </c>
      <c r="E71" s="523"/>
      <c r="F71" s="524" t="str">
        <f>Questions!E90</f>
        <v>No weakness identified</v>
      </c>
      <c r="G71" s="88"/>
      <c r="H71" s="297">
        <f>Questions!D90</f>
        <v>10</v>
      </c>
      <c r="I71" s="854" t="str">
        <f>IF(Questions!F90="","",Questions!F90)</f>
        <v/>
      </c>
      <c r="J71" s="88"/>
      <c r="K71" s="769"/>
      <c r="L71" s="772"/>
      <c r="M71" s="769"/>
      <c r="N71" s="88"/>
      <c r="O71" s="775"/>
      <c r="P71" s="88"/>
      <c r="Q71" s="769"/>
      <c r="R71" s="88"/>
      <c r="S71" s="769"/>
    </row>
    <row r="72" spans="1:19" s="15" customFormat="1" ht="15.75" hidden="1">
      <c r="A72" s="16"/>
      <c r="B72" s="301" t="str">
        <f>Questions!$A$82</f>
        <v>6.1.2</v>
      </c>
      <c r="C72" s="14"/>
      <c r="D72" s="544" t="str">
        <f t="shared" si="0"/>
        <v>PS9</v>
      </c>
      <c r="E72" s="523"/>
      <c r="F72" s="524" t="str">
        <f>Questions!E91</f>
        <v>No weakness identified</v>
      </c>
      <c r="G72" s="88"/>
      <c r="H72" s="297">
        <f>Questions!D91</f>
        <v>10</v>
      </c>
      <c r="I72" s="854" t="str">
        <f>IF(Questions!F91="","",Questions!F91)</f>
        <v/>
      </c>
      <c r="J72" s="88"/>
      <c r="K72" s="769"/>
      <c r="L72" s="772"/>
      <c r="M72" s="769"/>
      <c r="N72" s="88"/>
      <c r="O72" s="775"/>
      <c r="P72" s="88"/>
      <c r="Q72" s="769"/>
      <c r="R72" s="88"/>
      <c r="S72" s="769"/>
    </row>
    <row r="73" spans="1:19" s="15" customFormat="1" ht="15.75" hidden="1">
      <c r="A73" s="16"/>
      <c r="B73" s="301" t="str">
        <f>Questions!$A$82</f>
        <v>6.1.2</v>
      </c>
      <c r="C73" s="14"/>
      <c r="D73" s="544" t="str">
        <f t="shared" si="0"/>
        <v>PS10</v>
      </c>
      <c r="E73" s="523"/>
      <c r="F73" s="524" t="str">
        <f>Questions!E92</f>
        <v>No weakness identified</v>
      </c>
      <c r="G73" s="88"/>
      <c r="H73" s="297">
        <f>Questions!D92</f>
        <v>10</v>
      </c>
      <c r="I73" s="854" t="str">
        <f>IF(Questions!F92="","",Questions!F92)</f>
        <v/>
      </c>
      <c r="J73" s="88"/>
      <c r="K73" s="769"/>
      <c r="L73" s="772"/>
      <c r="M73" s="769"/>
      <c r="N73" s="88"/>
      <c r="O73" s="775"/>
      <c r="P73" s="88"/>
      <c r="Q73" s="769"/>
      <c r="R73" s="88"/>
      <c r="S73" s="769"/>
    </row>
    <row r="74" spans="1:19" s="15" customFormat="1" ht="15.75">
      <c r="A74" s="16"/>
      <c r="B74" s="313" t="str">
        <f>Questions!$A$93</f>
        <v>6.1.3</v>
      </c>
      <c r="C74" s="314"/>
      <c r="D74" s="545" t="str">
        <f>D64</f>
        <v>PS1</v>
      </c>
      <c r="E74" s="546"/>
      <c r="F74" s="548" t="str">
        <f>Questions!E94</f>
        <v>No weakness identified</v>
      </c>
      <c r="G74" s="315"/>
      <c r="H74" s="316">
        <f>Questions!D94</f>
        <v>10</v>
      </c>
      <c r="I74" s="859" t="str">
        <f>IF(Questions!F94="","",Questions!F94)</f>
        <v/>
      </c>
      <c r="J74" s="315"/>
      <c r="K74" s="771"/>
      <c r="L74" s="772"/>
      <c r="M74" s="771"/>
      <c r="N74" s="315"/>
      <c r="O74" s="779"/>
      <c r="P74" s="315"/>
      <c r="Q74" s="771"/>
      <c r="R74" s="315"/>
      <c r="S74" s="771"/>
    </row>
    <row r="75" spans="1:19" s="15" customFormat="1" ht="15.75">
      <c r="A75" s="16"/>
      <c r="B75" s="301" t="str">
        <f>Questions!$A$93</f>
        <v>6.1.3</v>
      </c>
      <c r="C75" s="14"/>
      <c r="D75" s="544" t="str">
        <f>D65</f>
        <v>PS2</v>
      </c>
      <c r="E75" s="523"/>
      <c r="F75" s="524" t="str">
        <f>Questions!E95</f>
        <v>No weakness identified</v>
      </c>
      <c r="G75" s="88"/>
      <c r="H75" s="297">
        <f>Questions!D95</f>
        <v>10</v>
      </c>
      <c r="I75" s="854" t="str">
        <f>IF(Questions!F95="","",Questions!F95)</f>
        <v/>
      </c>
      <c r="J75" s="88"/>
      <c r="K75" s="769"/>
      <c r="L75" s="772"/>
      <c r="M75" s="769"/>
      <c r="N75" s="88"/>
      <c r="O75" s="775"/>
      <c r="P75" s="88"/>
      <c r="Q75" s="769"/>
      <c r="R75" s="88"/>
      <c r="S75" s="769"/>
    </row>
    <row r="76" spans="1:19" s="15" customFormat="1" ht="15.75">
      <c r="A76" s="16"/>
      <c r="B76" s="301" t="str">
        <f>Questions!$A$93</f>
        <v>6.1.3</v>
      </c>
      <c r="C76" s="14"/>
      <c r="D76" s="544" t="str">
        <f>D66</f>
        <v>PS3</v>
      </c>
      <c r="E76" s="523"/>
      <c r="F76" s="524" t="str">
        <f>Questions!E96</f>
        <v>No weakness identified</v>
      </c>
      <c r="G76" s="88"/>
      <c r="H76" s="297">
        <f>Questions!D96</f>
        <v>10</v>
      </c>
      <c r="I76" s="854" t="str">
        <f>IF(Questions!F96="","",Questions!F96)</f>
        <v/>
      </c>
      <c r="J76" s="88"/>
      <c r="K76" s="769"/>
      <c r="L76" s="772"/>
      <c r="M76" s="769"/>
      <c r="N76" s="88"/>
      <c r="O76" s="775"/>
      <c r="P76" s="88"/>
      <c r="Q76" s="769"/>
      <c r="R76" s="88"/>
      <c r="S76" s="769"/>
    </row>
    <row r="77" spans="1:19" s="15" customFormat="1" ht="15.75" hidden="1">
      <c r="A77" s="16"/>
      <c r="B77" s="301" t="str">
        <f>Questions!$A$93</f>
        <v>6.1.3</v>
      </c>
      <c r="C77" s="14"/>
      <c r="D77" s="544" t="str">
        <f t="shared" ref="D77:D83" si="1">D67</f>
        <v>PS4</v>
      </c>
      <c r="E77" s="523"/>
      <c r="F77" s="524" t="str">
        <f>Questions!E97</f>
        <v>Description of non conformance (mandatory)</v>
      </c>
      <c r="G77" s="88"/>
      <c r="H77" s="297" t="str">
        <f>Questions!D97</f>
        <v>n.e.</v>
      </c>
      <c r="I77" s="854" t="str">
        <f>IF(Questions!F97="","",Questions!F97)</f>
        <v/>
      </c>
      <c r="J77" s="88"/>
      <c r="K77" s="769"/>
      <c r="L77" s="772"/>
      <c r="M77" s="769"/>
      <c r="N77" s="88"/>
      <c r="O77" s="775"/>
      <c r="P77" s="88"/>
      <c r="Q77" s="769"/>
      <c r="R77" s="88"/>
      <c r="S77" s="769"/>
    </row>
    <row r="78" spans="1:19" s="15" customFormat="1" ht="15.75" hidden="1">
      <c r="A78" s="16"/>
      <c r="B78" s="301" t="str">
        <f>Questions!$A$93</f>
        <v>6.1.3</v>
      </c>
      <c r="C78" s="14"/>
      <c r="D78" s="544" t="str">
        <f t="shared" si="1"/>
        <v>PS5</v>
      </c>
      <c r="E78" s="523"/>
      <c r="F78" s="524" t="str">
        <f>Questions!E98</f>
        <v>Description of non conformance (mandatory)</v>
      </c>
      <c r="G78" s="88"/>
      <c r="H78" s="297" t="str">
        <f>Questions!D98</f>
        <v>n.e.</v>
      </c>
      <c r="I78" s="854" t="str">
        <f>IF(Questions!F98="","",Questions!F98)</f>
        <v/>
      </c>
      <c r="J78" s="88"/>
      <c r="K78" s="769"/>
      <c r="L78" s="772"/>
      <c r="M78" s="769"/>
      <c r="N78" s="88"/>
      <c r="O78" s="775"/>
      <c r="P78" s="88"/>
      <c r="Q78" s="769"/>
      <c r="R78" s="88"/>
      <c r="S78" s="769"/>
    </row>
    <row r="79" spans="1:19" s="15" customFormat="1" ht="15.75" hidden="1">
      <c r="A79" s="16"/>
      <c r="B79" s="301" t="str">
        <f>Questions!$A$93</f>
        <v>6.1.3</v>
      </c>
      <c r="C79" s="14"/>
      <c r="D79" s="544" t="str">
        <f t="shared" si="1"/>
        <v>PS6</v>
      </c>
      <c r="E79" s="523"/>
      <c r="F79" s="524" t="str">
        <f>Questions!E99</f>
        <v>Description of non conformance (mandatory)</v>
      </c>
      <c r="G79" s="88"/>
      <c r="H79" s="297" t="str">
        <f>Questions!D99</f>
        <v>n.e.</v>
      </c>
      <c r="I79" s="854" t="str">
        <f>IF(Questions!F99="","",Questions!F99)</f>
        <v/>
      </c>
      <c r="J79" s="88"/>
      <c r="K79" s="769"/>
      <c r="L79" s="772"/>
      <c r="M79" s="769"/>
      <c r="N79" s="88"/>
      <c r="O79" s="775"/>
      <c r="P79" s="88"/>
      <c r="Q79" s="769"/>
      <c r="R79" s="88"/>
      <c r="S79" s="769"/>
    </row>
    <row r="80" spans="1:19" s="15" customFormat="1" ht="15.75" hidden="1">
      <c r="A80" s="16"/>
      <c r="B80" s="301" t="str">
        <f>Questions!$A$93</f>
        <v>6.1.3</v>
      </c>
      <c r="C80" s="14"/>
      <c r="D80" s="544" t="str">
        <f t="shared" si="1"/>
        <v>PS7</v>
      </c>
      <c r="E80" s="523"/>
      <c r="F80" s="524" t="str">
        <f>Questions!E100</f>
        <v>Description of non conformance (mandatory)</v>
      </c>
      <c r="G80" s="88"/>
      <c r="H80" s="297" t="str">
        <f>Questions!D100</f>
        <v>n.e.</v>
      </c>
      <c r="I80" s="854" t="str">
        <f>IF(Questions!F100="","",Questions!F100)</f>
        <v/>
      </c>
      <c r="J80" s="88"/>
      <c r="K80" s="769"/>
      <c r="L80" s="772"/>
      <c r="M80" s="769"/>
      <c r="N80" s="88"/>
      <c r="O80" s="775"/>
      <c r="P80" s="88"/>
      <c r="Q80" s="769"/>
      <c r="R80" s="88"/>
      <c r="S80" s="769"/>
    </row>
    <row r="81" spans="1:19" s="15" customFormat="1" ht="15.75" hidden="1">
      <c r="A81" s="16"/>
      <c r="B81" s="301" t="str">
        <f>Questions!$A$93</f>
        <v>6.1.3</v>
      </c>
      <c r="C81" s="14"/>
      <c r="D81" s="544" t="str">
        <f t="shared" si="1"/>
        <v>PS8</v>
      </c>
      <c r="E81" s="523"/>
      <c r="F81" s="524" t="str">
        <f>Questions!E101</f>
        <v>Description of non conformance (mandatory)</v>
      </c>
      <c r="G81" s="88"/>
      <c r="H81" s="297" t="str">
        <f>Questions!D101</f>
        <v>n.e.</v>
      </c>
      <c r="I81" s="854" t="str">
        <f>IF(Questions!F101="","",Questions!F101)</f>
        <v/>
      </c>
      <c r="J81" s="88"/>
      <c r="K81" s="769"/>
      <c r="L81" s="772"/>
      <c r="M81" s="769"/>
      <c r="N81" s="88"/>
      <c r="O81" s="775"/>
      <c r="P81" s="88"/>
      <c r="Q81" s="769"/>
      <c r="R81" s="88"/>
      <c r="S81" s="769"/>
    </row>
    <row r="82" spans="1:19" s="15" customFormat="1" ht="15.75" hidden="1">
      <c r="A82" s="16"/>
      <c r="B82" s="301" t="str">
        <f>Questions!$A$93</f>
        <v>6.1.3</v>
      </c>
      <c r="C82" s="14"/>
      <c r="D82" s="544" t="str">
        <f t="shared" si="1"/>
        <v>PS9</v>
      </c>
      <c r="E82" s="523"/>
      <c r="F82" s="524" t="str">
        <f>Questions!E102</f>
        <v>Description of non conformance (mandatory)</v>
      </c>
      <c r="G82" s="88"/>
      <c r="H82" s="297" t="str">
        <f>Questions!D102</f>
        <v>n.e.</v>
      </c>
      <c r="I82" s="854" t="str">
        <f>IF(Questions!F102="","",Questions!F102)</f>
        <v/>
      </c>
      <c r="J82" s="88"/>
      <c r="K82" s="769"/>
      <c r="L82" s="772"/>
      <c r="M82" s="769"/>
      <c r="N82" s="88"/>
      <c r="O82" s="775"/>
      <c r="P82" s="88"/>
      <c r="Q82" s="769"/>
      <c r="R82" s="88"/>
      <c r="S82" s="769"/>
    </row>
    <row r="83" spans="1:19" s="15" customFormat="1" ht="15.75" hidden="1">
      <c r="A83" s="16"/>
      <c r="B83" s="301" t="str">
        <f>Questions!$A$93</f>
        <v>6.1.3</v>
      </c>
      <c r="C83" s="14"/>
      <c r="D83" s="544" t="str">
        <f t="shared" si="1"/>
        <v>PS10</v>
      </c>
      <c r="E83" s="523"/>
      <c r="F83" s="524" t="str">
        <f>Questions!E103</f>
        <v>Description of non conformance (mandatory)</v>
      </c>
      <c r="G83" s="88"/>
      <c r="H83" s="297" t="str">
        <f>Questions!D103</f>
        <v>n.e.</v>
      </c>
      <c r="I83" s="854" t="str">
        <f>IF(Questions!F103="","",Questions!F103)</f>
        <v/>
      </c>
      <c r="J83" s="88"/>
      <c r="K83" s="769"/>
      <c r="L83" s="772"/>
      <c r="M83" s="769"/>
      <c r="N83" s="88"/>
      <c r="O83" s="775"/>
      <c r="P83" s="88"/>
      <c r="Q83" s="769"/>
      <c r="R83" s="88"/>
      <c r="S83" s="769"/>
    </row>
    <row r="84" spans="1:19" s="15" customFormat="1" ht="15.75">
      <c r="A84" s="16"/>
      <c r="B84" s="313" t="str">
        <f>Questions!$A$104</f>
        <v>6.1.4</v>
      </c>
      <c r="C84" s="314"/>
      <c r="D84" s="545" t="str">
        <f>D74</f>
        <v>PS1</v>
      </c>
      <c r="E84" s="546"/>
      <c r="F84" s="548" t="str">
        <f>Questions!E105</f>
        <v>No weakness identified</v>
      </c>
      <c r="G84" s="315"/>
      <c r="H84" s="316">
        <f>Questions!D105</f>
        <v>10</v>
      </c>
      <c r="I84" s="859" t="str">
        <f>IF(Questions!F105="","",Questions!F105)</f>
        <v/>
      </c>
      <c r="J84" s="315"/>
      <c r="K84" s="771"/>
      <c r="L84" s="772"/>
      <c r="M84" s="771"/>
      <c r="N84" s="315"/>
      <c r="O84" s="779"/>
      <c r="P84" s="315"/>
      <c r="Q84" s="771"/>
      <c r="R84" s="315"/>
      <c r="S84" s="771"/>
    </row>
    <row r="85" spans="1:19" s="15" customFormat="1" ht="60">
      <c r="A85" s="16"/>
      <c r="B85" s="301" t="str">
        <f>Questions!$A$104</f>
        <v>6.1.4</v>
      </c>
      <c r="C85" s="14"/>
      <c r="D85" s="544" t="str">
        <f>D75</f>
        <v>PS2</v>
      </c>
      <c r="E85" s="523"/>
      <c r="F85" s="524" t="str">
        <f>Questions!E106</f>
        <v>Piston pallets were observed in the chrome plating  process area without proper identification or traceability status (e.g. lot number, reference, process stage).</v>
      </c>
      <c r="G85" s="88"/>
      <c r="H85" s="297">
        <f>Questions!D106</f>
        <v>4</v>
      </c>
      <c r="I85" s="854" t="str">
        <f>IF(Questions!F106="","",Questions!F106)</f>
        <v/>
      </c>
      <c r="J85" s="88"/>
      <c r="K85" s="769"/>
      <c r="L85" s="772"/>
      <c r="M85" s="769"/>
      <c r="N85" s="88"/>
      <c r="O85" s="775"/>
      <c r="P85" s="88"/>
      <c r="Q85" s="769"/>
      <c r="R85" s="88"/>
      <c r="S85" s="769"/>
    </row>
    <row r="86" spans="1:19" s="15" customFormat="1" ht="15.75">
      <c r="A86" s="16"/>
      <c r="B86" s="301" t="str">
        <f>Questions!$A$104</f>
        <v>6.1.4</v>
      </c>
      <c r="C86" s="14"/>
      <c r="D86" s="544" t="str">
        <f>D76</f>
        <v>PS3</v>
      </c>
      <c r="E86" s="523"/>
      <c r="F86" s="524" t="str">
        <f>Questions!E107</f>
        <v>No weakness identified</v>
      </c>
      <c r="G86" s="88"/>
      <c r="H86" s="297">
        <f>Questions!D107</f>
        <v>10</v>
      </c>
      <c r="I86" s="854" t="str">
        <f>IF(Questions!F107="","",Questions!F107)</f>
        <v/>
      </c>
      <c r="J86" s="88"/>
      <c r="K86" s="769"/>
      <c r="L86" s="772"/>
      <c r="M86" s="769"/>
      <c r="N86" s="88"/>
      <c r="O86" s="775"/>
      <c r="P86" s="88"/>
      <c r="Q86" s="769"/>
      <c r="R86" s="88"/>
      <c r="S86" s="769"/>
    </row>
    <row r="87" spans="1:19" s="15" customFormat="1" ht="15.75" hidden="1">
      <c r="A87" s="16"/>
      <c r="B87" s="301" t="str">
        <f>Questions!$A$104</f>
        <v>6.1.4</v>
      </c>
      <c r="C87" s="14"/>
      <c r="D87" s="544" t="str">
        <f t="shared" ref="D87:D93" si="2">D77</f>
        <v>PS4</v>
      </c>
      <c r="E87" s="523"/>
      <c r="F87" s="524" t="str">
        <f>Questions!E108</f>
        <v>Description of non conformance (mandatory)</v>
      </c>
      <c r="G87" s="88"/>
      <c r="H87" s="297" t="str">
        <f>Questions!D108</f>
        <v>n.e.</v>
      </c>
      <c r="I87" s="854" t="str">
        <f>IF(Questions!F108="","",Questions!F108)</f>
        <v/>
      </c>
      <c r="J87" s="88"/>
      <c r="K87" s="769"/>
      <c r="L87" s="772"/>
      <c r="M87" s="769"/>
      <c r="N87" s="88"/>
      <c r="O87" s="775"/>
      <c r="P87" s="88"/>
      <c r="Q87" s="769"/>
      <c r="R87" s="88"/>
      <c r="S87" s="769"/>
    </row>
    <row r="88" spans="1:19" s="15" customFormat="1" ht="15.75" hidden="1">
      <c r="A88" s="16"/>
      <c r="B88" s="301" t="str">
        <f>Questions!$A$104</f>
        <v>6.1.4</v>
      </c>
      <c r="C88" s="14"/>
      <c r="D88" s="544" t="str">
        <f t="shared" si="2"/>
        <v>PS5</v>
      </c>
      <c r="E88" s="523"/>
      <c r="F88" s="524" t="str">
        <f>Questions!E109</f>
        <v>Description of non conformance (mandatory)</v>
      </c>
      <c r="G88" s="88"/>
      <c r="H88" s="297" t="str">
        <f>Questions!D109</f>
        <v>n.e.</v>
      </c>
      <c r="I88" s="854" t="str">
        <f>IF(Questions!F109="","",Questions!F109)</f>
        <v/>
      </c>
      <c r="J88" s="88"/>
      <c r="K88" s="769"/>
      <c r="L88" s="772"/>
      <c r="M88" s="769"/>
      <c r="N88" s="88"/>
      <c r="O88" s="775"/>
      <c r="P88" s="88"/>
      <c r="Q88" s="769"/>
      <c r="R88" s="88"/>
      <c r="S88" s="769"/>
    </row>
    <row r="89" spans="1:19" s="15" customFormat="1" ht="15.75" hidden="1">
      <c r="A89" s="16"/>
      <c r="B89" s="301" t="str">
        <f>Questions!$A$104</f>
        <v>6.1.4</v>
      </c>
      <c r="C89" s="14"/>
      <c r="D89" s="544" t="str">
        <f t="shared" si="2"/>
        <v>PS6</v>
      </c>
      <c r="E89" s="523"/>
      <c r="F89" s="524" t="str">
        <f>Questions!E110</f>
        <v>Description of non conformance (mandatory)</v>
      </c>
      <c r="G89" s="88"/>
      <c r="H89" s="297" t="str">
        <f>Questions!D110</f>
        <v>n.e.</v>
      </c>
      <c r="I89" s="854" t="str">
        <f>IF(Questions!F110="","",Questions!F110)</f>
        <v/>
      </c>
      <c r="J89" s="88"/>
      <c r="K89" s="769"/>
      <c r="L89" s="772"/>
      <c r="M89" s="769"/>
      <c r="N89" s="88"/>
      <c r="O89" s="775"/>
      <c r="P89" s="88"/>
      <c r="Q89" s="769"/>
      <c r="R89" s="88"/>
      <c r="S89" s="769"/>
    </row>
    <row r="90" spans="1:19" s="15" customFormat="1" ht="15.75" hidden="1">
      <c r="A90" s="16"/>
      <c r="B90" s="301" t="str">
        <f>Questions!$A$104</f>
        <v>6.1.4</v>
      </c>
      <c r="C90" s="14"/>
      <c r="D90" s="544" t="str">
        <f t="shared" si="2"/>
        <v>PS7</v>
      </c>
      <c r="E90" s="523"/>
      <c r="F90" s="524" t="str">
        <f>Questions!E111</f>
        <v>Description of non conformance (mandatory)</v>
      </c>
      <c r="G90" s="88"/>
      <c r="H90" s="297" t="str">
        <f>Questions!D111</f>
        <v>n.e.</v>
      </c>
      <c r="I90" s="854" t="str">
        <f>IF(Questions!F111="","",Questions!F111)</f>
        <v/>
      </c>
      <c r="J90" s="88"/>
      <c r="K90" s="769"/>
      <c r="L90" s="772"/>
      <c r="M90" s="769"/>
      <c r="N90" s="88"/>
      <c r="O90" s="775"/>
      <c r="P90" s="88"/>
      <c r="Q90" s="769"/>
      <c r="R90" s="88"/>
      <c r="S90" s="769"/>
    </row>
    <row r="91" spans="1:19" s="15" customFormat="1" ht="15.75" hidden="1">
      <c r="A91" s="16"/>
      <c r="B91" s="301" t="str">
        <f>Questions!$A$104</f>
        <v>6.1.4</v>
      </c>
      <c r="C91" s="14"/>
      <c r="D91" s="544" t="str">
        <f t="shared" si="2"/>
        <v>PS8</v>
      </c>
      <c r="E91" s="523"/>
      <c r="F91" s="524" t="str">
        <f>Questions!E112</f>
        <v>Description of non conformance (mandatory)</v>
      </c>
      <c r="G91" s="88"/>
      <c r="H91" s="297" t="str">
        <f>Questions!D112</f>
        <v>n.e.</v>
      </c>
      <c r="I91" s="854" t="str">
        <f>IF(Questions!F112="","",Questions!F112)</f>
        <v/>
      </c>
      <c r="J91" s="88"/>
      <c r="K91" s="769"/>
      <c r="L91" s="772"/>
      <c r="M91" s="769"/>
      <c r="N91" s="88"/>
      <c r="O91" s="775"/>
      <c r="P91" s="88"/>
      <c r="Q91" s="769"/>
      <c r="R91" s="88"/>
      <c r="S91" s="769"/>
    </row>
    <row r="92" spans="1:19" s="15" customFormat="1" ht="15.75" hidden="1">
      <c r="A92" s="16"/>
      <c r="B92" s="301" t="str">
        <f>Questions!$A$104</f>
        <v>6.1.4</v>
      </c>
      <c r="C92" s="14"/>
      <c r="D92" s="544" t="str">
        <f t="shared" si="2"/>
        <v>PS9</v>
      </c>
      <c r="E92" s="523"/>
      <c r="F92" s="524" t="str">
        <f>Questions!E113</f>
        <v>Description of non conformance (mandatory)</v>
      </c>
      <c r="G92" s="88"/>
      <c r="H92" s="297" t="str">
        <f>Questions!D113</f>
        <v>n.e.</v>
      </c>
      <c r="I92" s="854" t="str">
        <f>IF(Questions!F113="","",Questions!F113)</f>
        <v/>
      </c>
      <c r="J92" s="88"/>
      <c r="K92" s="769"/>
      <c r="L92" s="772"/>
      <c r="M92" s="769"/>
      <c r="N92" s="88"/>
      <c r="O92" s="775"/>
      <c r="P92" s="88"/>
      <c r="Q92" s="769"/>
      <c r="R92" s="88"/>
      <c r="S92" s="769"/>
    </row>
    <row r="93" spans="1:19" s="15" customFormat="1" ht="15.75" hidden="1">
      <c r="A93" s="16"/>
      <c r="B93" s="301" t="str">
        <f>Questions!$A$104</f>
        <v>6.1.4</v>
      </c>
      <c r="C93" s="14"/>
      <c r="D93" s="544" t="str">
        <f t="shared" si="2"/>
        <v>PS10</v>
      </c>
      <c r="E93" s="526"/>
      <c r="F93" s="524" t="str">
        <f>Questions!E114</f>
        <v>Description of non conformance (mandatory)</v>
      </c>
      <c r="G93" s="88"/>
      <c r="H93" s="297" t="str">
        <f>Questions!D114</f>
        <v>n.e.</v>
      </c>
      <c r="I93" s="854" t="str">
        <f>IF(Questions!F114="","",Questions!F114)</f>
        <v/>
      </c>
      <c r="J93" s="88"/>
      <c r="K93" s="769"/>
      <c r="L93" s="772"/>
      <c r="M93" s="769"/>
      <c r="N93" s="88"/>
      <c r="O93" s="775"/>
      <c r="P93" s="88"/>
      <c r="Q93" s="769"/>
      <c r="R93" s="88"/>
      <c r="S93" s="769"/>
    </row>
    <row r="94" spans="1:19" s="15" customFormat="1" ht="15.75">
      <c r="A94" s="16"/>
      <c r="B94" s="313" t="str">
        <f>Questions!$A$115</f>
        <v>6.1.5</v>
      </c>
      <c r="C94" s="314"/>
      <c r="D94" s="545" t="str">
        <f>D84</f>
        <v>PS1</v>
      </c>
      <c r="E94" s="547"/>
      <c r="F94" s="548" t="str">
        <f>Questions!E116</f>
        <v>No weakness identified</v>
      </c>
      <c r="G94" s="315"/>
      <c r="H94" s="316">
        <f>Questions!D116</f>
        <v>10</v>
      </c>
      <c r="I94" s="859" t="str">
        <f>IF(Questions!F116="","",Questions!F116)</f>
        <v/>
      </c>
      <c r="J94" s="315"/>
      <c r="K94" s="771"/>
      <c r="L94" s="772"/>
      <c r="M94" s="771"/>
      <c r="N94" s="315"/>
      <c r="O94" s="779"/>
      <c r="P94" s="315"/>
      <c r="Q94" s="771"/>
      <c r="R94" s="315"/>
      <c r="S94" s="771"/>
    </row>
    <row r="95" spans="1:19" s="15" customFormat="1" ht="15.75">
      <c r="A95" s="16"/>
      <c r="B95" s="301" t="str">
        <f>Questions!$A$115</f>
        <v>6.1.5</v>
      </c>
      <c r="C95" s="14"/>
      <c r="D95" s="544" t="str">
        <f>D85</f>
        <v>PS2</v>
      </c>
      <c r="E95" s="526"/>
      <c r="F95" s="524" t="str">
        <f>Questions!E117</f>
        <v>No weakness identified</v>
      </c>
      <c r="G95" s="88"/>
      <c r="H95" s="297">
        <f>Questions!D117</f>
        <v>10</v>
      </c>
      <c r="I95" s="854" t="str">
        <f>IF(Questions!F117="","",Questions!F117)</f>
        <v/>
      </c>
      <c r="J95" s="88"/>
      <c r="K95" s="769"/>
      <c r="L95" s="772"/>
      <c r="M95" s="769"/>
      <c r="N95" s="88"/>
      <c r="O95" s="775"/>
      <c r="P95" s="88"/>
      <c r="Q95" s="769"/>
      <c r="R95" s="88"/>
      <c r="S95" s="769"/>
    </row>
    <row r="96" spans="1:19" s="15" customFormat="1" ht="15.75">
      <c r="A96" s="16"/>
      <c r="B96" s="301" t="str">
        <f>Questions!$A$115</f>
        <v>6.1.5</v>
      </c>
      <c r="C96" s="14"/>
      <c r="D96" s="544" t="str">
        <f t="shared" ref="D96:D103" si="3">D86</f>
        <v>PS3</v>
      </c>
      <c r="E96" s="526"/>
      <c r="F96" s="524" t="str">
        <f>Questions!E118</f>
        <v>No weakness identified</v>
      </c>
      <c r="G96" s="88"/>
      <c r="H96" s="297">
        <f>Questions!D118</f>
        <v>10</v>
      </c>
      <c r="I96" s="854" t="str">
        <f>IF(Questions!F118="","",Questions!F118)</f>
        <v/>
      </c>
      <c r="J96" s="88"/>
      <c r="K96" s="769"/>
      <c r="L96" s="772"/>
      <c r="M96" s="769"/>
      <c r="N96" s="88"/>
      <c r="O96" s="775"/>
      <c r="P96" s="88"/>
      <c r="Q96" s="769"/>
      <c r="R96" s="88"/>
      <c r="S96" s="769"/>
    </row>
    <row r="97" spans="1:19" s="15" customFormat="1" ht="15.75" hidden="1">
      <c r="A97" s="16"/>
      <c r="B97" s="301" t="str">
        <f>Questions!$A$115</f>
        <v>6.1.5</v>
      </c>
      <c r="C97" s="14"/>
      <c r="D97" s="544" t="str">
        <f t="shared" si="3"/>
        <v>PS4</v>
      </c>
      <c r="E97" s="526"/>
      <c r="F97" s="524" t="str">
        <f>Questions!E119</f>
        <v>Description of non conformance (mandatory)</v>
      </c>
      <c r="G97" s="88"/>
      <c r="H97" s="297" t="str">
        <f>Questions!D119</f>
        <v>n.e.</v>
      </c>
      <c r="I97" s="854" t="str">
        <f>IF(Questions!F119="","",Questions!F119)</f>
        <v/>
      </c>
      <c r="J97" s="88"/>
      <c r="K97" s="769"/>
      <c r="L97" s="772"/>
      <c r="M97" s="769"/>
      <c r="N97" s="88"/>
      <c r="O97" s="775"/>
      <c r="P97" s="88"/>
      <c r="Q97" s="769"/>
      <c r="R97" s="88"/>
      <c r="S97" s="769"/>
    </row>
    <row r="98" spans="1:19" s="15" customFormat="1" ht="15.75" hidden="1">
      <c r="A98" s="16"/>
      <c r="B98" s="301" t="str">
        <f>Questions!$A$115</f>
        <v>6.1.5</v>
      </c>
      <c r="C98" s="14"/>
      <c r="D98" s="544" t="str">
        <f t="shared" si="3"/>
        <v>PS5</v>
      </c>
      <c r="E98" s="526"/>
      <c r="F98" s="524" t="str">
        <f>Questions!E120</f>
        <v>Description of non conformance (mandatory)</v>
      </c>
      <c r="G98" s="88"/>
      <c r="H98" s="297" t="str">
        <f>Questions!D120</f>
        <v>n.e.</v>
      </c>
      <c r="I98" s="854" t="str">
        <f>IF(Questions!F120="","",Questions!F120)</f>
        <v/>
      </c>
      <c r="J98" s="88"/>
      <c r="K98" s="769"/>
      <c r="L98" s="772"/>
      <c r="M98" s="769"/>
      <c r="N98" s="88"/>
      <c r="O98" s="775"/>
      <c r="P98" s="88"/>
      <c r="Q98" s="769"/>
      <c r="R98" s="88"/>
      <c r="S98" s="769"/>
    </row>
    <row r="99" spans="1:19" s="15" customFormat="1" ht="15.75" hidden="1">
      <c r="A99" s="16"/>
      <c r="B99" s="301" t="str">
        <f>Questions!$A$115</f>
        <v>6.1.5</v>
      </c>
      <c r="C99" s="14"/>
      <c r="D99" s="544" t="str">
        <f t="shared" si="3"/>
        <v>PS6</v>
      </c>
      <c r="E99" s="526"/>
      <c r="F99" s="524" t="str">
        <f>Questions!E121</f>
        <v>Description of non conformance (mandatory)</v>
      </c>
      <c r="G99" s="88"/>
      <c r="H99" s="297" t="str">
        <f>Questions!D121</f>
        <v>n.e.</v>
      </c>
      <c r="I99" s="854" t="str">
        <f>IF(Questions!F121="","",Questions!F121)</f>
        <v/>
      </c>
      <c r="J99" s="88"/>
      <c r="K99" s="769"/>
      <c r="L99" s="772"/>
      <c r="M99" s="769"/>
      <c r="N99" s="88"/>
      <c r="O99" s="775"/>
      <c r="P99" s="88"/>
      <c r="Q99" s="769"/>
      <c r="R99" s="88"/>
      <c r="S99" s="769"/>
    </row>
    <row r="100" spans="1:19" s="15" customFormat="1" ht="15.75" hidden="1">
      <c r="A100" s="16"/>
      <c r="B100" s="301" t="str">
        <f>Questions!$A$115</f>
        <v>6.1.5</v>
      </c>
      <c r="C100" s="14"/>
      <c r="D100" s="544" t="str">
        <f t="shared" si="3"/>
        <v>PS7</v>
      </c>
      <c r="E100" s="526"/>
      <c r="F100" s="524" t="str">
        <f>Questions!E122</f>
        <v>Description of non conformance (mandatory)</v>
      </c>
      <c r="G100" s="88"/>
      <c r="H100" s="297" t="str">
        <f>Questions!D122</f>
        <v>n.e.</v>
      </c>
      <c r="I100" s="854" t="str">
        <f>IF(Questions!F122="","",Questions!F122)</f>
        <v/>
      </c>
      <c r="J100" s="88"/>
      <c r="K100" s="769"/>
      <c r="L100" s="772"/>
      <c r="M100" s="769"/>
      <c r="N100" s="88"/>
      <c r="O100" s="775"/>
      <c r="P100" s="88"/>
      <c r="Q100" s="769"/>
      <c r="R100" s="88"/>
      <c r="S100" s="769"/>
    </row>
    <row r="101" spans="1:19" s="15" customFormat="1" ht="15.75" hidden="1">
      <c r="A101" s="16"/>
      <c r="B101" s="301" t="str">
        <f>Questions!$A$115</f>
        <v>6.1.5</v>
      </c>
      <c r="C101" s="14"/>
      <c r="D101" s="544" t="str">
        <f t="shared" si="3"/>
        <v>PS8</v>
      </c>
      <c r="E101" s="526"/>
      <c r="F101" s="524" t="str">
        <f>Questions!E123</f>
        <v>Description of non conformance (mandatory)</v>
      </c>
      <c r="G101" s="88"/>
      <c r="H101" s="297" t="str">
        <f>Questions!D123</f>
        <v>n.e.</v>
      </c>
      <c r="I101" s="854" t="str">
        <f>IF(Questions!F123="","",Questions!F123)</f>
        <v/>
      </c>
      <c r="J101" s="88"/>
      <c r="K101" s="769"/>
      <c r="L101" s="772"/>
      <c r="M101" s="769"/>
      <c r="N101" s="88"/>
      <c r="O101" s="775"/>
      <c r="P101" s="88"/>
      <c r="Q101" s="769"/>
      <c r="R101" s="88"/>
      <c r="S101" s="769"/>
    </row>
    <row r="102" spans="1:19" s="15" customFormat="1" ht="15.75" hidden="1">
      <c r="A102" s="16"/>
      <c r="B102" s="301" t="str">
        <f>Questions!$A$115</f>
        <v>6.1.5</v>
      </c>
      <c r="C102" s="14"/>
      <c r="D102" s="544" t="str">
        <f t="shared" si="3"/>
        <v>PS9</v>
      </c>
      <c r="E102" s="526"/>
      <c r="F102" s="524" t="str">
        <f>Questions!E124</f>
        <v>Description of non conformance (mandatory)</v>
      </c>
      <c r="G102" s="88"/>
      <c r="H102" s="297" t="str">
        <f>Questions!D124</f>
        <v>n.e.</v>
      </c>
      <c r="I102" s="854" t="str">
        <f>IF(Questions!F124="","",Questions!F124)</f>
        <v/>
      </c>
      <c r="J102" s="88"/>
      <c r="K102" s="769"/>
      <c r="L102" s="772"/>
      <c r="M102" s="769"/>
      <c r="N102" s="88"/>
      <c r="O102" s="775"/>
      <c r="P102" s="88"/>
      <c r="Q102" s="769"/>
      <c r="R102" s="88"/>
      <c r="S102" s="769"/>
    </row>
    <row r="103" spans="1:19" s="15" customFormat="1" ht="16.5" hidden="1" thickBot="1">
      <c r="A103" s="16"/>
      <c r="B103" s="307" t="str">
        <f>Questions!$A$115</f>
        <v>6.1.5</v>
      </c>
      <c r="C103" s="295"/>
      <c r="D103" s="888" t="str">
        <f t="shared" si="3"/>
        <v>PS10</v>
      </c>
      <c r="E103" s="539"/>
      <c r="F103" s="889" t="str">
        <f>Questions!E125</f>
        <v>Description of non conformance (mandatory)</v>
      </c>
      <c r="G103" s="296"/>
      <c r="H103" s="298" t="str">
        <f>Questions!D125</f>
        <v>n.e.</v>
      </c>
      <c r="I103" s="890" t="str">
        <f>IF(Questions!F125="","",Questions!F125)</f>
        <v/>
      </c>
      <c r="J103" s="296"/>
      <c r="K103" s="774"/>
      <c r="L103" s="774"/>
      <c r="M103" s="774"/>
      <c r="N103" s="296"/>
      <c r="O103" s="777"/>
      <c r="P103" s="296"/>
      <c r="Q103" s="774"/>
      <c r="R103" s="296"/>
      <c r="S103" s="774"/>
    </row>
    <row r="104" spans="1:19" s="15" customFormat="1" ht="15.75">
      <c r="A104" s="16"/>
      <c r="B104" s="301" t="str">
        <f>Questions!$A$127</f>
        <v>6.2.1</v>
      </c>
      <c r="C104" s="14"/>
      <c r="D104" s="544" t="str">
        <f>D94</f>
        <v>PS1</v>
      </c>
      <c r="E104" s="526"/>
      <c r="F104" s="524" t="str">
        <f>Questions!E128</f>
        <v>No weakness identified</v>
      </c>
      <c r="G104" s="88"/>
      <c r="H104" s="297">
        <f>Questions!D128</f>
        <v>10</v>
      </c>
      <c r="I104" s="854" t="str">
        <f>IF(Questions!F128="","",Questions!F128)</f>
        <v/>
      </c>
      <c r="J104" s="88"/>
      <c r="K104" s="769"/>
      <c r="L104" s="772"/>
      <c r="M104" s="769"/>
      <c r="N104" s="88"/>
      <c r="O104" s="775"/>
      <c r="P104" s="88"/>
      <c r="Q104" s="769"/>
      <c r="R104" s="88"/>
      <c r="S104" s="769"/>
    </row>
    <row r="105" spans="1:19" s="15" customFormat="1" ht="60">
      <c r="A105" s="16"/>
      <c r="B105" s="301" t="str">
        <f>Questions!$A$127</f>
        <v>6.2.1</v>
      </c>
      <c r="C105" s="14"/>
      <c r="D105" s="544" t="str">
        <f>D95</f>
        <v>PS2</v>
      </c>
      <c r="E105" s="526"/>
      <c r="F105" s="524" t="str">
        <f>Questions!E129</f>
        <v>Operators in the chrome plating  process were not able to explain the symbol legend used in the Control Plan to identify safety and important characteristics, indicating insufficient deployment at shopfloor level.</v>
      </c>
      <c r="G105" s="88"/>
      <c r="H105" s="297">
        <f>Questions!D129</f>
        <v>4</v>
      </c>
      <c r="I105" s="854" t="str">
        <f>IF(Questions!F129="","",Questions!F129)</f>
        <v/>
      </c>
      <c r="J105" s="88"/>
      <c r="K105" s="769"/>
      <c r="L105" s="772"/>
      <c r="M105" s="769"/>
      <c r="N105" s="88"/>
      <c r="O105" s="775"/>
      <c r="P105" s="88"/>
      <c r="Q105" s="769"/>
      <c r="R105" s="88"/>
      <c r="S105" s="769"/>
    </row>
    <row r="106" spans="1:19" s="15" customFormat="1" ht="15.75">
      <c r="A106" s="16"/>
      <c r="B106" s="301" t="str">
        <f>Questions!$A$127</f>
        <v>6.2.1</v>
      </c>
      <c r="C106" s="14"/>
      <c r="D106" s="544" t="str">
        <f>D96</f>
        <v>PS3</v>
      </c>
      <c r="E106" s="526"/>
      <c r="F106" s="524" t="str">
        <f>Questions!E130</f>
        <v>No weakness identified</v>
      </c>
      <c r="G106" s="88"/>
      <c r="H106" s="297">
        <f>Questions!D130</f>
        <v>10</v>
      </c>
      <c r="I106" s="854" t="str">
        <f>IF(Questions!F130="","",Questions!F130)</f>
        <v/>
      </c>
      <c r="J106" s="88"/>
      <c r="K106" s="769"/>
      <c r="L106" s="772"/>
      <c r="M106" s="769"/>
      <c r="N106" s="88"/>
      <c r="O106" s="775"/>
      <c r="P106" s="88"/>
      <c r="Q106" s="769"/>
      <c r="R106" s="88"/>
      <c r="S106" s="769"/>
    </row>
    <row r="107" spans="1:19" s="15" customFormat="1" ht="15.75" hidden="1">
      <c r="A107" s="16"/>
      <c r="B107" s="301" t="str">
        <f>Questions!$A$127</f>
        <v>6.2.1</v>
      </c>
      <c r="C107" s="14"/>
      <c r="D107" s="544" t="str">
        <f t="shared" ref="D107:D113" si="4">D97</f>
        <v>PS4</v>
      </c>
      <c r="E107" s="526"/>
      <c r="F107" s="524" t="str">
        <f>Questions!E131</f>
        <v>Description of non conformance (mandatory)</v>
      </c>
      <c r="G107" s="88"/>
      <c r="H107" s="297" t="str">
        <f>Questions!D131</f>
        <v>n.e.</v>
      </c>
      <c r="I107" s="854" t="str">
        <f>IF(Questions!F131="","",Questions!F131)</f>
        <v/>
      </c>
      <c r="J107" s="88"/>
      <c r="K107" s="769"/>
      <c r="L107" s="772"/>
      <c r="M107" s="769"/>
      <c r="N107" s="88"/>
      <c r="O107" s="775"/>
      <c r="P107" s="88"/>
      <c r="Q107" s="769"/>
      <c r="R107" s="88"/>
      <c r="S107" s="769"/>
    </row>
    <row r="108" spans="1:19" s="15" customFormat="1" ht="15.75" hidden="1">
      <c r="A108" s="16"/>
      <c r="B108" s="301" t="str">
        <f>Questions!$A$127</f>
        <v>6.2.1</v>
      </c>
      <c r="C108" s="14"/>
      <c r="D108" s="544" t="str">
        <f t="shared" si="4"/>
        <v>PS5</v>
      </c>
      <c r="E108" s="526"/>
      <c r="F108" s="524" t="str">
        <f>Questions!E132</f>
        <v>Description of non conformance (mandatory)</v>
      </c>
      <c r="G108" s="88"/>
      <c r="H108" s="297" t="str">
        <f>Questions!D132</f>
        <v>n.e.</v>
      </c>
      <c r="I108" s="854" t="str">
        <f>IF(Questions!F132="","",Questions!F132)</f>
        <v/>
      </c>
      <c r="J108" s="88"/>
      <c r="K108" s="769"/>
      <c r="L108" s="772"/>
      <c r="M108" s="769"/>
      <c r="N108" s="88"/>
      <c r="O108" s="775"/>
      <c r="P108" s="88"/>
      <c r="Q108" s="769"/>
      <c r="R108" s="88"/>
      <c r="S108" s="769"/>
    </row>
    <row r="109" spans="1:19" s="15" customFormat="1" ht="15.75" hidden="1">
      <c r="A109" s="16"/>
      <c r="B109" s="301" t="str">
        <f>Questions!$A$127</f>
        <v>6.2.1</v>
      </c>
      <c r="C109" s="14"/>
      <c r="D109" s="544" t="str">
        <f t="shared" si="4"/>
        <v>PS6</v>
      </c>
      <c r="E109" s="526"/>
      <c r="F109" s="524" t="str">
        <f>Questions!E133</f>
        <v>Description of non conformance (mandatory)</v>
      </c>
      <c r="G109" s="88"/>
      <c r="H109" s="297" t="str">
        <f>Questions!D133</f>
        <v>n.e.</v>
      </c>
      <c r="I109" s="854" t="str">
        <f>IF(Questions!F133="","",Questions!F133)</f>
        <v/>
      </c>
      <c r="J109" s="88"/>
      <c r="K109" s="769"/>
      <c r="L109" s="772"/>
      <c r="M109" s="769"/>
      <c r="N109" s="88"/>
      <c r="O109" s="775"/>
      <c r="P109" s="88"/>
      <c r="Q109" s="769"/>
      <c r="R109" s="88"/>
      <c r="S109" s="769"/>
    </row>
    <row r="110" spans="1:19" s="15" customFormat="1" ht="15.75" hidden="1">
      <c r="A110" s="16"/>
      <c r="B110" s="301" t="str">
        <f>Questions!$A$127</f>
        <v>6.2.1</v>
      </c>
      <c r="C110" s="14"/>
      <c r="D110" s="544" t="str">
        <f t="shared" si="4"/>
        <v>PS7</v>
      </c>
      <c r="E110" s="526"/>
      <c r="F110" s="524" t="str">
        <f>Questions!E134</f>
        <v>Description of non conformance (mandatory)</v>
      </c>
      <c r="G110" s="88"/>
      <c r="H110" s="297" t="str">
        <f>Questions!D134</f>
        <v>n.e.</v>
      </c>
      <c r="I110" s="854" t="str">
        <f>IF(Questions!F134="","",Questions!F134)</f>
        <v/>
      </c>
      <c r="J110" s="88"/>
      <c r="K110" s="769"/>
      <c r="L110" s="772"/>
      <c r="M110" s="769"/>
      <c r="N110" s="88"/>
      <c r="O110" s="775"/>
      <c r="P110" s="88"/>
      <c r="Q110" s="769"/>
      <c r="R110" s="88"/>
      <c r="S110" s="769"/>
    </row>
    <row r="111" spans="1:19" s="15" customFormat="1" ht="15.75" hidden="1">
      <c r="A111" s="16"/>
      <c r="B111" s="301" t="str">
        <f>Questions!$A$127</f>
        <v>6.2.1</v>
      </c>
      <c r="C111" s="14"/>
      <c r="D111" s="544" t="str">
        <f t="shared" si="4"/>
        <v>PS8</v>
      </c>
      <c r="E111" s="526"/>
      <c r="F111" s="524" t="str">
        <f>Questions!E135</f>
        <v>Description of non conformance (mandatory)</v>
      </c>
      <c r="G111" s="88"/>
      <c r="H111" s="297" t="str">
        <f>Questions!D135</f>
        <v>n.e.</v>
      </c>
      <c r="I111" s="854" t="str">
        <f>IF(Questions!F135="","",Questions!F135)</f>
        <v/>
      </c>
      <c r="J111" s="88"/>
      <c r="K111" s="769"/>
      <c r="L111" s="772"/>
      <c r="M111" s="769"/>
      <c r="N111" s="88"/>
      <c r="O111" s="775"/>
      <c r="P111" s="88"/>
      <c r="Q111" s="769"/>
      <c r="R111" s="88"/>
      <c r="S111" s="769"/>
    </row>
    <row r="112" spans="1:19" s="15" customFormat="1" ht="15.75" hidden="1">
      <c r="A112" s="16"/>
      <c r="B112" s="301" t="str">
        <f>Questions!$A$127</f>
        <v>6.2.1</v>
      </c>
      <c r="C112" s="14"/>
      <c r="D112" s="544" t="str">
        <f t="shared" si="4"/>
        <v>PS9</v>
      </c>
      <c r="E112" s="526"/>
      <c r="F112" s="524" t="str">
        <f>Questions!E136</f>
        <v>Description of non conformance (mandatory)</v>
      </c>
      <c r="G112" s="88"/>
      <c r="H112" s="297" t="str">
        <f>Questions!D136</f>
        <v>n.e.</v>
      </c>
      <c r="I112" s="854" t="str">
        <f>IF(Questions!F136="","",Questions!F136)</f>
        <v/>
      </c>
      <c r="J112" s="88"/>
      <c r="K112" s="769"/>
      <c r="L112" s="772"/>
      <c r="M112" s="769"/>
      <c r="N112" s="88"/>
      <c r="O112" s="775"/>
      <c r="P112" s="88"/>
      <c r="Q112" s="769"/>
      <c r="R112" s="88"/>
      <c r="S112" s="769"/>
    </row>
    <row r="113" spans="1:19" s="15" customFormat="1" ht="15.75" hidden="1">
      <c r="A113" s="16"/>
      <c r="B113" s="301" t="str">
        <f>Questions!$A$127</f>
        <v>6.2.1</v>
      </c>
      <c r="C113" s="14"/>
      <c r="D113" s="544" t="str">
        <f t="shared" si="4"/>
        <v>PS10</v>
      </c>
      <c r="E113" s="526"/>
      <c r="F113" s="524" t="str">
        <f>Questions!E137</f>
        <v>Description of non conformance (mandatory)</v>
      </c>
      <c r="G113" s="88"/>
      <c r="H113" s="297" t="str">
        <f>Questions!D137</f>
        <v>n.e.</v>
      </c>
      <c r="I113" s="854" t="str">
        <f>IF(Questions!F137="","",Questions!F137)</f>
        <v/>
      </c>
      <c r="J113" s="88"/>
      <c r="K113" s="769"/>
      <c r="L113" s="772"/>
      <c r="M113" s="769"/>
      <c r="N113" s="88"/>
      <c r="O113" s="775"/>
      <c r="P113" s="88"/>
      <c r="Q113" s="769"/>
      <c r="R113" s="88"/>
      <c r="S113" s="769"/>
    </row>
    <row r="114" spans="1:19" s="15" customFormat="1" ht="15.75">
      <c r="A114" s="17"/>
      <c r="B114" s="313" t="str">
        <f>Questions!$A$138</f>
        <v>6.2.2</v>
      </c>
      <c r="C114" s="314"/>
      <c r="D114" s="545" t="str">
        <f>D104</f>
        <v>PS1</v>
      </c>
      <c r="E114" s="317"/>
      <c r="F114" s="548" t="str">
        <f>Questions!E139</f>
        <v>No weakness identified</v>
      </c>
      <c r="G114" s="315"/>
      <c r="H114" s="316">
        <f>Questions!D139</f>
        <v>10</v>
      </c>
      <c r="I114" s="859" t="str">
        <f>IF(Questions!F139="","",Questions!F139)</f>
        <v/>
      </c>
      <c r="J114" s="315"/>
      <c r="K114" s="771"/>
      <c r="L114" s="772"/>
      <c r="M114" s="771"/>
      <c r="N114" s="315"/>
      <c r="O114" s="779"/>
      <c r="P114" s="315"/>
      <c r="Q114" s="771"/>
      <c r="R114" s="315"/>
      <c r="S114" s="771"/>
    </row>
    <row r="115" spans="1:19" s="15" customFormat="1" ht="15.75">
      <c r="A115" s="17"/>
      <c r="B115" s="301" t="str">
        <f>Questions!$A$138</f>
        <v>6.2.2</v>
      </c>
      <c r="C115" s="14"/>
      <c r="D115" s="544" t="str">
        <f>D105</f>
        <v>PS2</v>
      </c>
      <c r="E115" s="87"/>
      <c r="F115" s="524" t="str">
        <f>Questions!E140</f>
        <v>No weakness identified</v>
      </c>
      <c r="G115" s="88"/>
      <c r="H115" s="297">
        <f>Questions!D140</f>
        <v>10</v>
      </c>
      <c r="I115" s="854" t="str">
        <f>IF(Questions!F140="","",Questions!F140)</f>
        <v/>
      </c>
      <c r="J115" s="88"/>
      <c r="K115" s="769"/>
      <c r="L115" s="772"/>
      <c r="M115" s="769"/>
      <c r="N115" s="88"/>
      <c r="O115" s="775"/>
      <c r="P115" s="88"/>
      <c r="Q115" s="769"/>
      <c r="R115" s="88"/>
      <c r="S115" s="769"/>
    </row>
    <row r="116" spans="1:19" s="15" customFormat="1" ht="15.75">
      <c r="A116" s="17"/>
      <c r="B116" s="301" t="str">
        <f>Questions!$A$138</f>
        <v>6.2.2</v>
      </c>
      <c r="C116" s="14"/>
      <c r="D116" s="544" t="str">
        <f>D106</f>
        <v>PS3</v>
      </c>
      <c r="E116" s="87"/>
      <c r="F116" s="524" t="str">
        <f>Questions!E141</f>
        <v>No weakness identified</v>
      </c>
      <c r="G116" s="88"/>
      <c r="H116" s="297">
        <f>Questions!D141</f>
        <v>10</v>
      </c>
      <c r="I116" s="854" t="str">
        <f>IF(Questions!F141="","",Questions!F141)</f>
        <v/>
      </c>
      <c r="J116" s="88"/>
      <c r="K116" s="769"/>
      <c r="L116" s="772"/>
      <c r="M116" s="769"/>
      <c r="N116" s="88"/>
      <c r="O116" s="775"/>
      <c r="P116" s="88"/>
      <c r="Q116" s="769"/>
      <c r="R116" s="88"/>
      <c r="S116" s="769"/>
    </row>
    <row r="117" spans="1:19" s="15" customFormat="1" ht="15.75" hidden="1">
      <c r="A117" s="17"/>
      <c r="B117" s="301" t="str">
        <f>Questions!$A$138</f>
        <v>6.2.2</v>
      </c>
      <c r="C117" s="14"/>
      <c r="D117" s="544" t="str">
        <f t="shared" ref="D117:D123" si="5">D107</f>
        <v>PS4</v>
      </c>
      <c r="E117" s="87"/>
      <c r="F117" s="524" t="str">
        <f>Questions!E142</f>
        <v>Description of non conformance (mandatory)</v>
      </c>
      <c r="G117" s="88"/>
      <c r="H117" s="297" t="str">
        <f>Questions!D142</f>
        <v>n.e.</v>
      </c>
      <c r="I117" s="854" t="str">
        <f>IF(Questions!F142="","",Questions!F142)</f>
        <v/>
      </c>
      <c r="J117" s="88"/>
      <c r="K117" s="769"/>
      <c r="L117" s="772"/>
      <c r="M117" s="769"/>
      <c r="N117" s="88"/>
      <c r="O117" s="775"/>
      <c r="P117" s="88"/>
      <c r="Q117" s="769"/>
      <c r="R117" s="88"/>
      <c r="S117" s="769"/>
    </row>
    <row r="118" spans="1:19" s="15" customFormat="1" ht="15.75" hidden="1">
      <c r="A118" s="17"/>
      <c r="B118" s="301" t="str">
        <f>Questions!$A$138</f>
        <v>6.2.2</v>
      </c>
      <c r="C118" s="14"/>
      <c r="D118" s="544" t="str">
        <f t="shared" si="5"/>
        <v>PS5</v>
      </c>
      <c r="E118" s="87"/>
      <c r="F118" s="524" t="str">
        <f>Questions!E143</f>
        <v>Description of non conformance (mandatory)</v>
      </c>
      <c r="G118" s="88"/>
      <c r="H118" s="297" t="str">
        <f>Questions!D143</f>
        <v>n.e.</v>
      </c>
      <c r="I118" s="854" t="str">
        <f>IF(Questions!F143="","",Questions!F143)</f>
        <v/>
      </c>
      <c r="J118" s="88"/>
      <c r="K118" s="769"/>
      <c r="L118" s="772"/>
      <c r="M118" s="769"/>
      <c r="N118" s="88"/>
      <c r="O118" s="775"/>
      <c r="P118" s="88"/>
      <c r="Q118" s="769"/>
      <c r="R118" s="88"/>
      <c r="S118" s="769"/>
    </row>
    <row r="119" spans="1:19" s="15" customFormat="1" ht="15.75" hidden="1">
      <c r="A119" s="17"/>
      <c r="B119" s="301" t="str">
        <f>Questions!$A$138</f>
        <v>6.2.2</v>
      </c>
      <c r="C119" s="14"/>
      <c r="D119" s="544" t="str">
        <f t="shared" si="5"/>
        <v>PS6</v>
      </c>
      <c r="E119" s="87"/>
      <c r="F119" s="524" t="str">
        <f>Questions!E144</f>
        <v>Description of non conformance (mandatory)</v>
      </c>
      <c r="G119" s="88"/>
      <c r="H119" s="297" t="str">
        <f>Questions!D144</f>
        <v>n.e.</v>
      </c>
      <c r="I119" s="854" t="str">
        <f>IF(Questions!F144="","",Questions!F144)</f>
        <v/>
      </c>
      <c r="J119" s="88"/>
      <c r="K119" s="769"/>
      <c r="L119" s="772"/>
      <c r="M119" s="769"/>
      <c r="N119" s="88"/>
      <c r="O119" s="775"/>
      <c r="P119" s="88"/>
      <c r="Q119" s="769"/>
      <c r="R119" s="88"/>
      <c r="S119" s="769"/>
    </row>
    <row r="120" spans="1:19" s="15" customFormat="1" ht="15.75" hidden="1">
      <c r="A120" s="17"/>
      <c r="B120" s="301" t="str">
        <f>Questions!$A$138</f>
        <v>6.2.2</v>
      </c>
      <c r="C120" s="14"/>
      <c r="D120" s="544" t="str">
        <f t="shared" si="5"/>
        <v>PS7</v>
      </c>
      <c r="E120" s="87"/>
      <c r="F120" s="524" t="str">
        <f>Questions!E145</f>
        <v>Description of non conformance (mandatory)</v>
      </c>
      <c r="G120" s="88"/>
      <c r="H120" s="297" t="str">
        <f>Questions!D145</f>
        <v>n.e.</v>
      </c>
      <c r="I120" s="854" t="str">
        <f>IF(Questions!F145="","",Questions!F145)</f>
        <v/>
      </c>
      <c r="J120" s="88"/>
      <c r="K120" s="769"/>
      <c r="L120" s="772"/>
      <c r="M120" s="769"/>
      <c r="N120" s="88"/>
      <c r="O120" s="775"/>
      <c r="P120" s="88"/>
      <c r="Q120" s="769"/>
      <c r="R120" s="88"/>
      <c r="S120" s="769"/>
    </row>
    <row r="121" spans="1:19" s="15" customFormat="1" ht="15.75" hidden="1">
      <c r="A121" s="17"/>
      <c r="B121" s="301" t="str">
        <f>Questions!$A$138</f>
        <v>6.2.2</v>
      </c>
      <c r="C121" s="14"/>
      <c r="D121" s="544" t="str">
        <f t="shared" si="5"/>
        <v>PS8</v>
      </c>
      <c r="E121" s="87"/>
      <c r="F121" s="524" t="str">
        <f>Questions!E146</f>
        <v>Description of non conformance (mandatory)</v>
      </c>
      <c r="G121" s="88"/>
      <c r="H121" s="297" t="str">
        <f>Questions!D146</f>
        <v>n.e.</v>
      </c>
      <c r="I121" s="854" t="str">
        <f>IF(Questions!F146="","",Questions!F146)</f>
        <v/>
      </c>
      <c r="J121" s="88"/>
      <c r="K121" s="769"/>
      <c r="L121" s="772"/>
      <c r="M121" s="769"/>
      <c r="N121" s="88"/>
      <c r="O121" s="775"/>
      <c r="P121" s="88"/>
      <c r="Q121" s="769"/>
      <c r="R121" s="88"/>
      <c r="S121" s="769"/>
    </row>
    <row r="122" spans="1:19" s="15" customFormat="1" ht="15.75" hidden="1">
      <c r="A122" s="17"/>
      <c r="B122" s="301" t="str">
        <f>Questions!$A$138</f>
        <v>6.2.2</v>
      </c>
      <c r="C122" s="14"/>
      <c r="D122" s="544" t="str">
        <f t="shared" si="5"/>
        <v>PS9</v>
      </c>
      <c r="E122" s="87"/>
      <c r="F122" s="524" t="str">
        <f>Questions!E147</f>
        <v>Description of non conformance (mandatory)</v>
      </c>
      <c r="G122" s="88"/>
      <c r="H122" s="297" t="str">
        <f>Questions!D147</f>
        <v>n.e.</v>
      </c>
      <c r="I122" s="854" t="str">
        <f>IF(Questions!F147="","",Questions!F147)</f>
        <v/>
      </c>
      <c r="J122" s="88"/>
      <c r="K122" s="769"/>
      <c r="L122" s="772"/>
      <c r="M122" s="769"/>
      <c r="N122" s="88"/>
      <c r="O122" s="775"/>
      <c r="P122" s="88"/>
      <c r="Q122" s="769"/>
      <c r="R122" s="88"/>
      <c r="S122" s="769"/>
    </row>
    <row r="123" spans="1:19" s="15" customFormat="1" ht="15.75" hidden="1">
      <c r="A123" s="17"/>
      <c r="B123" s="301" t="str">
        <f>Questions!$A$138</f>
        <v>6.2.2</v>
      </c>
      <c r="C123" s="14"/>
      <c r="D123" s="544" t="str">
        <f t="shared" si="5"/>
        <v>PS10</v>
      </c>
      <c r="E123" s="87"/>
      <c r="F123" s="524" t="str">
        <f>Questions!E148</f>
        <v>Description of non conformance (mandatory)</v>
      </c>
      <c r="G123" s="88"/>
      <c r="H123" s="297" t="str">
        <f>Questions!D148</f>
        <v>n.e.</v>
      </c>
      <c r="I123" s="854" t="str">
        <f>IF(Questions!F148="","",Questions!F148)</f>
        <v/>
      </c>
      <c r="J123" s="88"/>
      <c r="K123" s="769"/>
      <c r="L123" s="772"/>
      <c r="M123" s="769"/>
      <c r="N123" s="88"/>
      <c r="O123" s="775"/>
      <c r="P123" s="88"/>
      <c r="Q123" s="769"/>
      <c r="R123" s="88"/>
      <c r="S123" s="769"/>
    </row>
    <row r="124" spans="1:19" ht="15.75">
      <c r="A124" s="16"/>
      <c r="B124" s="313" t="str">
        <f>Questions!$A$149</f>
        <v>6.2.3</v>
      </c>
      <c r="C124" s="314"/>
      <c r="D124" s="545" t="str">
        <f>D114</f>
        <v>PS1</v>
      </c>
      <c r="E124" s="546"/>
      <c r="F124" s="548" t="str">
        <f>Questions!E150</f>
        <v>No weakness identified</v>
      </c>
      <c r="G124" s="315"/>
      <c r="H124" s="316">
        <f>Questions!D150</f>
        <v>10</v>
      </c>
      <c r="I124" s="859" t="str">
        <f>IF(Questions!F150="","",Questions!F150)</f>
        <v/>
      </c>
      <c r="J124" s="315"/>
      <c r="K124" s="771"/>
      <c r="L124" s="772"/>
      <c r="M124" s="771"/>
      <c r="N124" s="315"/>
      <c r="O124" s="779"/>
      <c r="P124" s="315"/>
      <c r="Q124" s="771"/>
      <c r="R124" s="315"/>
      <c r="S124" s="771"/>
    </row>
    <row r="125" spans="1:19" ht="60">
      <c r="A125" s="16"/>
      <c r="B125" s="301" t="str">
        <f>Questions!$A$149</f>
        <v>6.2.3</v>
      </c>
      <c r="C125" s="14"/>
      <c r="D125" s="544" t="str">
        <f>D115</f>
        <v>PS2</v>
      </c>
      <c r="E125" s="523"/>
      <c r="F125" s="524" t="str">
        <f>Questions!E151</f>
        <v>The safety and important (special) characteristics defined in the Control Plan are not effectively communicated or understood by chrome coating  line operators.</v>
      </c>
      <c r="G125" s="88"/>
      <c r="H125" s="297">
        <f>Questions!D151</f>
        <v>6</v>
      </c>
      <c r="I125" s="854" t="str">
        <f>IF(Questions!F151="","",Questions!F151)</f>
        <v/>
      </c>
      <c r="J125" s="88"/>
      <c r="K125" s="769"/>
      <c r="L125" s="772"/>
      <c r="M125" s="769"/>
      <c r="N125" s="88"/>
      <c r="O125" s="775"/>
      <c r="P125" s="88"/>
      <c r="Q125" s="769"/>
      <c r="R125" s="88"/>
      <c r="S125" s="769"/>
    </row>
    <row r="126" spans="1:19" ht="15.75">
      <c r="A126" s="16"/>
      <c r="B126" s="301" t="str">
        <f>Questions!$A$149</f>
        <v>6.2.3</v>
      </c>
      <c r="C126" s="14"/>
      <c r="D126" s="544" t="str">
        <f>D116</f>
        <v>PS3</v>
      </c>
      <c r="E126" s="523"/>
      <c r="F126" s="524" t="str">
        <f>Questions!E152</f>
        <v>No weakness identified</v>
      </c>
      <c r="G126" s="88"/>
      <c r="H126" s="297">
        <f>Questions!D152</f>
        <v>10</v>
      </c>
      <c r="I126" s="854" t="str">
        <f>IF(Questions!F152="","",Questions!F152)</f>
        <v/>
      </c>
      <c r="J126" s="88"/>
      <c r="K126" s="769"/>
      <c r="L126" s="772"/>
      <c r="M126" s="769"/>
      <c r="N126" s="88"/>
      <c r="O126" s="775"/>
      <c r="P126" s="88"/>
      <c r="Q126" s="769"/>
      <c r="R126" s="88"/>
      <c r="S126" s="769"/>
    </row>
    <row r="127" spans="1:19" ht="15.75" hidden="1">
      <c r="A127" s="16"/>
      <c r="B127" s="301" t="str">
        <f>Questions!$A$149</f>
        <v>6.2.3</v>
      </c>
      <c r="C127" s="14"/>
      <c r="D127" s="544" t="str">
        <f t="shared" ref="D127:D133" si="6">D117</f>
        <v>PS4</v>
      </c>
      <c r="E127" s="523"/>
      <c r="F127" s="524" t="str">
        <f>Questions!E153</f>
        <v>Description of non conformance (mandatory)</v>
      </c>
      <c r="G127" s="88"/>
      <c r="H127" s="297" t="str">
        <f>Questions!D153</f>
        <v>n.e.</v>
      </c>
      <c r="I127" s="854" t="str">
        <f>IF(Questions!F153="","",Questions!F153)</f>
        <v/>
      </c>
      <c r="J127" s="88"/>
      <c r="K127" s="769"/>
      <c r="L127" s="772"/>
      <c r="M127" s="769"/>
      <c r="N127" s="88"/>
      <c r="O127" s="775"/>
      <c r="P127" s="88"/>
      <c r="Q127" s="769"/>
      <c r="R127" s="88"/>
      <c r="S127" s="769"/>
    </row>
    <row r="128" spans="1:19" ht="15.75" hidden="1">
      <c r="A128" s="16"/>
      <c r="B128" s="301" t="str">
        <f>Questions!$A$149</f>
        <v>6.2.3</v>
      </c>
      <c r="C128" s="14"/>
      <c r="D128" s="544" t="str">
        <f t="shared" si="6"/>
        <v>PS5</v>
      </c>
      <c r="E128" s="523"/>
      <c r="F128" s="524" t="str">
        <f>Questions!E154</f>
        <v>Description of non conformance (mandatory)</v>
      </c>
      <c r="G128" s="88"/>
      <c r="H128" s="297" t="str">
        <f>Questions!D154</f>
        <v>n.e.</v>
      </c>
      <c r="I128" s="854" t="str">
        <f>IF(Questions!F154="","",Questions!F154)</f>
        <v/>
      </c>
      <c r="J128" s="88"/>
      <c r="K128" s="769"/>
      <c r="L128" s="772"/>
      <c r="M128" s="769"/>
      <c r="N128" s="88"/>
      <c r="O128" s="775"/>
      <c r="P128" s="88"/>
      <c r="Q128" s="769"/>
      <c r="R128" s="88"/>
      <c r="S128" s="769"/>
    </row>
    <row r="129" spans="1:19" ht="15.75" hidden="1">
      <c r="A129" s="16"/>
      <c r="B129" s="301" t="str">
        <f>Questions!$A$149</f>
        <v>6.2.3</v>
      </c>
      <c r="C129" s="14"/>
      <c r="D129" s="544" t="str">
        <f t="shared" si="6"/>
        <v>PS6</v>
      </c>
      <c r="E129" s="523"/>
      <c r="F129" s="524" t="str">
        <f>Questions!E155</f>
        <v>Description of non conformance (mandatory)</v>
      </c>
      <c r="G129" s="88"/>
      <c r="H129" s="297" t="str">
        <f>Questions!D155</f>
        <v>n.e.</v>
      </c>
      <c r="I129" s="854" t="str">
        <f>IF(Questions!F155="","",Questions!F155)</f>
        <v/>
      </c>
      <c r="J129" s="88"/>
      <c r="K129" s="769"/>
      <c r="L129" s="772"/>
      <c r="M129" s="769"/>
      <c r="N129" s="88"/>
      <c r="O129" s="775"/>
      <c r="P129" s="88"/>
      <c r="Q129" s="769"/>
      <c r="R129" s="88"/>
      <c r="S129" s="769"/>
    </row>
    <row r="130" spans="1:19" ht="15.75" hidden="1">
      <c r="A130" s="16"/>
      <c r="B130" s="301" t="str">
        <f>Questions!$A$149</f>
        <v>6.2.3</v>
      </c>
      <c r="C130" s="14"/>
      <c r="D130" s="544" t="str">
        <f t="shared" si="6"/>
        <v>PS7</v>
      </c>
      <c r="E130" s="523"/>
      <c r="F130" s="524" t="str">
        <f>Questions!E156</f>
        <v>Description of non conformance (mandatory)</v>
      </c>
      <c r="G130" s="88"/>
      <c r="H130" s="297" t="str">
        <f>Questions!D156</f>
        <v>n.e.</v>
      </c>
      <c r="I130" s="854" t="str">
        <f>IF(Questions!F156="","",Questions!F156)</f>
        <v/>
      </c>
      <c r="J130" s="88"/>
      <c r="K130" s="769"/>
      <c r="L130" s="772"/>
      <c r="M130" s="769"/>
      <c r="N130" s="88"/>
      <c r="O130" s="775"/>
      <c r="P130" s="88"/>
      <c r="Q130" s="769"/>
      <c r="R130" s="88"/>
      <c r="S130" s="769"/>
    </row>
    <row r="131" spans="1:19" ht="15.75" hidden="1">
      <c r="A131" s="16"/>
      <c r="B131" s="301" t="str">
        <f>Questions!$A$149</f>
        <v>6.2.3</v>
      </c>
      <c r="C131" s="14"/>
      <c r="D131" s="544" t="str">
        <f t="shared" si="6"/>
        <v>PS8</v>
      </c>
      <c r="E131" s="523"/>
      <c r="F131" s="524" t="str">
        <f>Questions!E157</f>
        <v>Description of non conformance (mandatory)</v>
      </c>
      <c r="G131" s="88"/>
      <c r="H131" s="297" t="str">
        <f>Questions!D157</f>
        <v>n.e.</v>
      </c>
      <c r="I131" s="854" t="str">
        <f>IF(Questions!F157="","",Questions!F157)</f>
        <v/>
      </c>
      <c r="J131" s="88"/>
      <c r="K131" s="769"/>
      <c r="L131" s="772"/>
      <c r="M131" s="769"/>
      <c r="N131" s="88"/>
      <c r="O131" s="775"/>
      <c r="P131" s="88"/>
      <c r="Q131" s="769"/>
      <c r="R131" s="88"/>
      <c r="S131" s="769"/>
    </row>
    <row r="132" spans="1:19" ht="15.75" hidden="1">
      <c r="A132" s="16"/>
      <c r="B132" s="301" t="str">
        <f>Questions!$A$149</f>
        <v>6.2.3</v>
      </c>
      <c r="C132" s="14"/>
      <c r="D132" s="544" t="str">
        <f t="shared" si="6"/>
        <v>PS9</v>
      </c>
      <c r="E132" s="523"/>
      <c r="F132" s="524" t="str">
        <f>Questions!E158</f>
        <v>Description of non conformance (mandatory)</v>
      </c>
      <c r="G132" s="88"/>
      <c r="H132" s="297" t="str">
        <f>Questions!D158</f>
        <v>n.e.</v>
      </c>
      <c r="I132" s="854" t="str">
        <f>IF(Questions!F158="","",Questions!F158)</f>
        <v/>
      </c>
      <c r="J132" s="88"/>
      <c r="K132" s="769"/>
      <c r="L132" s="772"/>
      <c r="M132" s="769"/>
      <c r="N132" s="88"/>
      <c r="O132" s="775"/>
      <c r="P132" s="88"/>
      <c r="Q132" s="769"/>
      <c r="R132" s="88"/>
      <c r="S132" s="769"/>
    </row>
    <row r="133" spans="1:19" ht="15.75" hidden="1">
      <c r="A133" s="16"/>
      <c r="B133" s="301" t="str">
        <f>Questions!$A$149</f>
        <v>6.2.3</v>
      </c>
      <c r="C133" s="14"/>
      <c r="D133" s="544" t="str">
        <f t="shared" si="6"/>
        <v>PS10</v>
      </c>
      <c r="E133" s="523"/>
      <c r="F133" s="524" t="str">
        <f>Questions!E159</f>
        <v>Description of non conformance (mandatory)</v>
      </c>
      <c r="G133" s="88"/>
      <c r="H133" s="297" t="str">
        <f>Questions!D159</f>
        <v>n.e.</v>
      </c>
      <c r="I133" s="854" t="str">
        <f>IF(Questions!F159="","",Questions!F159)</f>
        <v/>
      </c>
      <c r="J133" s="88"/>
      <c r="K133" s="769"/>
      <c r="L133" s="772"/>
      <c r="M133" s="769"/>
      <c r="N133" s="88"/>
      <c r="O133" s="775"/>
      <c r="P133" s="88"/>
      <c r="Q133" s="769"/>
      <c r="R133" s="88"/>
      <c r="S133" s="769"/>
    </row>
    <row r="134" spans="1:19" ht="15.75">
      <c r="A134" s="16"/>
      <c r="B134" s="313" t="str">
        <f>Questions!$A$160</f>
        <v>6.2.4</v>
      </c>
      <c r="C134" s="314"/>
      <c r="D134" s="545" t="str">
        <f>D124</f>
        <v>PS1</v>
      </c>
      <c r="E134" s="546"/>
      <c r="F134" s="548" t="str">
        <f>Questions!E161</f>
        <v>No weakness identified</v>
      </c>
      <c r="G134" s="315"/>
      <c r="H134" s="316">
        <f>Questions!D161</f>
        <v>10</v>
      </c>
      <c r="I134" s="859" t="str">
        <f>IF(Questions!F161="","",Questions!F161)</f>
        <v/>
      </c>
      <c r="J134" s="315"/>
      <c r="K134" s="771"/>
      <c r="L134" s="772"/>
      <c r="M134" s="771"/>
      <c r="N134" s="315"/>
      <c r="O134" s="779"/>
      <c r="P134" s="315"/>
      <c r="Q134" s="771"/>
      <c r="R134" s="315"/>
      <c r="S134" s="771"/>
    </row>
    <row r="135" spans="1:19" ht="120">
      <c r="A135" s="16"/>
      <c r="B135" s="301" t="str">
        <f>Questions!$A$160</f>
        <v>6.2.4</v>
      </c>
      <c r="C135" s="14"/>
      <c r="D135" s="544" t="str">
        <f>D125</f>
        <v>PS2</v>
      </c>
      <c r="E135" s="523"/>
      <c r="F135" s="524" t="str">
        <f>Questions!E162</f>
        <v>Pistons that fall to the floor during the chrome plating  process are reintroduced into production without mandatory visual inspection.
Additionally, the red scrap container relies solely on color coding (visual management) and lacks mandatory text identification (e.g., “SCRAP” / “REJECT”) and physical locking control (padlock).</v>
      </c>
      <c r="G135" s="88"/>
      <c r="H135" s="297">
        <f>Questions!D162</f>
        <v>4</v>
      </c>
      <c r="I135" s="854" t="str">
        <f>IF(Questions!F162="","",Questions!F162)</f>
        <v/>
      </c>
      <c r="J135" s="88"/>
      <c r="K135" s="769"/>
      <c r="L135" s="772"/>
      <c r="M135" s="769"/>
      <c r="N135" s="88"/>
      <c r="O135" s="775"/>
      <c r="P135" s="88"/>
      <c r="Q135" s="769"/>
      <c r="R135" s="88"/>
      <c r="S135" s="769"/>
    </row>
    <row r="136" spans="1:19" ht="15.75">
      <c r="A136" s="16"/>
      <c r="B136" s="301" t="str">
        <f>Questions!$A$160</f>
        <v>6.2.4</v>
      </c>
      <c r="C136" s="14"/>
      <c r="D136" s="544" t="str">
        <f>D126</f>
        <v>PS3</v>
      </c>
      <c r="E136" s="523"/>
      <c r="F136" s="524" t="str">
        <f>Questions!E163</f>
        <v>No weakness identified</v>
      </c>
      <c r="G136" s="88"/>
      <c r="H136" s="297">
        <f>Questions!D163</f>
        <v>10</v>
      </c>
      <c r="I136" s="854" t="str">
        <f>IF(Questions!F163="","",Questions!F163)</f>
        <v/>
      </c>
      <c r="J136" s="88"/>
      <c r="K136" s="769"/>
      <c r="L136" s="772"/>
      <c r="M136" s="769"/>
      <c r="N136" s="88"/>
      <c r="O136" s="775"/>
      <c r="P136" s="88"/>
      <c r="Q136" s="769"/>
      <c r="R136" s="88"/>
      <c r="S136" s="769"/>
    </row>
    <row r="137" spans="1:19" ht="15.75" hidden="1">
      <c r="A137" s="16"/>
      <c r="B137" s="301" t="str">
        <f>Questions!$A$160</f>
        <v>6.2.4</v>
      </c>
      <c r="C137" s="14"/>
      <c r="D137" s="544" t="str">
        <f t="shared" ref="D137:D143" si="7">D127</f>
        <v>PS4</v>
      </c>
      <c r="E137" s="523"/>
      <c r="F137" s="524" t="str">
        <f>Questions!E164</f>
        <v>Description of non conformance (mandatory)</v>
      </c>
      <c r="G137" s="88"/>
      <c r="H137" s="297" t="str">
        <f>Questions!D164</f>
        <v>n.e.</v>
      </c>
      <c r="I137" s="854" t="str">
        <f>IF(Questions!F164="","",Questions!F164)</f>
        <v/>
      </c>
      <c r="J137" s="88"/>
      <c r="K137" s="769"/>
      <c r="L137" s="772"/>
      <c r="M137" s="769"/>
      <c r="N137" s="88"/>
      <c r="O137" s="775"/>
      <c r="P137" s="88"/>
      <c r="Q137" s="769"/>
      <c r="R137" s="88"/>
      <c r="S137" s="769"/>
    </row>
    <row r="138" spans="1:19" ht="15.75" hidden="1">
      <c r="A138" s="16"/>
      <c r="B138" s="301" t="str">
        <f>Questions!$A$160</f>
        <v>6.2.4</v>
      </c>
      <c r="C138" s="14"/>
      <c r="D138" s="544" t="str">
        <f t="shared" si="7"/>
        <v>PS5</v>
      </c>
      <c r="E138" s="523"/>
      <c r="F138" s="524" t="str">
        <f>Questions!E165</f>
        <v>Description of non conformance (mandatory)</v>
      </c>
      <c r="G138" s="88"/>
      <c r="H138" s="297" t="str">
        <f>Questions!D165</f>
        <v>n.e.</v>
      </c>
      <c r="I138" s="854" t="str">
        <f>IF(Questions!F165="","",Questions!F165)</f>
        <v/>
      </c>
      <c r="J138" s="88"/>
      <c r="K138" s="769"/>
      <c r="L138" s="772"/>
      <c r="M138" s="769"/>
      <c r="N138" s="88"/>
      <c r="O138" s="775"/>
      <c r="P138" s="88"/>
      <c r="Q138" s="769"/>
      <c r="R138" s="88"/>
      <c r="S138" s="769"/>
    </row>
    <row r="139" spans="1:19" ht="15.75" hidden="1">
      <c r="A139" s="16"/>
      <c r="B139" s="301" t="str">
        <f>Questions!$A$160</f>
        <v>6.2.4</v>
      </c>
      <c r="C139" s="14"/>
      <c r="D139" s="544" t="str">
        <f t="shared" si="7"/>
        <v>PS6</v>
      </c>
      <c r="E139" s="523"/>
      <c r="F139" s="524" t="str">
        <f>Questions!E166</f>
        <v>Description of non conformance (mandatory)</v>
      </c>
      <c r="G139" s="88"/>
      <c r="H139" s="297" t="str">
        <f>Questions!D166</f>
        <v>n.e.</v>
      </c>
      <c r="I139" s="854" t="str">
        <f>IF(Questions!F166="","",Questions!F166)</f>
        <v/>
      </c>
      <c r="J139" s="88"/>
      <c r="K139" s="769"/>
      <c r="L139" s="772"/>
      <c r="M139" s="769"/>
      <c r="N139" s="88"/>
      <c r="O139" s="775"/>
      <c r="P139" s="88"/>
      <c r="Q139" s="769"/>
      <c r="R139" s="88"/>
      <c r="S139" s="769"/>
    </row>
    <row r="140" spans="1:19" ht="15.75" hidden="1">
      <c r="A140" s="16"/>
      <c r="B140" s="301" t="str">
        <f>Questions!$A$160</f>
        <v>6.2.4</v>
      </c>
      <c r="C140" s="14"/>
      <c r="D140" s="544" t="str">
        <f t="shared" si="7"/>
        <v>PS7</v>
      </c>
      <c r="E140" s="523"/>
      <c r="F140" s="524" t="str">
        <f>Questions!E167</f>
        <v>Description of non conformance (mandatory)</v>
      </c>
      <c r="G140" s="88"/>
      <c r="H140" s="297" t="str">
        <f>Questions!D167</f>
        <v>n.e.</v>
      </c>
      <c r="I140" s="854" t="str">
        <f>IF(Questions!F167="","",Questions!F167)</f>
        <v/>
      </c>
      <c r="J140" s="88"/>
      <c r="K140" s="769"/>
      <c r="L140" s="772"/>
      <c r="M140" s="769"/>
      <c r="N140" s="88"/>
      <c r="O140" s="775"/>
      <c r="P140" s="88"/>
      <c r="Q140" s="769"/>
      <c r="R140" s="88"/>
      <c r="S140" s="769"/>
    </row>
    <row r="141" spans="1:19" ht="15.75" hidden="1">
      <c r="A141" s="16"/>
      <c r="B141" s="301" t="str">
        <f>Questions!$A$160</f>
        <v>6.2.4</v>
      </c>
      <c r="C141" s="14"/>
      <c r="D141" s="544" t="str">
        <f t="shared" si="7"/>
        <v>PS8</v>
      </c>
      <c r="E141" s="523"/>
      <c r="F141" s="524" t="str">
        <f>Questions!E168</f>
        <v>Description of non conformance (mandatory)</v>
      </c>
      <c r="G141" s="88"/>
      <c r="H141" s="297" t="str">
        <f>Questions!D168</f>
        <v>n.e.</v>
      </c>
      <c r="I141" s="854" t="str">
        <f>IF(Questions!F168="","",Questions!F168)</f>
        <v/>
      </c>
      <c r="J141" s="88"/>
      <c r="K141" s="769"/>
      <c r="L141" s="772"/>
      <c r="M141" s="769"/>
      <c r="N141" s="88"/>
      <c r="O141" s="775"/>
      <c r="P141" s="88"/>
      <c r="Q141" s="769"/>
      <c r="R141" s="88"/>
      <c r="S141" s="769"/>
    </row>
    <row r="142" spans="1:19" ht="15.75" hidden="1">
      <c r="A142" s="16"/>
      <c r="B142" s="301" t="str">
        <f>Questions!$A$160</f>
        <v>6.2.4</v>
      </c>
      <c r="C142" s="14"/>
      <c r="D142" s="544" t="str">
        <f t="shared" si="7"/>
        <v>PS9</v>
      </c>
      <c r="E142" s="523"/>
      <c r="F142" s="524" t="str">
        <f>Questions!E169</f>
        <v>Description of non conformance (mandatory)</v>
      </c>
      <c r="G142" s="88"/>
      <c r="H142" s="297" t="str">
        <f>Questions!D169</f>
        <v>n.e.</v>
      </c>
      <c r="I142" s="854" t="str">
        <f>IF(Questions!F169="","",Questions!F169)</f>
        <v/>
      </c>
      <c r="J142" s="88"/>
      <c r="K142" s="769"/>
      <c r="L142" s="772"/>
      <c r="M142" s="769"/>
      <c r="N142" s="88"/>
      <c r="O142" s="775"/>
      <c r="P142" s="88"/>
      <c r="Q142" s="769"/>
      <c r="R142" s="88"/>
      <c r="S142" s="769"/>
    </row>
    <row r="143" spans="1:19" ht="15.75" hidden="1">
      <c r="A143" s="16"/>
      <c r="B143" s="301" t="str">
        <f>Questions!$A$160</f>
        <v>6.2.4</v>
      </c>
      <c r="C143" s="14"/>
      <c r="D143" s="544" t="str">
        <f t="shared" si="7"/>
        <v>PS10</v>
      </c>
      <c r="E143" s="523"/>
      <c r="F143" s="524" t="str">
        <f>Questions!E170</f>
        <v>Description of non conformance (mandatory)</v>
      </c>
      <c r="G143" s="88"/>
      <c r="H143" s="297" t="str">
        <f>Questions!D170</f>
        <v>n.e.</v>
      </c>
      <c r="I143" s="854" t="str">
        <f>IF(Questions!F170="","",Questions!F170)</f>
        <v/>
      </c>
      <c r="J143" s="88"/>
      <c r="K143" s="769"/>
      <c r="L143" s="772"/>
      <c r="M143" s="769"/>
      <c r="N143" s="88"/>
      <c r="O143" s="775"/>
      <c r="P143" s="88"/>
      <c r="Q143" s="769"/>
      <c r="R143" s="88"/>
      <c r="S143" s="769"/>
    </row>
    <row r="144" spans="1:19" ht="15.75">
      <c r="A144" s="16"/>
      <c r="B144" s="313" t="str">
        <f>Questions!$A$171</f>
        <v>6.2.5</v>
      </c>
      <c r="C144" s="314"/>
      <c r="D144" s="545" t="str">
        <f>D134</f>
        <v>PS1</v>
      </c>
      <c r="E144" s="546"/>
      <c r="F144" s="548" t="str">
        <f>Questions!E172</f>
        <v>No weakness identified</v>
      </c>
      <c r="G144" s="315"/>
      <c r="H144" s="316">
        <f>Questions!D172</f>
        <v>10</v>
      </c>
      <c r="I144" s="859" t="str">
        <f>IF(Questions!F172="","",Questions!F172)</f>
        <v/>
      </c>
      <c r="J144" s="315"/>
      <c r="K144" s="771"/>
      <c r="L144" s="772"/>
      <c r="M144" s="771"/>
      <c r="N144" s="315"/>
      <c r="O144" s="779"/>
      <c r="P144" s="315"/>
      <c r="Q144" s="771"/>
      <c r="R144" s="315"/>
      <c r="S144" s="771"/>
    </row>
    <row r="145" spans="1:19" ht="45">
      <c r="A145" s="16"/>
      <c r="B145" s="301" t="str">
        <f>Questions!$A$171</f>
        <v>6.2.5</v>
      </c>
      <c r="C145" s="14"/>
      <c r="D145" s="544" t="str">
        <f>D135</f>
        <v>PS2</v>
      </c>
      <c r="E145" s="523"/>
      <c r="F145" s="524" t="str">
        <f>Questions!E173</f>
        <v>Pallets without identification were used to feed the chrome plating  process, increasing the risk of part mix-up.</v>
      </c>
      <c r="G145" s="88"/>
      <c r="H145" s="297">
        <f>Questions!D173</f>
        <v>4</v>
      </c>
      <c r="I145" s="854" t="str">
        <f>IF(Questions!F173="","",Questions!F173)</f>
        <v/>
      </c>
      <c r="J145" s="88"/>
      <c r="K145" s="769"/>
      <c r="L145" s="772"/>
      <c r="M145" s="769"/>
      <c r="N145" s="88"/>
      <c r="O145" s="775"/>
      <c r="P145" s="88"/>
      <c r="Q145" s="769"/>
      <c r="R145" s="88"/>
      <c r="S145" s="769"/>
    </row>
    <row r="146" spans="1:19" ht="15.75">
      <c r="A146" s="16"/>
      <c r="B146" s="301" t="str">
        <f>Questions!$A$171</f>
        <v>6.2.5</v>
      </c>
      <c r="C146" s="14"/>
      <c r="D146" s="544" t="str">
        <f t="shared" ref="D146:D153" si="8">D136</f>
        <v>PS3</v>
      </c>
      <c r="E146" s="523"/>
      <c r="F146" s="524" t="str">
        <f>Questions!E174</f>
        <v>No weakness identified</v>
      </c>
      <c r="G146" s="88"/>
      <c r="H146" s="297">
        <f>Questions!D174</f>
        <v>10</v>
      </c>
      <c r="I146" s="854" t="str">
        <f>IF(Questions!F174="","",Questions!F174)</f>
        <v/>
      </c>
      <c r="J146" s="88"/>
      <c r="K146" s="769"/>
      <c r="L146" s="772"/>
      <c r="M146" s="769"/>
      <c r="N146" s="88"/>
      <c r="O146" s="775"/>
      <c r="P146" s="88"/>
      <c r="Q146" s="769"/>
      <c r="R146" s="88"/>
      <c r="S146" s="769"/>
    </row>
    <row r="147" spans="1:19" ht="15.75" hidden="1">
      <c r="A147" s="16"/>
      <c r="B147" s="301" t="str">
        <f>Questions!$A$171</f>
        <v>6.2.5</v>
      </c>
      <c r="C147" s="14"/>
      <c r="D147" s="544" t="str">
        <f t="shared" si="8"/>
        <v>PS4</v>
      </c>
      <c r="E147" s="523"/>
      <c r="F147" s="524" t="str">
        <f>Questions!E175</f>
        <v>Description of non conformance (mandatory)</v>
      </c>
      <c r="G147" s="88"/>
      <c r="H147" s="297" t="str">
        <f>Questions!D175</f>
        <v>n.e.</v>
      </c>
      <c r="I147" s="854" t="str">
        <f>IF(Questions!F175="","",Questions!F175)</f>
        <v/>
      </c>
      <c r="J147" s="88"/>
      <c r="K147" s="769"/>
      <c r="L147" s="772"/>
      <c r="M147" s="769"/>
      <c r="N147" s="88"/>
      <c r="O147" s="775"/>
      <c r="P147" s="88"/>
      <c r="Q147" s="769"/>
      <c r="R147" s="88"/>
      <c r="S147" s="769"/>
    </row>
    <row r="148" spans="1:19" ht="15.75" hidden="1">
      <c r="A148" s="16"/>
      <c r="B148" s="301" t="str">
        <f>Questions!$A$171</f>
        <v>6.2.5</v>
      </c>
      <c r="C148" s="14"/>
      <c r="D148" s="544" t="str">
        <f t="shared" si="8"/>
        <v>PS5</v>
      </c>
      <c r="E148" s="523"/>
      <c r="F148" s="524" t="str">
        <f>Questions!E176</f>
        <v>Description of non conformance (mandatory)</v>
      </c>
      <c r="G148" s="88"/>
      <c r="H148" s="297" t="str">
        <f>Questions!D176</f>
        <v>n.e.</v>
      </c>
      <c r="I148" s="854" t="str">
        <f>IF(Questions!F176="","",Questions!F176)</f>
        <v/>
      </c>
      <c r="J148" s="88"/>
      <c r="K148" s="769"/>
      <c r="L148" s="772"/>
      <c r="M148" s="769"/>
      <c r="N148" s="88"/>
      <c r="O148" s="775"/>
      <c r="P148" s="88"/>
      <c r="Q148" s="769"/>
      <c r="R148" s="88"/>
      <c r="S148" s="769"/>
    </row>
    <row r="149" spans="1:19" ht="15.75" hidden="1">
      <c r="A149" s="16"/>
      <c r="B149" s="301" t="str">
        <f>Questions!$A$171</f>
        <v>6.2.5</v>
      </c>
      <c r="C149" s="14"/>
      <c r="D149" s="544" t="str">
        <f t="shared" si="8"/>
        <v>PS6</v>
      </c>
      <c r="E149" s="523"/>
      <c r="F149" s="524" t="str">
        <f>Questions!E177</f>
        <v>Description of non conformance (mandatory)</v>
      </c>
      <c r="G149" s="88"/>
      <c r="H149" s="297" t="str">
        <f>Questions!D177</f>
        <v>n.e.</v>
      </c>
      <c r="I149" s="854" t="str">
        <f>IF(Questions!F177="","",Questions!F177)</f>
        <v/>
      </c>
      <c r="J149" s="88"/>
      <c r="K149" s="769"/>
      <c r="L149" s="772"/>
      <c r="M149" s="769"/>
      <c r="N149" s="88"/>
      <c r="O149" s="775"/>
      <c r="P149" s="88"/>
      <c r="Q149" s="769"/>
      <c r="R149" s="88"/>
      <c r="S149" s="769"/>
    </row>
    <row r="150" spans="1:19" ht="15.75" hidden="1">
      <c r="A150" s="16"/>
      <c r="B150" s="301" t="str">
        <f>Questions!$A$171</f>
        <v>6.2.5</v>
      </c>
      <c r="C150" s="14"/>
      <c r="D150" s="544" t="str">
        <f t="shared" si="8"/>
        <v>PS7</v>
      </c>
      <c r="E150" s="523"/>
      <c r="F150" s="524" t="str">
        <f>Questions!E178</f>
        <v>Description of non conformance (mandatory)</v>
      </c>
      <c r="G150" s="88"/>
      <c r="H150" s="297" t="str">
        <f>Questions!D178</f>
        <v>n.e.</v>
      </c>
      <c r="I150" s="854" t="str">
        <f>IF(Questions!F178="","",Questions!F178)</f>
        <v/>
      </c>
      <c r="J150" s="88"/>
      <c r="K150" s="769"/>
      <c r="L150" s="772"/>
      <c r="M150" s="769"/>
      <c r="N150" s="88"/>
      <c r="O150" s="775"/>
      <c r="P150" s="88"/>
      <c r="Q150" s="769"/>
      <c r="R150" s="88"/>
      <c r="S150" s="769"/>
    </row>
    <row r="151" spans="1:19" ht="15.75" hidden="1">
      <c r="A151" s="16"/>
      <c r="B151" s="301" t="str">
        <f>Questions!$A$171</f>
        <v>6.2.5</v>
      </c>
      <c r="C151" s="14"/>
      <c r="D151" s="544" t="str">
        <f t="shared" si="8"/>
        <v>PS8</v>
      </c>
      <c r="E151" s="523"/>
      <c r="F151" s="524" t="str">
        <f>Questions!E179</f>
        <v>Description of non conformance (mandatory)</v>
      </c>
      <c r="G151" s="88"/>
      <c r="H151" s="297" t="str">
        <f>Questions!D179</f>
        <v>n.e.</v>
      </c>
      <c r="I151" s="854" t="str">
        <f>IF(Questions!F179="","",Questions!F179)</f>
        <v/>
      </c>
      <c r="J151" s="88"/>
      <c r="K151" s="769"/>
      <c r="L151" s="772"/>
      <c r="M151" s="769"/>
      <c r="N151" s="88"/>
      <c r="O151" s="775"/>
      <c r="P151" s="88"/>
      <c r="Q151" s="769"/>
      <c r="R151" s="88"/>
      <c r="S151" s="769"/>
    </row>
    <row r="152" spans="1:19" ht="15.75" hidden="1">
      <c r="A152" s="16"/>
      <c r="B152" s="301" t="str">
        <f>Questions!$A$171</f>
        <v>6.2.5</v>
      </c>
      <c r="C152" s="14"/>
      <c r="D152" s="544" t="str">
        <f t="shared" si="8"/>
        <v>PS9</v>
      </c>
      <c r="E152" s="523"/>
      <c r="F152" s="524" t="e">
        <f>Questions!#REF!</f>
        <v>#REF!</v>
      </c>
      <c r="G152" s="88"/>
      <c r="H152" s="297" t="e">
        <f>Questions!#REF!</f>
        <v>#REF!</v>
      </c>
      <c r="I152" s="854" t="e">
        <f>IF(Questions!#REF!="","",Questions!#REF!)</f>
        <v>#REF!</v>
      </c>
      <c r="J152" s="88"/>
      <c r="K152" s="769"/>
      <c r="L152" s="772"/>
      <c r="M152" s="769"/>
      <c r="N152" s="88"/>
      <c r="O152" s="775"/>
      <c r="P152" s="88"/>
      <c r="Q152" s="769"/>
      <c r="R152" s="88"/>
      <c r="S152" s="769"/>
    </row>
    <row r="153" spans="1:19" ht="16.5" hidden="1" thickBot="1">
      <c r="A153" s="16"/>
      <c r="B153" s="307" t="str">
        <f>Questions!$A$171</f>
        <v>6.2.5</v>
      </c>
      <c r="C153" s="295"/>
      <c r="D153" s="888" t="str">
        <f t="shared" si="8"/>
        <v>PS10</v>
      </c>
      <c r="E153" s="539"/>
      <c r="F153" s="889" t="e">
        <f>Questions!#REF!</f>
        <v>#REF!</v>
      </c>
      <c r="G153" s="296"/>
      <c r="H153" s="298" t="e">
        <f>Questions!#REF!</f>
        <v>#REF!</v>
      </c>
      <c r="I153" s="890" t="e">
        <f>IF(Questions!#REF!="","",Questions!#REF!)</f>
        <v>#REF!</v>
      </c>
      <c r="J153" s="296"/>
      <c r="K153" s="774"/>
      <c r="L153" s="774"/>
      <c r="M153" s="774"/>
      <c r="N153" s="296"/>
      <c r="O153" s="777"/>
      <c r="P153" s="296"/>
      <c r="Q153" s="774"/>
      <c r="R153" s="296"/>
      <c r="S153" s="774"/>
    </row>
    <row r="154" spans="1:19" ht="15.75">
      <c r="A154" s="16"/>
      <c r="B154" s="301" t="str">
        <f>Questions!$A$181</f>
        <v>6.3.1</v>
      </c>
      <c r="C154" s="14"/>
      <c r="D154" s="544" t="str">
        <f>D144</f>
        <v>PS1</v>
      </c>
      <c r="E154" s="523"/>
      <c r="F154" s="524" t="str">
        <f>Questions!E182</f>
        <v>Please rate!</v>
      </c>
      <c r="G154" s="88"/>
      <c r="H154" s="297" t="str">
        <f>Questions!D182</f>
        <v>n.e.</v>
      </c>
      <c r="I154" s="854" t="str">
        <f>IF(Questions!F182="","",Questions!F182)</f>
        <v/>
      </c>
      <c r="J154" s="88"/>
      <c r="K154" s="769"/>
      <c r="L154" s="772"/>
      <c r="M154" s="769"/>
      <c r="N154" s="88"/>
      <c r="O154" s="775"/>
      <c r="P154" s="88"/>
      <c r="Q154" s="769"/>
      <c r="R154" s="88"/>
      <c r="S154" s="769"/>
    </row>
    <row r="155" spans="1:19" ht="45">
      <c r="A155" s="16"/>
      <c r="B155" s="301" t="str">
        <f>Questions!$A$181</f>
        <v>6.3.1</v>
      </c>
      <c r="C155" s="14"/>
      <c r="D155" s="544" t="str">
        <f>D145</f>
        <v>PS2</v>
      </c>
      <c r="E155" s="523"/>
      <c r="F155" s="524" t="str">
        <f>Questions!E183</f>
        <v>Chrome plating  process operators do not follow the instruction wich not allow to load and unload more than 4 pistons at the same time.</v>
      </c>
      <c r="G155" s="88"/>
      <c r="H155" s="297" t="str">
        <f>Questions!D183</f>
        <v>n.e.</v>
      </c>
      <c r="I155" s="854" t="str">
        <f>IF(Questions!F183="","",Questions!F183)</f>
        <v/>
      </c>
      <c r="J155" s="88"/>
      <c r="K155" s="769"/>
      <c r="L155" s="772"/>
      <c r="M155" s="769"/>
      <c r="N155" s="88"/>
      <c r="O155" s="775"/>
      <c r="P155" s="88"/>
      <c r="Q155" s="769"/>
      <c r="R155" s="88"/>
      <c r="S155" s="769"/>
    </row>
    <row r="156" spans="1:19" ht="15.75">
      <c r="A156" s="16"/>
      <c r="B156" s="301" t="str">
        <f>Questions!$A$181</f>
        <v>6.3.1</v>
      </c>
      <c r="C156" s="14"/>
      <c r="D156" s="544" t="str">
        <f>D146</f>
        <v>PS3</v>
      </c>
      <c r="E156" s="523"/>
      <c r="F156" s="524" t="str">
        <f>Questions!E184</f>
        <v>Please rate!</v>
      </c>
      <c r="G156" s="88"/>
      <c r="H156" s="297" t="str">
        <f>Questions!D184</f>
        <v>n.e.</v>
      </c>
      <c r="I156" s="854" t="str">
        <f>IF(Questions!F184="","",Questions!F184)</f>
        <v/>
      </c>
      <c r="J156" s="88"/>
      <c r="K156" s="769"/>
      <c r="L156" s="772"/>
      <c r="M156" s="769"/>
      <c r="N156" s="88"/>
      <c r="O156" s="775"/>
      <c r="P156" s="88"/>
      <c r="Q156" s="769"/>
      <c r="R156" s="88"/>
      <c r="S156" s="769"/>
    </row>
    <row r="157" spans="1:19" ht="15.75" hidden="1">
      <c r="A157" s="16"/>
      <c r="B157" s="301" t="str">
        <f>Questions!$A$181</f>
        <v>6.3.1</v>
      </c>
      <c r="C157" s="14"/>
      <c r="D157" s="544" t="str">
        <f t="shared" ref="D157:D163" si="9">D147</f>
        <v>PS4</v>
      </c>
      <c r="E157" s="523"/>
      <c r="F157" s="524" t="str">
        <f>Questions!E185</f>
        <v>Description of non conformance (mandatory)</v>
      </c>
      <c r="G157" s="88"/>
      <c r="H157" s="297" t="str">
        <f>Questions!D185</f>
        <v>n.e.</v>
      </c>
      <c r="I157" s="854" t="str">
        <f>IF(Questions!F185="","",Questions!F185)</f>
        <v/>
      </c>
      <c r="J157" s="88"/>
      <c r="K157" s="769"/>
      <c r="L157" s="772"/>
      <c r="M157" s="769"/>
      <c r="N157" s="88"/>
      <c r="O157" s="775"/>
      <c r="P157" s="88"/>
      <c r="Q157" s="769"/>
      <c r="R157" s="88"/>
      <c r="S157" s="769"/>
    </row>
    <row r="158" spans="1:19" ht="15.75" hidden="1">
      <c r="A158" s="16"/>
      <c r="B158" s="301" t="str">
        <f>Questions!$A$181</f>
        <v>6.3.1</v>
      </c>
      <c r="C158" s="14"/>
      <c r="D158" s="544" t="str">
        <f t="shared" si="9"/>
        <v>PS5</v>
      </c>
      <c r="E158" s="523"/>
      <c r="F158" s="524" t="str">
        <f>Questions!E186</f>
        <v>Description of non conformance (mandatory)</v>
      </c>
      <c r="G158" s="88"/>
      <c r="H158" s="297" t="str">
        <f>Questions!D186</f>
        <v>n.e.</v>
      </c>
      <c r="I158" s="854" t="str">
        <f>IF(Questions!F186="","",Questions!F186)</f>
        <v/>
      </c>
      <c r="J158" s="88"/>
      <c r="K158" s="769"/>
      <c r="L158" s="772"/>
      <c r="M158" s="769"/>
      <c r="N158" s="88"/>
      <c r="O158" s="775"/>
      <c r="P158" s="88"/>
      <c r="Q158" s="769"/>
      <c r="R158" s="88"/>
      <c r="S158" s="769"/>
    </row>
    <row r="159" spans="1:19" ht="15.75" hidden="1">
      <c r="A159" s="16"/>
      <c r="B159" s="301" t="str">
        <f>Questions!$A$181</f>
        <v>6.3.1</v>
      </c>
      <c r="C159" s="14"/>
      <c r="D159" s="544" t="str">
        <f t="shared" si="9"/>
        <v>PS6</v>
      </c>
      <c r="E159" s="523"/>
      <c r="F159" s="524" t="str">
        <f>Questions!E187</f>
        <v>Description of non conformance (mandatory)</v>
      </c>
      <c r="G159" s="88"/>
      <c r="H159" s="297" t="str">
        <f>Questions!D187</f>
        <v>n.e.</v>
      </c>
      <c r="I159" s="854" t="str">
        <f>IF(Questions!F187="","",Questions!F187)</f>
        <v/>
      </c>
      <c r="J159" s="88"/>
      <c r="K159" s="769"/>
      <c r="L159" s="772"/>
      <c r="M159" s="769"/>
      <c r="N159" s="88"/>
      <c r="O159" s="775"/>
      <c r="P159" s="88"/>
      <c r="Q159" s="769"/>
      <c r="R159" s="88"/>
      <c r="S159" s="769"/>
    </row>
    <row r="160" spans="1:19" ht="15.75" hidden="1">
      <c r="A160" s="16"/>
      <c r="B160" s="301" t="str">
        <f>Questions!$A$181</f>
        <v>6.3.1</v>
      </c>
      <c r="C160" s="14"/>
      <c r="D160" s="544" t="str">
        <f t="shared" si="9"/>
        <v>PS7</v>
      </c>
      <c r="E160" s="523"/>
      <c r="F160" s="524" t="str">
        <f>Questions!E188</f>
        <v>Description of non conformance (mandatory)</v>
      </c>
      <c r="G160" s="88"/>
      <c r="H160" s="297" t="str">
        <f>Questions!D188</f>
        <v>n.e.</v>
      </c>
      <c r="I160" s="854" t="str">
        <f>IF(Questions!F188="","",Questions!F188)</f>
        <v/>
      </c>
      <c r="J160" s="88"/>
      <c r="K160" s="769"/>
      <c r="L160" s="772"/>
      <c r="M160" s="769"/>
      <c r="N160" s="88"/>
      <c r="O160" s="775"/>
      <c r="P160" s="88"/>
      <c r="Q160" s="769"/>
      <c r="R160" s="88"/>
      <c r="S160" s="769"/>
    </row>
    <row r="161" spans="1:19" ht="15.75" hidden="1">
      <c r="A161" s="16"/>
      <c r="B161" s="301" t="str">
        <f>Questions!$A$181</f>
        <v>6.3.1</v>
      </c>
      <c r="C161" s="14"/>
      <c r="D161" s="544" t="str">
        <f t="shared" si="9"/>
        <v>PS8</v>
      </c>
      <c r="E161" s="523"/>
      <c r="F161" s="524" t="str">
        <f>Questions!E189</f>
        <v>Description of non conformance (mandatory)</v>
      </c>
      <c r="G161" s="88"/>
      <c r="H161" s="297" t="str">
        <f>Questions!D189</f>
        <v>n.e.</v>
      </c>
      <c r="I161" s="854" t="str">
        <f>IF(Questions!F189="","",Questions!F189)</f>
        <v/>
      </c>
      <c r="J161" s="88"/>
      <c r="K161" s="769"/>
      <c r="L161" s="772"/>
      <c r="M161" s="769"/>
      <c r="N161" s="88"/>
      <c r="O161" s="775"/>
      <c r="P161" s="88"/>
      <c r="Q161" s="769"/>
      <c r="R161" s="88"/>
      <c r="S161" s="769"/>
    </row>
    <row r="162" spans="1:19" ht="15.75" hidden="1">
      <c r="A162" s="16"/>
      <c r="B162" s="301" t="str">
        <f>Questions!$A$181</f>
        <v>6.3.1</v>
      </c>
      <c r="C162" s="14"/>
      <c r="D162" s="544" t="str">
        <f t="shared" si="9"/>
        <v>PS9</v>
      </c>
      <c r="E162" s="523"/>
      <c r="F162" s="524" t="str">
        <f>Questions!E190</f>
        <v>Description of non conformance (mandatory)</v>
      </c>
      <c r="G162" s="88"/>
      <c r="H162" s="297" t="str">
        <f>Questions!D190</f>
        <v>n.e.</v>
      </c>
      <c r="I162" s="854" t="str">
        <f>IF(Questions!F190="","",Questions!F190)</f>
        <v/>
      </c>
      <c r="J162" s="88"/>
      <c r="K162" s="769"/>
      <c r="L162" s="772"/>
      <c r="M162" s="769"/>
      <c r="N162" s="88"/>
      <c r="O162" s="775"/>
      <c r="P162" s="88"/>
      <c r="Q162" s="769"/>
      <c r="R162" s="88"/>
      <c r="S162" s="769"/>
    </row>
    <row r="163" spans="1:19" ht="15.75" hidden="1">
      <c r="A163" s="16"/>
      <c r="B163" s="301" t="str">
        <f>Questions!$A$181</f>
        <v>6.3.1</v>
      </c>
      <c r="C163" s="14"/>
      <c r="D163" s="544" t="str">
        <f t="shared" si="9"/>
        <v>PS10</v>
      </c>
      <c r="E163" s="523"/>
      <c r="F163" s="524" t="str">
        <f>Questions!E191</f>
        <v>Description of non conformance (mandatory)</v>
      </c>
      <c r="G163" s="88"/>
      <c r="H163" s="297" t="str">
        <f>Questions!D191</f>
        <v>n.e.</v>
      </c>
      <c r="I163" s="854" t="str">
        <f>IF(Questions!F191="","",Questions!F191)</f>
        <v/>
      </c>
      <c r="J163" s="88"/>
      <c r="K163" s="769"/>
      <c r="L163" s="772"/>
      <c r="M163" s="769"/>
      <c r="N163" s="88"/>
      <c r="O163" s="775"/>
      <c r="P163" s="88"/>
      <c r="Q163" s="769"/>
      <c r="R163" s="88"/>
      <c r="S163" s="769"/>
    </row>
    <row r="164" spans="1:19" ht="15.75">
      <c r="A164" s="16"/>
      <c r="B164" s="313" t="str">
        <f>Questions!$A$192</f>
        <v>6.3.2</v>
      </c>
      <c r="C164" s="314"/>
      <c r="D164" s="545" t="str">
        <f>D154</f>
        <v>PS1</v>
      </c>
      <c r="E164" s="546"/>
      <c r="F164" s="548" t="str">
        <f>Questions!E193</f>
        <v>No weakness identified</v>
      </c>
      <c r="G164" s="315"/>
      <c r="H164" s="316">
        <f>Questions!D193</f>
        <v>10</v>
      </c>
      <c r="I164" s="859" t="str">
        <f>IF(Questions!F193="","",Questions!F193)</f>
        <v/>
      </c>
      <c r="J164" s="315"/>
      <c r="K164" s="771"/>
      <c r="L164" s="772"/>
      <c r="M164" s="771"/>
      <c r="N164" s="315"/>
      <c r="O164" s="779"/>
      <c r="P164" s="315"/>
      <c r="Q164" s="771"/>
      <c r="R164" s="315"/>
      <c r="S164" s="771"/>
    </row>
    <row r="165" spans="1:19" ht="30">
      <c r="A165" s="16"/>
      <c r="B165" s="301" t="str">
        <f>Questions!$A$192</f>
        <v>6.3.2</v>
      </c>
      <c r="C165" s="14"/>
      <c r="D165" s="544" t="str">
        <f>D155</f>
        <v>PS2</v>
      </c>
      <c r="E165" s="523"/>
      <c r="F165" s="524" t="str">
        <f>Questions!E194</f>
        <v>Safety and important characteristic are not identified by some operators.</v>
      </c>
      <c r="G165" s="88"/>
      <c r="H165" s="297">
        <f>Questions!D194</f>
        <v>6</v>
      </c>
      <c r="I165" s="854" t="str">
        <f>IF(Questions!F194="","",Questions!F194)</f>
        <v/>
      </c>
      <c r="J165" s="88"/>
      <c r="K165" s="769"/>
      <c r="L165" s="772"/>
      <c r="M165" s="769"/>
      <c r="N165" s="88"/>
      <c r="O165" s="775"/>
      <c r="P165" s="88"/>
      <c r="Q165" s="769"/>
      <c r="R165" s="88"/>
      <c r="S165" s="769"/>
    </row>
    <row r="166" spans="1:19" ht="15.75">
      <c r="A166" s="16"/>
      <c r="B166" s="301" t="str">
        <f>Questions!$A$192</f>
        <v>6.3.2</v>
      </c>
      <c r="C166" s="14"/>
      <c r="D166" s="544" t="str">
        <f>D156</f>
        <v>PS3</v>
      </c>
      <c r="E166" s="523"/>
      <c r="F166" s="524" t="str">
        <f>Questions!E195</f>
        <v>No weakness identified</v>
      </c>
      <c r="G166" s="88"/>
      <c r="H166" s="297">
        <f>Questions!D195</f>
        <v>10</v>
      </c>
      <c r="I166" s="854" t="str">
        <f>IF(Questions!F195="","",Questions!F195)</f>
        <v/>
      </c>
      <c r="J166" s="88"/>
      <c r="K166" s="769"/>
      <c r="L166" s="772"/>
      <c r="M166" s="769"/>
      <c r="N166" s="88"/>
      <c r="O166" s="775"/>
      <c r="P166" s="88"/>
      <c r="Q166" s="769"/>
      <c r="R166" s="88"/>
      <c r="S166" s="769"/>
    </row>
    <row r="167" spans="1:19" ht="15.75" hidden="1">
      <c r="A167" s="16"/>
      <c r="B167" s="301" t="str">
        <f>Questions!$A$192</f>
        <v>6.3.2</v>
      </c>
      <c r="C167" s="14"/>
      <c r="D167" s="544" t="str">
        <f t="shared" ref="D167:D173" si="10">D157</f>
        <v>PS4</v>
      </c>
      <c r="E167" s="523"/>
      <c r="F167" s="524" t="str">
        <f>Questions!E196</f>
        <v>Description of non conformance (mandatory)</v>
      </c>
      <c r="G167" s="88"/>
      <c r="H167" s="297" t="str">
        <f>Questions!D196</f>
        <v>n.e.</v>
      </c>
      <c r="I167" s="854" t="str">
        <f>IF(Questions!F196="","",Questions!F196)</f>
        <v/>
      </c>
      <c r="J167" s="88"/>
      <c r="K167" s="769"/>
      <c r="L167" s="772"/>
      <c r="M167" s="769"/>
      <c r="N167" s="88"/>
      <c r="O167" s="775"/>
      <c r="P167" s="88"/>
      <c r="Q167" s="769"/>
      <c r="R167" s="88"/>
      <c r="S167" s="769"/>
    </row>
    <row r="168" spans="1:19" ht="15.75" hidden="1">
      <c r="A168" s="16"/>
      <c r="B168" s="301" t="str">
        <f>Questions!$A$192</f>
        <v>6.3.2</v>
      </c>
      <c r="C168" s="14"/>
      <c r="D168" s="544" t="str">
        <f t="shared" si="10"/>
        <v>PS5</v>
      </c>
      <c r="E168" s="523"/>
      <c r="F168" s="524" t="str">
        <f>Questions!E197</f>
        <v>Description of non conformance (mandatory)</v>
      </c>
      <c r="G168" s="88"/>
      <c r="H168" s="297" t="str">
        <f>Questions!D197</f>
        <v>n.e.</v>
      </c>
      <c r="I168" s="854" t="str">
        <f>IF(Questions!F197="","",Questions!F197)</f>
        <v/>
      </c>
      <c r="J168" s="88"/>
      <c r="K168" s="769"/>
      <c r="L168" s="772"/>
      <c r="M168" s="769"/>
      <c r="N168" s="88"/>
      <c r="O168" s="775"/>
      <c r="P168" s="88"/>
      <c r="Q168" s="769"/>
      <c r="R168" s="88"/>
      <c r="S168" s="769"/>
    </row>
    <row r="169" spans="1:19" ht="15.75" hidden="1">
      <c r="A169" s="16"/>
      <c r="B169" s="301" t="str">
        <f>Questions!$A$192</f>
        <v>6.3.2</v>
      </c>
      <c r="C169" s="14"/>
      <c r="D169" s="544" t="str">
        <f t="shared" si="10"/>
        <v>PS6</v>
      </c>
      <c r="E169" s="523"/>
      <c r="F169" s="524" t="str">
        <f>Questions!E198</f>
        <v>Description of non conformance (mandatory)</v>
      </c>
      <c r="G169" s="88"/>
      <c r="H169" s="297" t="str">
        <f>Questions!D198</f>
        <v>n.e.</v>
      </c>
      <c r="I169" s="854" t="str">
        <f>IF(Questions!F198="","",Questions!F198)</f>
        <v/>
      </c>
      <c r="J169" s="88"/>
      <c r="K169" s="769"/>
      <c r="L169" s="772"/>
      <c r="M169" s="769"/>
      <c r="N169" s="88"/>
      <c r="O169" s="775"/>
      <c r="P169" s="88"/>
      <c r="Q169" s="769"/>
      <c r="R169" s="88"/>
      <c r="S169" s="769"/>
    </row>
    <row r="170" spans="1:19" ht="15.75" hidden="1">
      <c r="A170" s="16"/>
      <c r="B170" s="301" t="str">
        <f>Questions!$A$192</f>
        <v>6.3.2</v>
      </c>
      <c r="C170" s="14"/>
      <c r="D170" s="544" t="str">
        <f t="shared" si="10"/>
        <v>PS7</v>
      </c>
      <c r="E170" s="523"/>
      <c r="F170" s="524" t="str">
        <f>Questions!E199</f>
        <v>Description of non conformance (mandatory)</v>
      </c>
      <c r="G170" s="88"/>
      <c r="H170" s="297" t="str">
        <f>Questions!D199</f>
        <v>n.e.</v>
      </c>
      <c r="I170" s="854" t="str">
        <f>IF(Questions!F199="","",Questions!F199)</f>
        <v/>
      </c>
      <c r="J170" s="88"/>
      <c r="K170" s="769"/>
      <c r="L170" s="772"/>
      <c r="M170" s="769"/>
      <c r="N170" s="88"/>
      <c r="O170" s="775"/>
      <c r="P170" s="88"/>
      <c r="Q170" s="769"/>
      <c r="R170" s="88"/>
      <c r="S170" s="769"/>
    </row>
    <row r="171" spans="1:19" ht="15.75" hidden="1">
      <c r="A171" s="16"/>
      <c r="B171" s="301" t="str">
        <f>Questions!$A$192</f>
        <v>6.3.2</v>
      </c>
      <c r="C171" s="14"/>
      <c r="D171" s="544" t="str">
        <f t="shared" si="10"/>
        <v>PS8</v>
      </c>
      <c r="E171" s="523"/>
      <c r="F171" s="524" t="str">
        <f>Questions!E200</f>
        <v>Description of non conformance (mandatory)</v>
      </c>
      <c r="G171" s="88"/>
      <c r="H171" s="297" t="str">
        <f>Questions!D200</f>
        <v>n.e.</v>
      </c>
      <c r="I171" s="854" t="str">
        <f>IF(Questions!F200="","",Questions!F200)</f>
        <v/>
      </c>
      <c r="J171" s="88"/>
      <c r="K171" s="769"/>
      <c r="L171" s="772"/>
      <c r="M171" s="769"/>
      <c r="N171" s="88"/>
      <c r="O171" s="775"/>
      <c r="P171" s="88"/>
      <c r="Q171" s="769"/>
      <c r="R171" s="88"/>
      <c r="S171" s="769"/>
    </row>
    <row r="172" spans="1:19" ht="15.75" hidden="1">
      <c r="A172" s="16"/>
      <c r="B172" s="301" t="str">
        <f>Questions!$A$192</f>
        <v>6.3.2</v>
      </c>
      <c r="C172" s="14"/>
      <c r="D172" s="544" t="str">
        <f t="shared" si="10"/>
        <v>PS9</v>
      </c>
      <c r="E172" s="523"/>
      <c r="F172" s="524" t="str">
        <f>Questions!E201</f>
        <v>Description of non conformance (mandatory)</v>
      </c>
      <c r="G172" s="88"/>
      <c r="H172" s="297" t="str">
        <f>Questions!D201</f>
        <v>n.e.</v>
      </c>
      <c r="I172" s="854" t="str">
        <f>IF(Questions!F201="","",Questions!F201)</f>
        <v/>
      </c>
      <c r="J172" s="88"/>
      <c r="K172" s="769"/>
      <c r="L172" s="772"/>
      <c r="M172" s="769"/>
      <c r="N172" s="88"/>
      <c r="O172" s="775"/>
      <c r="P172" s="88"/>
      <c r="Q172" s="769"/>
      <c r="R172" s="88"/>
      <c r="S172" s="769"/>
    </row>
    <row r="173" spans="1:19" ht="15.75" hidden="1">
      <c r="A173" s="16"/>
      <c r="B173" s="301" t="str">
        <f>Questions!$A$192</f>
        <v>6.3.2</v>
      </c>
      <c r="C173" s="14"/>
      <c r="D173" s="544" t="str">
        <f t="shared" si="10"/>
        <v>PS10</v>
      </c>
      <c r="E173" s="526"/>
      <c r="F173" s="524" t="str">
        <f>Questions!E202</f>
        <v>Description of non conformance (mandatory)</v>
      </c>
      <c r="G173" s="88"/>
      <c r="H173" s="297" t="str">
        <f>Questions!D202</f>
        <v>n.e.</v>
      </c>
      <c r="I173" s="854" t="str">
        <f>IF(Questions!F202="","",Questions!F202)</f>
        <v/>
      </c>
      <c r="J173" s="88"/>
      <c r="K173" s="769"/>
      <c r="L173" s="772"/>
      <c r="M173" s="769"/>
      <c r="N173" s="88"/>
      <c r="O173" s="775"/>
      <c r="P173" s="88"/>
      <c r="Q173" s="769"/>
      <c r="R173" s="88"/>
      <c r="S173" s="769"/>
    </row>
    <row r="174" spans="1:19" ht="15.75">
      <c r="A174" s="16"/>
      <c r="B174" s="313" t="str">
        <f>Questions!$A$203</f>
        <v>6.3.3</v>
      </c>
      <c r="C174" s="314"/>
      <c r="D174" s="545" t="str">
        <f>D164</f>
        <v>PS1</v>
      </c>
      <c r="E174" s="547"/>
      <c r="F174" s="548" t="str">
        <f>Questions!E204</f>
        <v>No weakness identified</v>
      </c>
      <c r="G174" s="315"/>
      <c r="H174" s="316">
        <f>Questions!D204</f>
        <v>10</v>
      </c>
      <c r="I174" s="859" t="str">
        <f>IF(Questions!F204="","",Questions!F204)</f>
        <v/>
      </c>
      <c r="J174" s="315"/>
      <c r="K174" s="771"/>
      <c r="L174" s="772"/>
      <c r="M174" s="771"/>
      <c r="N174" s="315"/>
      <c r="O174" s="779"/>
      <c r="P174" s="315"/>
      <c r="Q174" s="771"/>
      <c r="R174" s="315"/>
      <c r="S174" s="771"/>
    </row>
    <row r="175" spans="1:19" ht="45">
      <c r="A175" s="16"/>
      <c r="B175" s="301" t="str">
        <f>Questions!$A$203</f>
        <v>6.3.3</v>
      </c>
      <c r="C175" s="14"/>
      <c r="D175" s="544" t="str">
        <f>D165</f>
        <v>PS2</v>
      </c>
      <c r="E175" s="526"/>
      <c r="F175" s="524" t="str">
        <f>Questions!E205</f>
        <v>The allocation of one Quality Auditor per shift for the entire factory appears insufficient to ensure effective quality monitoring and process follow-up.</v>
      </c>
      <c r="G175" s="88"/>
      <c r="H175" s="297">
        <f>Questions!D205</f>
        <v>4</v>
      </c>
      <c r="I175" s="854" t="str">
        <f>IF(Questions!F205="","",Questions!F205)</f>
        <v/>
      </c>
      <c r="J175" s="88"/>
      <c r="K175" s="769"/>
      <c r="L175" s="772"/>
      <c r="M175" s="769"/>
      <c r="N175" s="88"/>
      <c r="O175" s="775"/>
      <c r="P175" s="88"/>
      <c r="Q175" s="769"/>
      <c r="R175" s="88"/>
      <c r="S175" s="769"/>
    </row>
    <row r="176" spans="1:19" ht="15.75">
      <c r="A176" s="16"/>
      <c r="B176" s="301" t="str">
        <f>Questions!$A$203</f>
        <v>6.3.3</v>
      </c>
      <c r="C176" s="14"/>
      <c r="D176" s="544" t="str">
        <f t="shared" ref="D176:D183" si="11">D166</f>
        <v>PS3</v>
      </c>
      <c r="E176" s="526"/>
      <c r="F176" s="524" t="str">
        <f>Questions!E206</f>
        <v>No weakness identified</v>
      </c>
      <c r="G176" s="88"/>
      <c r="H176" s="297">
        <f>Questions!D206</f>
        <v>10</v>
      </c>
      <c r="I176" s="854" t="str">
        <f>IF(Questions!F206="","",Questions!F206)</f>
        <v/>
      </c>
      <c r="J176" s="88"/>
      <c r="K176" s="769"/>
      <c r="L176" s="772"/>
      <c r="M176" s="769"/>
      <c r="N176" s="88"/>
      <c r="O176" s="775"/>
      <c r="P176" s="88"/>
      <c r="Q176" s="769"/>
      <c r="R176" s="88"/>
      <c r="S176" s="769"/>
    </row>
    <row r="177" spans="1:19" ht="15.75" hidden="1">
      <c r="A177" s="16"/>
      <c r="B177" s="301" t="str">
        <f>Questions!$A$203</f>
        <v>6.3.3</v>
      </c>
      <c r="C177" s="14"/>
      <c r="D177" s="544" t="str">
        <f t="shared" si="11"/>
        <v>PS4</v>
      </c>
      <c r="E177" s="526"/>
      <c r="F177" s="524" t="str">
        <f>Questions!E207</f>
        <v>Description of non conformance (mandatory)</v>
      </c>
      <c r="G177" s="88"/>
      <c r="H177" s="297" t="str">
        <f>Questions!D207</f>
        <v>n.e.</v>
      </c>
      <c r="I177" s="854" t="str">
        <f>IF(Questions!F207="","",Questions!F207)</f>
        <v/>
      </c>
      <c r="J177" s="88"/>
      <c r="K177" s="769"/>
      <c r="L177" s="772"/>
      <c r="M177" s="769"/>
      <c r="N177" s="88"/>
      <c r="O177" s="775"/>
      <c r="P177" s="88"/>
      <c r="Q177" s="769"/>
      <c r="R177" s="88"/>
      <c r="S177" s="769"/>
    </row>
    <row r="178" spans="1:19" ht="15.75" hidden="1">
      <c r="A178" s="16"/>
      <c r="B178" s="301" t="str">
        <f>Questions!$A$203</f>
        <v>6.3.3</v>
      </c>
      <c r="C178" s="14"/>
      <c r="D178" s="544" t="str">
        <f t="shared" si="11"/>
        <v>PS5</v>
      </c>
      <c r="E178" s="526"/>
      <c r="F178" s="524" t="str">
        <f>Questions!E208</f>
        <v>Description of non conformance (mandatory)</v>
      </c>
      <c r="G178" s="88"/>
      <c r="H178" s="297" t="str">
        <f>Questions!D208</f>
        <v>n.e.</v>
      </c>
      <c r="I178" s="854" t="str">
        <f>IF(Questions!F208="","",Questions!F208)</f>
        <v/>
      </c>
      <c r="J178" s="88"/>
      <c r="K178" s="769"/>
      <c r="L178" s="772"/>
      <c r="M178" s="769"/>
      <c r="N178" s="88"/>
      <c r="O178" s="775"/>
      <c r="P178" s="88"/>
      <c r="Q178" s="769"/>
      <c r="R178" s="88"/>
      <c r="S178" s="769"/>
    </row>
    <row r="179" spans="1:19" ht="15.75" hidden="1">
      <c r="A179" s="16"/>
      <c r="B179" s="301" t="str">
        <f>Questions!$A$203</f>
        <v>6.3.3</v>
      </c>
      <c r="C179" s="14"/>
      <c r="D179" s="544" t="str">
        <f t="shared" si="11"/>
        <v>PS6</v>
      </c>
      <c r="E179" s="526"/>
      <c r="F179" s="524" t="str">
        <f>Questions!E209</f>
        <v>Description of non conformance (mandatory)</v>
      </c>
      <c r="G179" s="88"/>
      <c r="H179" s="297" t="str">
        <f>Questions!D209</f>
        <v>n.e.</v>
      </c>
      <c r="I179" s="854" t="str">
        <f>IF(Questions!F209="","",Questions!F209)</f>
        <v/>
      </c>
      <c r="J179" s="88"/>
      <c r="K179" s="769"/>
      <c r="L179" s="772"/>
      <c r="M179" s="769"/>
      <c r="N179" s="88"/>
      <c r="O179" s="775"/>
      <c r="P179" s="88"/>
      <c r="Q179" s="769"/>
      <c r="R179" s="88"/>
      <c r="S179" s="769"/>
    </row>
    <row r="180" spans="1:19" ht="15.75" hidden="1">
      <c r="A180" s="16"/>
      <c r="B180" s="301" t="str">
        <f>Questions!$A$203</f>
        <v>6.3.3</v>
      </c>
      <c r="C180" s="14"/>
      <c r="D180" s="544" t="str">
        <f t="shared" si="11"/>
        <v>PS7</v>
      </c>
      <c r="E180" s="526"/>
      <c r="F180" s="524" t="str">
        <f>Questions!E210</f>
        <v>Description of non conformance (mandatory)</v>
      </c>
      <c r="G180" s="88"/>
      <c r="H180" s="297" t="str">
        <f>Questions!D210</f>
        <v>n.e.</v>
      </c>
      <c r="I180" s="854" t="str">
        <f>IF(Questions!F210="","",Questions!F210)</f>
        <v/>
      </c>
      <c r="J180" s="88"/>
      <c r="K180" s="769"/>
      <c r="L180" s="772"/>
      <c r="M180" s="769"/>
      <c r="N180" s="88"/>
      <c r="O180" s="775"/>
      <c r="P180" s="88"/>
      <c r="Q180" s="769"/>
      <c r="R180" s="88"/>
      <c r="S180" s="769"/>
    </row>
    <row r="181" spans="1:19" ht="15.75" hidden="1">
      <c r="A181" s="16"/>
      <c r="B181" s="301" t="str">
        <f>Questions!$A$203</f>
        <v>6.3.3</v>
      </c>
      <c r="C181" s="14"/>
      <c r="D181" s="544" t="str">
        <f t="shared" si="11"/>
        <v>PS8</v>
      </c>
      <c r="E181" s="526"/>
      <c r="F181" s="524" t="str">
        <f>Questions!E211</f>
        <v>Description of non conformance (mandatory)</v>
      </c>
      <c r="G181" s="88"/>
      <c r="H181" s="297" t="str">
        <f>Questions!D211</f>
        <v>n.e.</v>
      </c>
      <c r="I181" s="854" t="str">
        <f>IF(Questions!F211="","",Questions!F211)</f>
        <v/>
      </c>
      <c r="J181" s="88"/>
      <c r="K181" s="769"/>
      <c r="L181" s="772"/>
      <c r="M181" s="769"/>
      <c r="N181" s="88"/>
      <c r="O181" s="775"/>
      <c r="P181" s="88"/>
      <c r="Q181" s="769"/>
      <c r="R181" s="88"/>
      <c r="S181" s="769"/>
    </row>
    <row r="182" spans="1:19" ht="15.75" hidden="1">
      <c r="A182" s="16"/>
      <c r="B182" s="301" t="str">
        <f>Questions!$A$203</f>
        <v>6.3.3</v>
      </c>
      <c r="C182" s="14"/>
      <c r="D182" s="544" t="str">
        <f t="shared" si="11"/>
        <v>PS9</v>
      </c>
      <c r="E182" s="526"/>
      <c r="F182" s="524" t="str">
        <f>Questions!E212</f>
        <v>Description of non conformance (mandatory)</v>
      </c>
      <c r="G182" s="88"/>
      <c r="H182" s="297" t="str">
        <f>Questions!D212</f>
        <v>n.e.</v>
      </c>
      <c r="I182" s="854" t="str">
        <f>IF(Questions!F212="","",Questions!F212)</f>
        <v/>
      </c>
      <c r="J182" s="88"/>
      <c r="K182" s="769"/>
      <c r="L182" s="772"/>
      <c r="M182" s="769"/>
      <c r="N182" s="88"/>
      <c r="O182" s="775"/>
      <c r="P182" s="88"/>
      <c r="Q182" s="769"/>
      <c r="R182" s="88"/>
      <c r="S182" s="769"/>
    </row>
    <row r="183" spans="1:19" ht="16.5" hidden="1" thickBot="1">
      <c r="A183" s="16"/>
      <c r="B183" s="307" t="str">
        <f>Questions!$A$203</f>
        <v>6.3.3</v>
      </c>
      <c r="C183" s="295"/>
      <c r="D183" s="888" t="str">
        <f t="shared" si="11"/>
        <v>PS10</v>
      </c>
      <c r="E183" s="539"/>
      <c r="F183" s="889" t="str">
        <f>Questions!E213</f>
        <v>Description of non conformance (mandatory)</v>
      </c>
      <c r="G183" s="296"/>
      <c r="H183" s="298" t="str">
        <f>Questions!D213</f>
        <v>n.e.</v>
      </c>
      <c r="I183" s="890" t="str">
        <f>IF(Questions!F213="","",Questions!F213)</f>
        <v/>
      </c>
      <c r="J183" s="296"/>
      <c r="K183" s="774"/>
      <c r="L183" s="774"/>
      <c r="M183" s="774"/>
      <c r="N183" s="296"/>
      <c r="O183" s="777"/>
      <c r="P183" s="296"/>
      <c r="Q183" s="774"/>
      <c r="R183" s="296"/>
      <c r="S183" s="774"/>
    </row>
    <row r="184" spans="1:19" ht="15.75">
      <c r="A184" s="16"/>
      <c r="B184" s="301" t="str">
        <f>Questions!$A$215</f>
        <v>6.4.1</v>
      </c>
      <c r="C184" s="14"/>
      <c r="D184" s="544" t="str">
        <f>D174</f>
        <v>PS1</v>
      </c>
      <c r="E184" s="523"/>
      <c r="F184" s="524" t="str">
        <f>Questions!E216</f>
        <v>No weakness identified</v>
      </c>
      <c r="G184" s="88"/>
      <c r="H184" s="297">
        <f>Questions!D216</f>
        <v>10</v>
      </c>
      <c r="I184" s="854" t="str">
        <f>IF(Questions!F216="","",Questions!F216)</f>
        <v/>
      </c>
      <c r="J184" s="88"/>
      <c r="K184" s="769"/>
      <c r="L184" s="772"/>
      <c r="M184" s="769"/>
      <c r="N184" s="88"/>
      <c r="O184" s="775"/>
      <c r="P184" s="88"/>
      <c r="Q184" s="769"/>
      <c r="R184" s="88"/>
      <c r="S184" s="769"/>
    </row>
    <row r="185" spans="1:19" ht="15.75">
      <c r="A185" s="16"/>
      <c r="B185" s="301" t="str">
        <f>Questions!$A$215</f>
        <v>6.4.1</v>
      </c>
      <c r="C185" s="14"/>
      <c r="D185" s="544" t="str">
        <f>D175</f>
        <v>PS2</v>
      </c>
      <c r="E185" s="523"/>
      <c r="F185" s="524" t="str">
        <f>Questions!E217</f>
        <v>No weakness identified</v>
      </c>
      <c r="G185" s="88"/>
      <c r="H185" s="297">
        <f>Questions!D217</f>
        <v>10</v>
      </c>
      <c r="I185" s="854" t="str">
        <f>IF(Questions!F217="","",Questions!F217)</f>
        <v/>
      </c>
      <c r="J185" s="88"/>
      <c r="K185" s="769"/>
      <c r="L185" s="772"/>
      <c r="M185" s="769"/>
      <c r="N185" s="88"/>
      <c r="O185" s="775"/>
      <c r="P185" s="88"/>
      <c r="Q185" s="769"/>
      <c r="R185" s="88"/>
      <c r="S185" s="769"/>
    </row>
    <row r="186" spans="1:19" ht="15.75">
      <c r="A186" s="16"/>
      <c r="B186" s="301" t="str">
        <f>Questions!$A$215</f>
        <v>6.4.1</v>
      </c>
      <c r="C186" s="14"/>
      <c r="D186" s="544" t="str">
        <f>D176</f>
        <v>PS3</v>
      </c>
      <c r="E186" s="523"/>
      <c r="F186" s="524" t="str">
        <f>Questions!E218</f>
        <v>No weakness identified</v>
      </c>
      <c r="G186" s="88"/>
      <c r="H186" s="297">
        <f>Questions!D218</f>
        <v>10</v>
      </c>
      <c r="I186" s="854" t="str">
        <f>IF(Questions!F218="","",Questions!F218)</f>
        <v/>
      </c>
      <c r="J186" s="88"/>
      <c r="K186" s="769"/>
      <c r="L186" s="772"/>
      <c r="M186" s="769"/>
      <c r="N186" s="88"/>
      <c r="O186" s="775"/>
      <c r="P186" s="88"/>
      <c r="Q186" s="769"/>
      <c r="R186" s="88"/>
      <c r="S186" s="769"/>
    </row>
    <row r="187" spans="1:19" ht="15.75" hidden="1">
      <c r="A187" s="16"/>
      <c r="B187" s="301" t="str">
        <f>Questions!$A$215</f>
        <v>6.4.1</v>
      </c>
      <c r="C187" s="14"/>
      <c r="D187" s="544" t="str">
        <f t="shared" ref="D187:D193" si="12">D177</f>
        <v>PS4</v>
      </c>
      <c r="E187" s="523"/>
      <c r="F187" s="524" t="str">
        <f>Questions!E219</f>
        <v>Description of non conformance (mandatory)</v>
      </c>
      <c r="G187" s="88"/>
      <c r="H187" s="297" t="str">
        <f>Questions!D219</f>
        <v>n.e.</v>
      </c>
      <c r="I187" s="854" t="str">
        <f>IF(Questions!F219="","",Questions!F219)</f>
        <v/>
      </c>
      <c r="J187" s="88"/>
      <c r="K187" s="769"/>
      <c r="L187" s="772"/>
      <c r="M187" s="769"/>
      <c r="N187" s="88"/>
      <c r="O187" s="775"/>
      <c r="P187" s="88"/>
      <c r="Q187" s="769"/>
      <c r="R187" s="88"/>
      <c r="S187" s="769"/>
    </row>
    <row r="188" spans="1:19" ht="15.75" hidden="1">
      <c r="A188" s="16"/>
      <c r="B188" s="301" t="str">
        <f>Questions!$A$215</f>
        <v>6.4.1</v>
      </c>
      <c r="C188" s="14"/>
      <c r="D188" s="544" t="str">
        <f t="shared" si="12"/>
        <v>PS5</v>
      </c>
      <c r="E188" s="523"/>
      <c r="F188" s="524" t="str">
        <f>Questions!E220</f>
        <v>Description of non conformance (mandatory)</v>
      </c>
      <c r="G188" s="88"/>
      <c r="H188" s="297" t="str">
        <f>Questions!D220</f>
        <v>n.e.</v>
      </c>
      <c r="I188" s="854" t="str">
        <f>IF(Questions!F220="","",Questions!F220)</f>
        <v/>
      </c>
      <c r="J188" s="88"/>
      <c r="K188" s="769"/>
      <c r="L188" s="772"/>
      <c r="M188" s="769"/>
      <c r="N188" s="88"/>
      <c r="O188" s="775"/>
      <c r="P188" s="88"/>
      <c r="Q188" s="769"/>
      <c r="R188" s="88"/>
      <c r="S188" s="769"/>
    </row>
    <row r="189" spans="1:19" ht="15.75" hidden="1">
      <c r="A189" s="16"/>
      <c r="B189" s="301" t="str">
        <f>Questions!$A$215</f>
        <v>6.4.1</v>
      </c>
      <c r="C189" s="14"/>
      <c r="D189" s="544" t="str">
        <f t="shared" si="12"/>
        <v>PS6</v>
      </c>
      <c r="E189" s="523"/>
      <c r="F189" s="524" t="str">
        <f>Questions!E221</f>
        <v>Description of non conformance (mandatory)</v>
      </c>
      <c r="G189" s="88"/>
      <c r="H189" s="297" t="str">
        <f>Questions!D221</f>
        <v>n.e.</v>
      </c>
      <c r="I189" s="854" t="str">
        <f>IF(Questions!F221="","",Questions!F221)</f>
        <v/>
      </c>
      <c r="J189" s="88"/>
      <c r="K189" s="769"/>
      <c r="L189" s="772"/>
      <c r="M189" s="769"/>
      <c r="N189" s="88"/>
      <c r="O189" s="775"/>
      <c r="P189" s="88"/>
      <c r="Q189" s="769"/>
      <c r="R189" s="88"/>
      <c r="S189" s="769"/>
    </row>
    <row r="190" spans="1:19" ht="15.75" hidden="1">
      <c r="A190" s="16"/>
      <c r="B190" s="301" t="str">
        <f>Questions!$A$215</f>
        <v>6.4.1</v>
      </c>
      <c r="C190" s="14"/>
      <c r="D190" s="544" t="str">
        <f t="shared" si="12"/>
        <v>PS7</v>
      </c>
      <c r="E190" s="523"/>
      <c r="F190" s="524" t="str">
        <f>Questions!E222</f>
        <v>Description of non conformance (mandatory)</v>
      </c>
      <c r="G190" s="88"/>
      <c r="H190" s="297" t="str">
        <f>Questions!D222</f>
        <v>n.e.</v>
      </c>
      <c r="I190" s="854" t="str">
        <f>IF(Questions!F222="","",Questions!F222)</f>
        <v/>
      </c>
      <c r="J190" s="88"/>
      <c r="K190" s="769"/>
      <c r="L190" s="772"/>
      <c r="M190" s="769"/>
      <c r="N190" s="88"/>
      <c r="O190" s="775"/>
      <c r="P190" s="88"/>
      <c r="Q190" s="769"/>
      <c r="R190" s="88"/>
      <c r="S190" s="769"/>
    </row>
    <row r="191" spans="1:19" ht="15.75" hidden="1">
      <c r="A191" s="16"/>
      <c r="B191" s="301" t="str">
        <f>Questions!$A$215</f>
        <v>6.4.1</v>
      </c>
      <c r="C191" s="14"/>
      <c r="D191" s="544" t="str">
        <f t="shared" si="12"/>
        <v>PS8</v>
      </c>
      <c r="E191" s="523"/>
      <c r="F191" s="524" t="str">
        <f>Questions!E223</f>
        <v>Description of non conformance (mandatory)</v>
      </c>
      <c r="G191" s="88"/>
      <c r="H191" s="297" t="str">
        <f>Questions!D223</f>
        <v>n.e.</v>
      </c>
      <c r="I191" s="854" t="str">
        <f>IF(Questions!F223="","",Questions!F223)</f>
        <v/>
      </c>
      <c r="J191" s="88"/>
      <c r="K191" s="769"/>
      <c r="L191" s="772"/>
      <c r="M191" s="769"/>
      <c r="N191" s="88"/>
      <c r="O191" s="775"/>
      <c r="P191" s="88"/>
      <c r="Q191" s="769"/>
      <c r="R191" s="88"/>
      <c r="S191" s="769"/>
    </row>
    <row r="192" spans="1:19" ht="15.75" hidden="1">
      <c r="A192" s="16"/>
      <c r="B192" s="301" t="str">
        <f>Questions!$A$215</f>
        <v>6.4.1</v>
      </c>
      <c r="C192" s="14"/>
      <c r="D192" s="544" t="str">
        <f t="shared" si="12"/>
        <v>PS9</v>
      </c>
      <c r="E192" s="523"/>
      <c r="F192" s="524" t="str">
        <f>Questions!E224</f>
        <v>Description of non conformance (mandatory)</v>
      </c>
      <c r="G192" s="88"/>
      <c r="H192" s="297" t="str">
        <f>Questions!D224</f>
        <v>n.e.</v>
      </c>
      <c r="I192" s="854" t="str">
        <f>IF(Questions!F224="","",Questions!F224)</f>
        <v/>
      </c>
      <c r="J192" s="88"/>
      <c r="K192" s="769"/>
      <c r="L192" s="772"/>
      <c r="M192" s="769"/>
      <c r="N192" s="88"/>
      <c r="O192" s="775"/>
      <c r="P192" s="88"/>
      <c r="Q192" s="769"/>
      <c r="R192" s="88"/>
      <c r="S192" s="769"/>
    </row>
    <row r="193" spans="1:19" ht="15.75" hidden="1">
      <c r="A193" s="16"/>
      <c r="B193" s="301" t="str">
        <f>Questions!$A$215</f>
        <v>6.4.1</v>
      </c>
      <c r="C193" s="14"/>
      <c r="D193" s="544" t="str">
        <f t="shared" si="12"/>
        <v>PS10</v>
      </c>
      <c r="E193" s="523"/>
      <c r="F193" s="524" t="str">
        <f>Questions!E225</f>
        <v>Description of non conformance (mandatory)</v>
      </c>
      <c r="G193" s="88"/>
      <c r="H193" s="297" t="str">
        <f>Questions!D225</f>
        <v>n.e.</v>
      </c>
      <c r="I193" s="854" t="str">
        <f>IF(Questions!F225="","",Questions!F225)</f>
        <v/>
      </c>
      <c r="J193" s="88"/>
      <c r="K193" s="769"/>
      <c r="L193" s="772"/>
      <c r="M193" s="769"/>
      <c r="N193" s="88"/>
      <c r="O193" s="775"/>
      <c r="P193" s="88"/>
      <c r="Q193" s="769"/>
      <c r="R193" s="88"/>
      <c r="S193" s="769"/>
    </row>
    <row r="194" spans="1:19" ht="15.75">
      <c r="A194" s="16"/>
      <c r="B194" s="313" t="str">
        <f>Questions!$A$226</f>
        <v>6.4.2</v>
      </c>
      <c r="C194" s="314"/>
      <c r="D194" s="545" t="str">
        <f>D184</f>
        <v>PS1</v>
      </c>
      <c r="E194" s="546"/>
      <c r="F194" s="548" t="str">
        <f>Questions!E227</f>
        <v>No weakness identified</v>
      </c>
      <c r="G194" s="315"/>
      <c r="H194" s="316">
        <f>Questions!D227</f>
        <v>10</v>
      </c>
      <c r="I194" s="859" t="str">
        <f>IF(Questions!F227="","",Questions!F227)</f>
        <v/>
      </c>
      <c r="J194" s="315"/>
      <c r="K194" s="771"/>
      <c r="L194" s="772"/>
      <c r="M194" s="771"/>
      <c r="N194" s="315"/>
      <c r="O194" s="779"/>
      <c r="P194" s="315"/>
      <c r="Q194" s="771"/>
      <c r="R194" s="315"/>
      <c r="S194" s="771"/>
    </row>
    <row r="195" spans="1:19" ht="150">
      <c r="A195" s="16"/>
      <c r="B195" s="301" t="str">
        <f>Questions!$A$226</f>
        <v>6.4.2</v>
      </c>
      <c r="C195" s="14"/>
      <c r="D195" s="544" t="str">
        <f>D185</f>
        <v>PS2</v>
      </c>
      <c r="E195" s="523"/>
      <c r="F195" s="524" t="str">
        <f>Questions!E228</f>
        <v>A camera-based piston discrimination system at the machining station was found malfunctioning during our visit, causing repeated line jams and pistons falling to the floor. No maintenance intervention, incident log, or corrective action was evidenced during the entire observation period. The operator continued production without halting the line or alerting maintenance, indicating the absence of a defined reaction plan for equipment failure at this station.</v>
      </c>
      <c r="G195" s="88"/>
      <c r="H195" s="297">
        <f>Questions!D228</f>
        <v>4</v>
      </c>
      <c r="I195" s="854" t="str">
        <f>IF(Questions!F228="","",Questions!F228)</f>
        <v/>
      </c>
      <c r="J195" s="88"/>
      <c r="K195" s="769"/>
      <c r="L195" s="772"/>
      <c r="M195" s="769"/>
      <c r="N195" s="88"/>
      <c r="O195" s="775"/>
      <c r="P195" s="88"/>
      <c r="Q195" s="769"/>
      <c r="R195" s="88"/>
      <c r="S195" s="769"/>
    </row>
    <row r="196" spans="1:19" ht="15.75">
      <c r="A196" s="16"/>
      <c r="B196" s="301" t="str">
        <f>Questions!$A$226</f>
        <v>6.4.2</v>
      </c>
      <c r="C196" s="14"/>
      <c r="D196" s="544" t="str">
        <f>D186</f>
        <v>PS3</v>
      </c>
      <c r="E196" s="523"/>
      <c r="F196" s="524" t="str">
        <f>Questions!E229</f>
        <v>No weakness identified</v>
      </c>
      <c r="G196" s="88"/>
      <c r="H196" s="297">
        <f>Questions!D229</f>
        <v>10</v>
      </c>
      <c r="I196" s="854" t="str">
        <f>IF(Questions!F229="","",Questions!F229)</f>
        <v/>
      </c>
      <c r="J196" s="88"/>
      <c r="K196" s="769"/>
      <c r="L196" s="772"/>
      <c r="M196" s="769"/>
      <c r="N196" s="88"/>
      <c r="O196" s="775"/>
      <c r="P196" s="88"/>
      <c r="Q196" s="769"/>
      <c r="R196" s="88"/>
      <c r="S196" s="769"/>
    </row>
    <row r="197" spans="1:19" ht="15.75" hidden="1">
      <c r="A197" s="16"/>
      <c r="B197" s="301" t="str">
        <f>Questions!$A$226</f>
        <v>6.4.2</v>
      </c>
      <c r="C197" s="14"/>
      <c r="D197" s="544" t="str">
        <f t="shared" ref="D197:D203" si="13">D187</f>
        <v>PS4</v>
      </c>
      <c r="E197" s="523"/>
      <c r="F197" s="524" t="str">
        <f>Questions!E230</f>
        <v>Description of non conformance (mandatory)</v>
      </c>
      <c r="G197" s="88"/>
      <c r="H197" s="297" t="str">
        <f>Questions!D230</f>
        <v>n.e.</v>
      </c>
      <c r="I197" s="854" t="str">
        <f>IF(Questions!F230="","",Questions!F230)</f>
        <v/>
      </c>
      <c r="J197" s="88"/>
      <c r="K197" s="769"/>
      <c r="L197" s="772"/>
      <c r="M197" s="769"/>
      <c r="N197" s="88"/>
      <c r="O197" s="775"/>
      <c r="P197" s="88"/>
      <c r="Q197" s="769"/>
      <c r="R197" s="88"/>
      <c r="S197" s="769"/>
    </row>
    <row r="198" spans="1:19" ht="15.75" hidden="1">
      <c r="A198" s="16"/>
      <c r="B198" s="301" t="str">
        <f>Questions!$A$226</f>
        <v>6.4.2</v>
      </c>
      <c r="C198" s="14"/>
      <c r="D198" s="544" t="str">
        <f t="shared" si="13"/>
        <v>PS5</v>
      </c>
      <c r="E198" s="523"/>
      <c r="F198" s="524" t="str">
        <f>Questions!E231</f>
        <v>Description of non conformance (mandatory)</v>
      </c>
      <c r="G198" s="88"/>
      <c r="H198" s="297" t="str">
        <f>Questions!D231</f>
        <v>n.e.</v>
      </c>
      <c r="I198" s="854" t="str">
        <f>IF(Questions!F231="","",Questions!F231)</f>
        <v/>
      </c>
      <c r="J198" s="88"/>
      <c r="K198" s="769"/>
      <c r="L198" s="772"/>
      <c r="M198" s="769"/>
      <c r="N198" s="88"/>
      <c r="O198" s="775"/>
      <c r="P198" s="88"/>
      <c r="Q198" s="769"/>
      <c r="R198" s="88"/>
      <c r="S198" s="769"/>
    </row>
    <row r="199" spans="1:19" ht="15.75" hidden="1">
      <c r="A199" s="16"/>
      <c r="B199" s="301" t="str">
        <f>Questions!$A$226</f>
        <v>6.4.2</v>
      </c>
      <c r="C199" s="14"/>
      <c r="D199" s="544" t="str">
        <f t="shared" si="13"/>
        <v>PS6</v>
      </c>
      <c r="E199" s="523"/>
      <c r="F199" s="524" t="str">
        <f>Questions!E232</f>
        <v>Description of non conformance (mandatory)</v>
      </c>
      <c r="G199" s="88"/>
      <c r="H199" s="297" t="str">
        <f>Questions!D232</f>
        <v>n.e.</v>
      </c>
      <c r="I199" s="854" t="str">
        <f>IF(Questions!F232="","",Questions!F232)</f>
        <v/>
      </c>
      <c r="J199" s="88"/>
      <c r="K199" s="769"/>
      <c r="L199" s="772"/>
      <c r="M199" s="769"/>
      <c r="N199" s="88"/>
      <c r="O199" s="775"/>
      <c r="P199" s="88"/>
      <c r="Q199" s="769"/>
      <c r="R199" s="88"/>
      <c r="S199" s="769"/>
    </row>
    <row r="200" spans="1:19" ht="15.75" hidden="1">
      <c r="A200" s="16"/>
      <c r="B200" s="301" t="str">
        <f>Questions!$A$226</f>
        <v>6.4.2</v>
      </c>
      <c r="C200" s="14"/>
      <c r="D200" s="544" t="str">
        <f t="shared" si="13"/>
        <v>PS7</v>
      </c>
      <c r="E200" s="523"/>
      <c r="F200" s="524" t="str">
        <f>Questions!E233</f>
        <v>Description of non conformance (mandatory)</v>
      </c>
      <c r="G200" s="88"/>
      <c r="H200" s="297" t="str">
        <f>Questions!D233</f>
        <v>n.e.</v>
      </c>
      <c r="I200" s="854" t="str">
        <f>IF(Questions!F233="","",Questions!F233)</f>
        <v/>
      </c>
      <c r="J200" s="88"/>
      <c r="K200" s="769"/>
      <c r="L200" s="772"/>
      <c r="M200" s="769"/>
      <c r="N200" s="88"/>
      <c r="O200" s="775"/>
      <c r="P200" s="88"/>
      <c r="Q200" s="769"/>
      <c r="R200" s="88"/>
      <c r="S200" s="769"/>
    </row>
    <row r="201" spans="1:19" ht="15.75" hidden="1">
      <c r="A201" s="16"/>
      <c r="B201" s="301" t="str">
        <f>Questions!$A$226</f>
        <v>6.4.2</v>
      </c>
      <c r="C201" s="14"/>
      <c r="D201" s="544" t="str">
        <f t="shared" si="13"/>
        <v>PS8</v>
      </c>
      <c r="E201" s="523"/>
      <c r="F201" s="524" t="str">
        <f>Questions!E234</f>
        <v>Description of non conformance (mandatory)</v>
      </c>
      <c r="G201" s="88"/>
      <c r="H201" s="297" t="str">
        <f>Questions!D234</f>
        <v>n.e.</v>
      </c>
      <c r="I201" s="854" t="str">
        <f>IF(Questions!F234="","",Questions!F234)</f>
        <v/>
      </c>
      <c r="J201" s="88"/>
      <c r="K201" s="769"/>
      <c r="L201" s="772"/>
      <c r="M201" s="769"/>
      <c r="N201" s="88"/>
      <c r="O201" s="775"/>
      <c r="P201" s="88"/>
      <c r="Q201" s="769"/>
      <c r="R201" s="88"/>
      <c r="S201" s="769"/>
    </row>
    <row r="202" spans="1:19" ht="15.75" hidden="1">
      <c r="A202" s="16"/>
      <c r="B202" s="301" t="str">
        <f>Questions!$A$226</f>
        <v>6.4.2</v>
      </c>
      <c r="C202" s="14"/>
      <c r="D202" s="544" t="str">
        <f t="shared" si="13"/>
        <v>PS9</v>
      </c>
      <c r="E202" s="523"/>
      <c r="F202" s="524" t="str">
        <f>Questions!E235</f>
        <v>Description of non conformance (mandatory)</v>
      </c>
      <c r="G202" s="88"/>
      <c r="H202" s="297" t="str">
        <f>Questions!D235</f>
        <v>n.e.</v>
      </c>
      <c r="I202" s="854" t="str">
        <f>IF(Questions!F235="","",Questions!F235)</f>
        <v/>
      </c>
      <c r="J202" s="88"/>
      <c r="K202" s="769"/>
      <c r="L202" s="772"/>
      <c r="M202" s="769"/>
      <c r="N202" s="88"/>
      <c r="O202" s="775"/>
      <c r="P202" s="88"/>
      <c r="Q202" s="769"/>
      <c r="R202" s="88"/>
      <c r="S202" s="769"/>
    </row>
    <row r="203" spans="1:19" ht="15.75" hidden="1">
      <c r="A203" s="16"/>
      <c r="B203" s="301" t="str">
        <f>Questions!$A$226</f>
        <v>6.4.2</v>
      </c>
      <c r="C203" s="14"/>
      <c r="D203" s="544" t="str">
        <f t="shared" si="13"/>
        <v>PS10</v>
      </c>
      <c r="E203" s="523"/>
      <c r="F203" s="524" t="str">
        <f>Questions!E236</f>
        <v>Description of non conformance (mandatory)</v>
      </c>
      <c r="G203" s="88"/>
      <c r="H203" s="297" t="str">
        <f>Questions!D236</f>
        <v>n.e.</v>
      </c>
      <c r="I203" s="854" t="str">
        <f>IF(Questions!F236="","",Questions!F236)</f>
        <v/>
      </c>
      <c r="J203" s="88"/>
      <c r="K203" s="769"/>
      <c r="L203" s="772"/>
      <c r="M203" s="769"/>
      <c r="N203" s="88"/>
      <c r="O203" s="775"/>
      <c r="P203" s="88"/>
      <c r="Q203" s="769"/>
      <c r="R203" s="88"/>
      <c r="S203" s="769"/>
    </row>
    <row r="204" spans="1:19" ht="15.75">
      <c r="A204" s="16"/>
      <c r="B204" s="313" t="str">
        <f>Questions!$A$237</f>
        <v>6.4.3</v>
      </c>
      <c r="C204" s="314"/>
      <c r="D204" s="545" t="str">
        <f>D194</f>
        <v>PS1</v>
      </c>
      <c r="E204" s="546"/>
      <c r="F204" s="548" t="str">
        <f>Questions!E238</f>
        <v>No weakness identified</v>
      </c>
      <c r="G204" s="315"/>
      <c r="H204" s="316">
        <f>Questions!D238</f>
        <v>10</v>
      </c>
      <c r="I204" s="859" t="str">
        <f>IF(Questions!F238="","",Questions!F238)</f>
        <v/>
      </c>
      <c r="J204" s="315"/>
      <c r="K204" s="771"/>
      <c r="L204" s="772"/>
      <c r="M204" s="771"/>
      <c r="N204" s="315"/>
      <c r="O204" s="779"/>
      <c r="P204" s="315"/>
      <c r="Q204" s="771"/>
      <c r="R204" s="315"/>
      <c r="S204" s="771"/>
    </row>
    <row r="205" spans="1:19" ht="60">
      <c r="A205" s="16"/>
      <c r="B205" s="301" t="str">
        <f>Questions!$A$237</f>
        <v>6.4.3</v>
      </c>
      <c r="C205" s="14"/>
      <c r="D205" s="544" t="str">
        <f>D195</f>
        <v>PS2</v>
      </c>
      <c r="E205" s="523"/>
      <c r="F205" s="524" t="str">
        <f>Questions!E239</f>
        <v>The current camera system used for scratch detection is outdated and may not be adequate to ensure effective defect detection. Upgrade its ongoing.</v>
      </c>
      <c r="G205" s="88"/>
      <c r="H205" s="297">
        <f>Questions!D239</f>
        <v>6</v>
      </c>
      <c r="I205" s="854" t="str">
        <f>IF(Questions!F239="","",Questions!F239)</f>
        <v/>
      </c>
      <c r="J205" s="88"/>
      <c r="K205" s="769"/>
      <c r="L205" s="772"/>
      <c r="M205" s="769"/>
      <c r="N205" s="88"/>
      <c r="O205" s="775"/>
      <c r="P205" s="88"/>
      <c r="Q205" s="769"/>
      <c r="R205" s="88"/>
      <c r="S205" s="769"/>
    </row>
    <row r="206" spans="1:19" ht="15.75">
      <c r="A206" s="16"/>
      <c r="B206" s="301" t="str">
        <f>Questions!$A$237</f>
        <v>6.4.3</v>
      </c>
      <c r="C206" s="14"/>
      <c r="D206" s="544" t="str">
        <f>D196</f>
        <v>PS3</v>
      </c>
      <c r="E206" s="523"/>
      <c r="F206" s="524" t="str">
        <f>Questions!E240</f>
        <v>No weakness identified</v>
      </c>
      <c r="G206" s="88"/>
      <c r="H206" s="297">
        <f>Questions!D240</f>
        <v>10</v>
      </c>
      <c r="I206" s="854" t="str">
        <f>IF(Questions!F240="","",Questions!F240)</f>
        <v/>
      </c>
      <c r="J206" s="88"/>
      <c r="K206" s="769"/>
      <c r="L206" s="772"/>
      <c r="M206" s="769"/>
      <c r="N206" s="88"/>
      <c r="O206" s="775"/>
      <c r="P206" s="88"/>
      <c r="Q206" s="769"/>
      <c r="R206" s="88"/>
      <c r="S206" s="769"/>
    </row>
    <row r="207" spans="1:19" ht="15.75" hidden="1">
      <c r="A207" s="16"/>
      <c r="B207" s="301" t="str">
        <f>Questions!$A$237</f>
        <v>6.4.3</v>
      </c>
      <c r="C207" s="14"/>
      <c r="D207" s="544" t="str">
        <f t="shared" ref="D207:D213" si="14">D197</f>
        <v>PS4</v>
      </c>
      <c r="E207" s="523"/>
      <c r="F207" s="524" t="str">
        <f>Questions!E241</f>
        <v>Description of non conformance (mandatory)</v>
      </c>
      <c r="G207" s="88"/>
      <c r="H207" s="297" t="str">
        <f>Questions!D241</f>
        <v>n.e.</v>
      </c>
      <c r="I207" s="854" t="str">
        <f>IF(Questions!F241="","",Questions!F241)</f>
        <v/>
      </c>
      <c r="J207" s="88"/>
      <c r="K207" s="769"/>
      <c r="L207" s="772"/>
      <c r="M207" s="769"/>
      <c r="N207" s="88"/>
      <c r="O207" s="775"/>
      <c r="P207" s="88"/>
      <c r="Q207" s="769"/>
      <c r="R207" s="88"/>
      <c r="S207" s="769"/>
    </row>
    <row r="208" spans="1:19" ht="15.75" hidden="1">
      <c r="A208" s="16"/>
      <c r="B208" s="301" t="str">
        <f>Questions!$A$237</f>
        <v>6.4.3</v>
      </c>
      <c r="C208" s="14"/>
      <c r="D208" s="544" t="str">
        <f t="shared" si="14"/>
        <v>PS5</v>
      </c>
      <c r="E208" s="523"/>
      <c r="F208" s="524" t="str">
        <f>Questions!E242</f>
        <v>Description of non conformance (mandatory)</v>
      </c>
      <c r="G208" s="88"/>
      <c r="H208" s="297" t="str">
        <f>Questions!D242</f>
        <v>n.e.</v>
      </c>
      <c r="I208" s="854" t="str">
        <f>IF(Questions!F242="","",Questions!F242)</f>
        <v/>
      </c>
      <c r="J208" s="88"/>
      <c r="K208" s="769"/>
      <c r="L208" s="772"/>
      <c r="M208" s="769"/>
      <c r="N208" s="88"/>
      <c r="O208" s="775"/>
      <c r="P208" s="88"/>
      <c r="Q208" s="769"/>
      <c r="R208" s="88"/>
      <c r="S208" s="769"/>
    </row>
    <row r="209" spans="1:19" ht="15.75" hidden="1">
      <c r="A209" s="16"/>
      <c r="B209" s="301" t="str">
        <f>Questions!$A$237</f>
        <v>6.4.3</v>
      </c>
      <c r="C209" s="14"/>
      <c r="D209" s="544" t="str">
        <f t="shared" si="14"/>
        <v>PS6</v>
      </c>
      <c r="E209" s="523"/>
      <c r="F209" s="524" t="str">
        <f>Questions!E243</f>
        <v>Description of non conformance (mandatory)</v>
      </c>
      <c r="G209" s="88"/>
      <c r="H209" s="297" t="str">
        <f>Questions!D243</f>
        <v>n.e.</v>
      </c>
      <c r="I209" s="854" t="str">
        <f>IF(Questions!F243="","",Questions!F243)</f>
        <v/>
      </c>
      <c r="J209" s="88"/>
      <c r="K209" s="769"/>
      <c r="L209" s="772"/>
      <c r="M209" s="769"/>
      <c r="N209" s="88"/>
      <c r="O209" s="775"/>
      <c r="P209" s="88"/>
      <c r="Q209" s="769"/>
      <c r="R209" s="88"/>
      <c r="S209" s="769"/>
    </row>
    <row r="210" spans="1:19" ht="15.75" hidden="1">
      <c r="A210" s="16"/>
      <c r="B210" s="301" t="str">
        <f>Questions!$A$237</f>
        <v>6.4.3</v>
      </c>
      <c r="C210" s="14"/>
      <c r="D210" s="544" t="str">
        <f t="shared" si="14"/>
        <v>PS7</v>
      </c>
      <c r="E210" s="523"/>
      <c r="F210" s="524" t="str">
        <f>Questions!E244</f>
        <v>Description of non conformance (mandatory)</v>
      </c>
      <c r="G210" s="88"/>
      <c r="H210" s="297" t="str">
        <f>Questions!D244</f>
        <v>n.e.</v>
      </c>
      <c r="I210" s="854" t="str">
        <f>IF(Questions!F244="","",Questions!F244)</f>
        <v/>
      </c>
      <c r="J210" s="88"/>
      <c r="K210" s="769"/>
      <c r="L210" s="772"/>
      <c r="M210" s="769"/>
      <c r="N210" s="88"/>
      <c r="O210" s="775"/>
      <c r="P210" s="88"/>
      <c r="Q210" s="769"/>
      <c r="R210" s="88"/>
      <c r="S210" s="769"/>
    </row>
    <row r="211" spans="1:19" ht="15.75" hidden="1">
      <c r="A211" s="16"/>
      <c r="B211" s="301" t="str">
        <f>Questions!$A$237</f>
        <v>6.4.3</v>
      </c>
      <c r="C211" s="14"/>
      <c r="D211" s="544" t="str">
        <f t="shared" si="14"/>
        <v>PS8</v>
      </c>
      <c r="E211" s="523"/>
      <c r="F211" s="524" t="str">
        <f>Questions!E245</f>
        <v>Description of non conformance (mandatory)</v>
      </c>
      <c r="G211" s="88"/>
      <c r="H211" s="297" t="str">
        <f>Questions!D245</f>
        <v>n.e.</v>
      </c>
      <c r="I211" s="854" t="str">
        <f>IF(Questions!F245="","",Questions!F245)</f>
        <v/>
      </c>
      <c r="J211" s="88"/>
      <c r="K211" s="769"/>
      <c r="L211" s="772"/>
      <c r="M211" s="769"/>
      <c r="N211" s="88"/>
      <c r="O211" s="775"/>
      <c r="P211" s="88"/>
      <c r="Q211" s="769"/>
      <c r="R211" s="88"/>
      <c r="S211" s="769"/>
    </row>
    <row r="212" spans="1:19" ht="15.75" hidden="1">
      <c r="A212" s="16"/>
      <c r="B212" s="301" t="str">
        <f>Questions!$A$237</f>
        <v>6.4.3</v>
      </c>
      <c r="C212" s="14"/>
      <c r="D212" s="544" t="str">
        <f t="shared" si="14"/>
        <v>PS9</v>
      </c>
      <c r="E212" s="523"/>
      <c r="F212" s="524" t="str">
        <f>Questions!E246</f>
        <v>Description of non conformance (mandatory)</v>
      </c>
      <c r="G212" s="88"/>
      <c r="H212" s="297" t="str">
        <f>Questions!D246</f>
        <v>n.e.</v>
      </c>
      <c r="I212" s="854" t="str">
        <f>IF(Questions!F246="","",Questions!F246)</f>
        <v/>
      </c>
      <c r="J212" s="88"/>
      <c r="K212" s="769"/>
      <c r="L212" s="772"/>
      <c r="M212" s="769"/>
      <c r="N212" s="88"/>
      <c r="O212" s="775"/>
      <c r="P212" s="88"/>
      <c r="Q212" s="769"/>
      <c r="R212" s="88"/>
      <c r="S212" s="769"/>
    </row>
    <row r="213" spans="1:19" ht="15.75" hidden="1">
      <c r="A213" s="16"/>
      <c r="B213" s="301" t="str">
        <f>Questions!$A$237</f>
        <v>6.4.3</v>
      </c>
      <c r="C213" s="14"/>
      <c r="D213" s="544" t="str">
        <f t="shared" si="14"/>
        <v>PS10</v>
      </c>
      <c r="E213" s="526"/>
      <c r="F213" s="524" t="str">
        <f>Questions!E247</f>
        <v>Description of non conformance (mandatory)</v>
      </c>
      <c r="G213" s="88"/>
      <c r="H213" s="297" t="str">
        <f>Questions!D247</f>
        <v>n.e.</v>
      </c>
      <c r="I213" s="854" t="str">
        <f>IF(Questions!F247="","",Questions!F247)</f>
        <v/>
      </c>
      <c r="J213" s="88"/>
      <c r="K213" s="769"/>
      <c r="L213" s="772"/>
      <c r="M213" s="769"/>
      <c r="N213" s="88"/>
      <c r="O213" s="775"/>
      <c r="P213" s="88"/>
      <c r="Q213" s="769"/>
      <c r="R213" s="88"/>
      <c r="S213" s="769"/>
    </row>
    <row r="214" spans="1:19" ht="15.75">
      <c r="A214" s="16"/>
      <c r="B214" s="313" t="str">
        <f>Questions!$A$248</f>
        <v>6.4.4</v>
      </c>
      <c r="C214" s="314"/>
      <c r="D214" s="545" t="str">
        <f>D204</f>
        <v>PS1</v>
      </c>
      <c r="E214" s="547"/>
      <c r="F214" s="548" t="str">
        <f>Questions!E249</f>
        <v>No weakness identified</v>
      </c>
      <c r="G214" s="315"/>
      <c r="H214" s="316">
        <f>Questions!D249</f>
        <v>10</v>
      </c>
      <c r="I214" s="859" t="str">
        <f>IF(Questions!F249="","",Questions!F249)</f>
        <v/>
      </c>
      <c r="J214" s="315"/>
      <c r="K214" s="771"/>
      <c r="L214" s="772"/>
      <c r="M214" s="771"/>
      <c r="N214" s="315"/>
      <c r="O214" s="779"/>
      <c r="P214" s="315"/>
      <c r="Q214" s="771"/>
      <c r="R214" s="315"/>
      <c r="S214" s="771"/>
    </row>
    <row r="215" spans="1:19" ht="45">
      <c r="A215" s="16"/>
      <c r="B215" s="301" t="str">
        <f>Questions!$A$248</f>
        <v>6.4.4</v>
      </c>
      <c r="C215" s="14"/>
      <c r="D215" s="544" t="str">
        <f>D205</f>
        <v>PS2</v>
      </c>
      <c r="E215" s="526"/>
      <c r="F215" s="524" t="str">
        <f>Questions!E250</f>
        <v>Insufficient implementation of 5S was observed in the machining process, potentially affecting process stability and quality control.</v>
      </c>
      <c r="G215" s="88"/>
      <c r="H215" s="297">
        <f>Questions!D250</f>
        <v>6</v>
      </c>
      <c r="I215" s="854" t="str">
        <f>IF(Questions!F250="","",Questions!F250)</f>
        <v/>
      </c>
      <c r="J215" s="88"/>
      <c r="K215" s="769"/>
      <c r="L215" s="772"/>
      <c r="M215" s="769"/>
      <c r="N215" s="88"/>
      <c r="O215" s="775"/>
      <c r="P215" s="88"/>
      <c r="Q215" s="769"/>
      <c r="R215" s="88"/>
      <c r="S215" s="769"/>
    </row>
    <row r="216" spans="1:19" ht="15.75">
      <c r="A216" s="16"/>
      <c r="B216" s="301" t="str">
        <f>Questions!$A$248</f>
        <v>6.4.4</v>
      </c>
      <c r="C216" s="14"/>
      <c r="D216" s="544" t="str">
        <f>D206</f>
        <v>PS3</v>
      </c>
      <c r="E216" s="526"/>
      <c r="F216" s="524" t="str">
        <f>Questions!E251</f>
        <v>No weakness identified</v>
      </c>
      <c r="G216" s="88"/>
      <c r="H216" s="297">
        <f>Questions!D251</f>
        <v>10</v>
      </c>
      <c r="I216" s="854" t="str">
        <f>IF(Questions!F251="","",Questions!F251)</f>
        <v/>
      </c>
      <c r="J216" s="88"/>
      <c r="K216" s="769"/>
      <c r="L216" s="772"/>
      <c r="M216" s="769"/>
      <c r="N216" s="88"/>
      <c r="O216" s="775"/>
      <c r="P216" s="88"/>
      <c r="Q216" s="769"/>
      <c r="R216" s="88"/>
      <c r="S216" s="769"/>
    </row>
    <row r="217" spans="1:19" ht="15.75" hidden="1">
      <c r="A217" s="16"/>
      <c r="B217" s="301" t="str">
        <f>Questions!$A$248</f>
        <v>6.4.4</v>
      </c>
      <c r="C217" s="14"/>
      <c r="D217" s="544" t="str">
        <f t="shared" ref="D217:D223" si="15">D207</f>
        <v>PS4</v>
      </c>
      <c r="E217" s="526"/>
      <c r="F217" s="524" t="str">
        <f>Questions!E252</f>
        <v>Description of non conformance (mandatory)</v>
      </c>
      <c r="G217" s="88"/>
      <c r="H217" s="297" t="str">
        <f>Questions!D252</f>
        <v>n.e.</v>
      </c>
      <c r="I217" s="854" t="str">
        <f>IF(Questions!F252="","",Questions!F252)</f>
        <v/>
      </c>
      <c r="J217" s="88"/>
      <c r="K217" s="769"/>
      <c r="L217" s="772"/>
      <c r="M217" s="769"/>
      <c r="N217" s="88"/>
      <c r="O217" s="775"/>
      <c r="P217" s="88"/>
      <c r="Q217" s="769"/>
      <c r="R217" s="88"/>
      <c r="S217" s="769"/>
    </row>
    <row r="218" spans="1:19" ht="15.75" hidden="1">
      <c r="A218" s="16"/>
      <c r="B218" s="301" t="str">
        <f>Questions!$A$248</f>
        <v>6.4.4</v>
      </c>
      <c r="C218" s="14"/>
      <c r="D218" s="544" t="str">
        <f t="shared" si="15"/>
        <v>PS5</v>
      </c>
      <c r="E218" s="526"/>
      <c r="F218" s="524" t="str">
        <f>Questions!E253</f>
        <v>Description of non conformance (mandatory)</v>
      </c>
      <c r="G218" s="88"/>
      <c r="H218" s="297" t="str">
        <f>Questions!D253</f>
        <v>n.e.</v>
      </c>
      <c r="I218" s="854" t="str">
        <f>IF(Questions!F253="","",Questions!F253)</f>
        <v/>
      </c>
      <c r="J218" s="88"/>
      <c r="K218" s="769"/>
      <c r="L218" s="772"/>
      <c r="M218" s="769"/>
      <c r="N218" s="88"/>
      <c r="O218" s="775"/>
      <c r="P218" s="88"/>
      <c r="Q218" s="769"/>
      <c r="R218" s="88"/>
      <c r="S218" s="769"/>
    </row>
    <row r="219" spans="1:19" ht="15.75" hidden="1">
      <c r="A219" s="16"/>
      <c r="B219" s="301" t="str">
        <f>Questions!$A$248</f>
        <v>6.4.4</v>
      </c>
      <c r="C219" s="14"/>
      <c r="D219" s="544" t="str">
        <f t="shared" si="15"/>
        <v>PS6</v>
      </c>
      <c r="E219" s="526"/>
      <c r="F219" s="524" t="str">
        <f>Questions!E254</f>
        <v>Description of non conformance (mandatory)</v>
      </c>
      <c r="G219" s="88"/>
      <c r="H219" s="297" t="str">
        <f>Questions!D254</f>
        <v>n.e.</v>
      </c>
      <c r="I219" s="854" t="str">
        <f>IF(Questions!F254="","",Questions!F254)</f>
        <v/>
      </c>
      <c r="J219" s="88"/>
      <c r="K219" s="769"/>
      <c r="L219" s="772"/>
      <c r="M219" s="769"/>
      <c r="N219" s="88"/>
      <c r="O219" s="775"/>
      <c r="P219" s="88"/>
      <c r="Q219" s="769"/>
      <c r="R219" s="88"/>
      <c r="S219" s="769"/>
    </row>
    <row r="220" spans="1:19" ht="15.75" hidden="1">
      <c r="A220" s="16"/>
      <c r="B220" s="301" t="str">
        <f>Questions!$A$248</f>
        <v>6.4.4</v>
      </c>
      <c r="C220" s="14"/>
      <c r="D220" s="544" t="str">
        <f t="shared" si="15"/>
        <v>PS7</v>
      </c>
      <c r="E220" s="526"/>
      <c r="F220" s="524" t="str">
        <f>Questions!E255</f>
        <v>Description of non conformance (mandatory)</v>
      </c>
      <c r="G220" s="88"/>
      <c r="H220" s="297" t="str">
        <f>Questions!D255</f>
        <v>n.e.</v>
      </c>
      <c r="I220" s="854" t="str">
        <f>IF(Questions!F255="","",Questions!F255)</f>
        <v/>
      </c>
      <c r="J220" s="88"/>
      <c r="K220" s="769"/>
      <c r="L220" s="772"/>
      <c r="M220" s="769"/>
      <c r="N220" s="88"/>
      <c r="O220" s="775"/>
      <c r="P220" s="88"/>
      <c r="Q220" s="769"/>
      <c r="R220" s="88"/>
      <c r="S220" s="769"/>
    </row>
    <row r="221" spans="1:19" ht="15.75" hidden="1">
      <c r="A221" s="16"/>
      <c r="B221" s="301" t="str">
        <f>Questions!$A$248</f>
        <v>6.4.4</v>
      </c>
      <c r="C221" s="14"/>
      <c r="D221" s="544" t="str">
        <f t="shared" si="15"/>
        <v>PS8</v>
      </c>
      <c r="E221" s="526"/>
      <c r="F221" s="524" t="str">
        <f>Questions!E256</f>
        <v>Description of non conformance (mandatory)</v>
      </c>
      <c r="G221" s="88"/>
      <c r="H221" s="297" t="str">
        <f>Questions!D256</f>
        <v>n.e.</v>
      </c>
      <c r="I221" s="854" t="str">
        <f>IF(Questions!F256="","",Questions!F256)</f>
        <v/>
      </c>
      <c r="J221" s="88"/>
      <c r="K221" s="769"/>
      <c r="L221" s="772"/>
      <c r="M221" s="769"/>
      <c r="N221" s="88"/>
      <c r="O221" s="775"/>
      <c r="P221" s="88"/>
      <c r="Q221" s="769"/>
      <c r="R221" s="88"/>
      <c r="S221" s="769"/>
    </row>
    <row r="222" spans="1:19" ht="15.75" hidden="1">
      <c r="A222" s="16"/>
      <c r="B222" s="301" t="str">
        <f>Questions!$A$248</f>
        <v>6.4.4</v>
      </c>
      <c r="C222" s="14"/>
      <c r="D222" s="544" t="str">
        <f t="shared" si="15"/>
        <v>PS9</v>
      </c>
      <c r="E222" s="526"/>
      <c r="F222" s="524" t="str">
        <f>Questions!E257</f>
        <v>Description of non conformance (mandatory)</v>
      </c>
      <c r="G222" s="88"/>
      <c r="H222" s="297" t="str">
        <f>Questions!D257</f>
        <v>n.e.</v>
      </c>
      <c r="I222" s="854" t="str">
        <f>IF(Questions!F257="","",Questions!F257)</f>
        <v/>
      </c>
      <c r="J222" s="88"/>
      <c r="K222" s="769"/>
      <c r="L222" s="772"/>
      <c r="M222" s="769"/>
      <c r="N222" s="88"/>
      <c r="O222" s="775"/>
      <c r="P222" s="88"/>
      <c r="Q222" s="769"/>
      <c r="R222" s="88"/>
      <c r="S222" s="769"/>
    </row>
    <row r="223" spans="1:19" ht="15.75" hidden="1">
      <c r="A223" s="16"/>
      <c r="B223" s="301" t="str">
        <f>Questions!$A$248</f>
        <v>6.4.4</v>
      </c>
      <c r="C223" s="14"/>
      <c r="D223" s="544" t="str">
        <f t="shared" si="15"/>
        <v>PS10</v>
      </c>
      <c r="E223" s="526"/>
      <c r="F223" s="524" t="str">
        <f>Questions!E258</f>
        <v>Description of non conformance (mandatory)</v>
      </c>
      <c r="G223" s="88"/>
      <c r="H223" s="297" t="str">
        <f>Questions!D258</f>
        <v>n.e.</v>
      </c>
      <c r="I223" s="854" t="str">
        <f>IF(Questions!F258="","",Questions!F258)</f>
        <v/>
      </c>
      <c r="J223" s="88"/>
      <c r="K223" s="769"/>
      <c r="L223" s="772"/>
      <c r="M223" s="769"/>
      <c r="N223" s="88"/>
      <c r="O223" s="775"/>
      <c r="P223" s="88"/>
      <c r="Q223" s="769"/>
      <c r="R223" s="88"/>
      <c r="S223" s="769"/>
    </row>
    <row r="224" spans="1:19" ht="15.75">
      <c r="A224" s="16"/>
      <c r="B224" s="313" t="str">
        <f>Questions!$A$259</f>
        <v>6.4.5</v>
      </c>
      <c r="C224" s="314"/>
      <c r="D224" s="545" t="str">
        <f>D214</f>
        <v>PS1</v>
      </c>
      <c r="E224" s="547"/>
      <c r="F224" s="549" t="str">
        <f>Questions!E260</f>
        <v>No weakness identified</v>
      </c>
      <c r="G224" s="315"/>
      <c r="H224" s="316">
        <f>Questions!D260</f>
        <v>10</v>
      </c>
      <c r="I224" s="859" t="str">
        <f>IF(Questions!F260="","",Questions!F260)</f>
        <v/>
      </c>
      <c r="J224" s="315"/>
      <c r="K224" s="771"/>
      <c r="L224" s="772"/>
      <c r="M224" s="771"/>
      <c r="N224" s="315"/>
      <c r="O224" s="779"/>
      <c r="P224" s="315"/>
      <c r="Q224" s="771"/>
      <c r="R224" s="315"/>
      <c r="S224" s="771"/>
    </row>
    <row r="225" spans="1:19" ht="75">
      <c r="A225" s="16"/>
      <c r="B225" s="301" t="str">
        <f>Questions!$A$259</f>
        <v>6.4.5</v>
      </c>
      <c r="C225" s="14"/>
      <c r="D225" s="544" t="str">
        <f>D215</f>
        <v>PS2</v>
      </c>
      <c r="E225" s="526"/>
      <c r="F225" s="524" t="str">
        <f>Questions!E261</f>
        <v>5S standards were found not to be maintained at the production line. The workstation presented visible disorder and cleanliness issues, indicating that 5S audits are either not being conducted or not being effectively enforced.</v>
      </c>
      <c r="G225" s="88"/>
      <c r="H225" s="297">
        <f>Questions!D261</f>
        <v>6</v>
      </c>
      <c r="I225" s="854" t="str">
        <f>IF(Questions!F261="","",Questions!F261)</f>
        <v/>
      </c>
      <c r="J225" s="88"/>
      <c r="K225" s="769"/>
      <c r="L225" s="772"/>
      <c r="M225" s="769"/>
      <c r="N225" s="88"/>
      <c r="O225" s="775"/>
      <c r="P225" s="88"/>
      <c r="Q225" s="769"/>
      <c r="R225" s="88"/>
      <c r="S225" s="769"/>
    </row>
    <row r="226" spans="1:19" ht="15.75">
      <c r="A226" s="16"/>
      <c r="B226" s="301" t="str">
        <f>Questions!$A$259</f>
        <v>6.4.5</v>
      </c>
      <c r="C226" s="14"/>
      <c r="D226" s="544" t="str">
        <f t="shared" ref="D226:D231" si="16">D216</f>
        <v>PS3</v>
      </c>
      <c r="E226" s="526"/>
      <c r="F226" s="524" t="str">
        <f>Questions!E262</f>
        <v>No weakness identified</v>
      </c>
      <c r="G226" s="88"/>
      <c r="H226" s="297">
        <f>Questions!D262</f>
        <v>10</v>
      </c>
      <c r="I226" s="854" t="str">
        <f>IF(Questions!F262="","",Questions!F262)</f>
        <v/>
      </c>
      <c r="J226" s="88"/>
      <c r="K226" s="769"/>
      <c r="L226" s="772"/>
      <c r="M226" s="769"/>
      <c r="N226" s="88"/>
      <c r="O226" s="775"/>
      <c r="P226" s="88"/>
      <c r="Q226" s="769"/>
      <c r="R226" s="88"/>
      <c r="S226" s="769"/>
    </row>
    <row r="227" spans="1:19" ht="15.75" hidden="1">
      <c r="A227" s="16"/>
      <c r="B227" s="301" t="str">
        <f>Questions!$A$259</f>
        <v>6.4.5</v>
      </c>
      <c r="C227" s="14"/>
      <c r="D227" s="544" t="str">
        <f t="shared" si="16"/>
        <v>PS4</v>
      </c>
      <c r="E227" s="526"/>
      <c r="F227" s="524" t="str">
        <f>Questions!E263</f>
        <v>Description of non conformance (mandatory)</v>
      </c>
      <c r="G227" s="88"/>
      <c r="H227" s="297" t="str">
        <f>Questions!D263</f>
        <v>n.e.</v>
      </c>
      <c r="I227" s="854" t="str">
        <f>IF(Questions!F263="","",Questions!F263)</f>
        <v/>
      </c>
      <c r="J227" s="88"/>
      <c r="K227" s="769"/>
      <c r="L227" s="772"/>
      <c r="M227" s="769"/>
      <c r="N227" s="88"/>
      <c r="O227" s="775"/>
      <c r="P227" s="88"/>
      <c r="Q227" s="769"/>
      <c r="R227" s="88"/>
      <c r="S227" s="769"/>
    </row>
    <row r="228" spans="1:19" ht="15.75" hidden="1">
      <c r="A228" s="16"/>
      <c r="B228" s="301" t="str">
        <f>Questions!$A$259</f>
        <v>6.4.5</v>
      </c>
      <c r="C228" s="14"/>
      <c r="D228" s="544" t="str">
        <f t="shared" si="16"/>
        <v>PS5</v>
      </c>
      <c r="E228" s="526"/>
      <c r="F228" s="524" t="str">
        <f>Questions!E264</f>
        <v>Description of non conformance (mandatory)</v>
      </c>
      <c r="G228" s="88"/>
      <c r="H228" s="297" t="str">
        <f>Questions!D264</f>
        <v>n.e.</v>
      </c>
      <c r="I228" s="854" t="str">
        <f>IF(Questions!F264="","",Questions!F264)</f>
        <v/>
      </c>
      <c r="J228" s="88"/>
      <c r="K228" s="769"/>
      <c r="L228" s="772"/>
      <c r="M228" s="769"/>
      <c r="N228" s="88"/>
      <c r="O228" s="775"/>
      <c r="P228" s="88"/>
      <c r="Q228" s="769"/>
      <c r="R228" s="88"/>
      <c r="S228" s="769"/>
    </row>
    <row r="229" spans="1:19" ht="15.75" hidden="1">
      <c r="A229" s="16"/>
      <c r="B229" s="301" t="str">
        <f>Questions!$A$259</f>
        <v>6.4.5</v>
      </c>
      <c r="C229" s="14"/>
      <c r="D229" s="544" t="str">
        <f t="shared" si="16"/>
        <v>PS6</v>
      </c>
      <c r="E229" s="526"/>
      <c r="F229" s="524" t="str">
        <f>Questions!E265</f>
        <v>Description of non conformance (mandatory)</v>
      </c>
      <c r="G229" s="88"/>
      <c r="H229" s="297" t="str">
        <f>Questions!D265</f>
        <v>n.e.</v>
      </c>
      <c r="I229" s="854" t="str">
        <f>IF(Questions!F265="","",Questions!F265)</f>
        <v/>
      </c>
      <c r="J229" s="88"/>
      <c r="K229" s="769"/>
      <c r="L229" s="772"/>
      <c r="M229" s="769"/>
      <c r="N229" s="88"/>
      <c r="O229" s="775"/>
      <c r="P229" s="88"/>
      <c r="Q229" s="769"/>
      <c r="R229" s="88"/>
      <c r="S229" s="769"/>
    </row>
    <row r="230" spans="1:19" ht="15.75" hidden="1">
      <c r="A230" s="16"/>
      <c r="B230" s="301" t="str">
        <f>Questions!$A$259</f>
        <v>6.4.5</v>
      </c>
      <c r="C230" s="14"/>
      <c r="D230" s="544" t="str">
        <f t="shared" si="16"/>
        <v>PS7</v>
      </c>
      <c r="E230" s="526"/>
      <c r="F230" s="524" t="str">
        <f>Questions!E266</f>
        <v>Description of non conformance (mandatory)</v>
      </c>
      <c r="G230" s="88"/>
      <c r="H230" s="297" t="str">
        <f>Questions!D266</f>
        <v>n.e.</v>
      </c>
      <c r="I230" s="854" t="str">
        <f>IF(Questions!F266="","",Questions!F266)</f>
        <v/>
      </c>
      <c r="J230" s="88"/>
      <c r="K230" s="769"/>
      <c r="L230" s="772"/>
      <c r="M230" s="769"/>
      <c r="N230" s="88"/>
      <c r="O230" s="775"/>
      <c r="P230" s="88"/>
      <c r="Q230" s="769"/>
      <c r="R230" s="88"/>
      <c r="S230" s="769"/>
    </row>
    <row r="231" spans="1:19" ht="15.75" hidden="1">
      <c r="A231" s="16"/>
      <c r="B231" s="301" t="str">
        <f>Questions!$A$259</f>
        <v>6.4.5</v>
      </c>
      <c r="C231" s="14"/>
      <c r="D231" s="544" t="str">
        <f t="shared" si="16"/>
        <v>PS8</v>
      </c>
      <c r="E231" s="526"/>
      <c r="F231" s="524" t="str">
        <f>Questions!E267</f>
        <v>Description of non conformance (mandatory)</v>
      </c>
      <c r="G231" s="88"/>
      <c r="H231" s="297" t="str">
        <f>Questions!D267</f>
        <v>n.e.</v>
      </c>
      <c r="I231" s="854" t="str">
        <f>IF(Questions!F267="","",Questions!F267)</f>
        <v/>
      </c>
      <c r="J231" s="88"/>
      <c r="K231" s="769"/>
      <c r="L231" s="772"/>
      <c r="M231" s="769"/>
      <c r="N231" s="88"/>
      <c r="O231" s="775"/>
      <c r="P231" s="88"/>
      <c r="Q231" s="769"/>
      <c r="R231" s="88"/>
      <c r="S231" s="769"/>
    </row>
    <row r="232" spans="1:19" ht="15.75" hidden="1">
      <c r="A232" s="16"/>
      <c r="B232" s="301" t="str">
        <f>Questions!$A$259</f>
        <v>6.4.5</v>
      </c>
      <c r="C232" s="14"/>
      <c r="D232" s="544" t="str">
        <f>D222</f>
        <v>PS9</v>
      </c>
      <c r="E232" s="526"/>
      <c r="F232" s="524" t="str">
        <f>Questions!E268</f>
        <v>Description of non conformance (mandatory)</v>
      </c>
      <c r="G232" s="88"/>
      <c r="H232" s="297" t="str">
        <f>Questions!D268</f>
        <v>n.e.</v>
      </c>
      <c r="I232" s="854" t="str">
        <f>IF(Questions!F268="","",Questions!F268)</f>
        <v/>
      </c>
      <c r="J232" s="88"/>
      <c r="K232" s="769"/>
      <c r="L232" s="772"/>
      <c r="M232" s="769"/>
      <c r="N232" s="88"/>
      <c r="O232" s="775"/>
      <c r="P232" s="88"/>
      <c r="Q232" s="769"/>
      <c r="R232" s="88"/>
      <c r="S232" s="769"/>
    </row>
    <row r="233" spans="1:19" ht="16.5" hidden="1" thickBot="1">
      <c r="A233" s="16"/>
      <c r="B233" s="307" t="str">
        <f>Questions!$A$259</f>
        <v>6.4.5</v>
      </c>
      <c r="C233" s="295"/>
      <c r="D233" s="888" t="str">
        <f>D223</f>
        <v>PS10</v>
      </c>
      <c r="E233" s="539"/>
      <c r="F233" s="889" t="str">
        <f>Questions!E269</f>
        <v>Description of non conformance (mandatory)</v>
      </c>
      <c r="G233" s="296"/>
      <c r="H233" s="298" t="str">
        <f>Questions!D269</f>
        <v>n.e.</v>
      </c>
      <c r="I233" s="890" t="str">
        <f>IF(Questions!F269="","",Questions!F269)</f>
        <v/>
      </c>
      <c r="J233" s="296"/>
      <c r="K233" s="774"/>
      <c r="L233" s="774"/>
      <c r="M233" s="774"/>
      <c r="N233" s="296"/>
      <c r="O233" s="777"/>
      <c r="P233" s="296"/>
      <c r="Q233" s="774"/>
      <c r="R233" s="296"/>
      <c r="S233" s="774"/>
    </row>
    <row r="234" spans="1:19" ht="15.75">
      <c r="A234" s="16"/>
      <c r="B234" s="301" t="str">
        <f>Questions!$A$271</f>
        <v>6.5.1</v>
      </c>
      <c r="C234" s="14"/>
      <c r="D234" s="544" t="str">
        <f>D224</f>
        <v>PS1</v>
      </c>
      <c r="E234" s="523"/>
      <c r="F234" s="524" t="str">
        <f>Questions!E272</f>
        <v>No weakness identified</v>
      </c>
      <c r="G234" s="88"/>
      <c r="H234" s="297">
        <f>Questions!D272</f>
        <v>10</v>
      </c>
      <c r="I234" s="854" t="str">
        <f>IF(Questions!F272="","",Questions!F272)</f>
        <v/>
      </c>
      <c r="J234" s="88"/>
      <c r="K234" s="769"/>
      <c r="L234" s="772"/>
      <c r="M234" s="769"/>
      <c r="N234" s="88"/>
      <c r="O234" s="775"/>
      <c r="P234" s="88"/>
      <c r="Q234" s="769"/>
      <c r="R234" s="88"/>
      <c r="S234" s="769"/>
    </row>
    <row r="235" spans="1:19" ht="45">
      <c r="A235" s="16"/>
      <c r="B235" s="301" t="str">
        <f>Questions!$A$271</f>
        <v>6.5.1</v>
      </c>
      <c r="C235" s="14"/>
      <c r="D235" s="544" t="str">
        <f>D225</f>
        <v>PS2</v>
      </c>
      <c r="E235" s="523"/>
      <c r="F235" s="524" t="str">
        <f>Questions!E273</f>
        <v>In some production lines, operators appear to be overloaded with tasks, which may impact their ability to perform adequate quality controls.</v>
      </c>
      <c r="G235" s="88"/>
      <c r="H235" s="297">
        <f>Questions!D273</f>
        <v>6</v>
      </c>
      <c r="I235" s="854" t="str">
        <f>IF(Questions!F273="","",Questions!F273)</f>
        <v/>
      </c>
      <c r="J235" s="88"/>
      <c r="K235" s="769"/>
      <c r="L235" s="772"/>
      <c r="M235" s="769"/>
      <c r="N235" s="88"/>
      <c r="O235" s="775"/>
      <c r="P235" s="88"/>
      <c r="Q235" s="769"/>
      <c r="R235" s="88"/>
      <c r="S235" s="769"/>
    </row>
    <row r="236" spans="1:19" ht="15.75">
      <c r="A236" s="16"/>
      <c r="B236" s="301" t="str">
        <f>Questions!$A$271</f>
        <v>6.5.1</v>
      </c>
      <c r="C236" s="14"/>
      <c r="D236" s="544" t="str">
        <f>D226</f>
        <v>PS3</v>
      </c>
      <c r="E236" s="523"/>
      <c r="F236" s="524" t="str">
        <f>Questions!E274</f>
        <v>No weakness identified</v>
      </c>
      <c r="G236" s="88"/>
      <c r="H236" s="297">
        <f>Questions!D274</f>
        <v>10</v>
      </c>
      <c r="I236" s="854" t="str">
        <f>IF(Questions!F274="","",Questions!F274)</f>
        <v/>
      </c>
      <c r="J236" s="88"/>
      <c r="K236" s="769"/>
      <c r="L236" s="772"/>
      <c r="M236" s="769"/>
      <c r="N236" s="88"/>
      <c r="O236" s="775"/>
      <c r="P236" s="88"/>
      <c r="Q236" s="769"/>
      <c r="R236" s="88"/>
      <c r="S236" s="769"/>
    </row>
    <row r="237" spans="1:19" ht="15.75" hidden="1">
      <c r="A237" s="16"/>
      <c r="B237" s="301" t="str">
        <f>Questions!$A$271</f>
        <v>6.5.1</v>
      </c>
      <c r="C237" s="14"/>
      <c r="D237" s="544" t="str">
        <f t="shared" ref="D237:D243" si="17">D227</f>
        <v>PS4</v>
      </c>
      <c r="E237" s="523"/>
      <c r="F237" s="524" t="str">
        <f>Questions!E275</f>
        <v>Description of non conformance (mandatory)</v>
      </c>
      <c r="G237" s="88"/>
      <c r="H237" s="297" t="str">
        <f>Questions!D275</f>
        <v>n.e.</v>
      </c>
      <c r="I237" s="854" t="str">
        <f>IF(Questions!F275="","",Questions!F275)</f>
        <v/>
      </c>
      <c r="J237" s="88"/>
      <c r="K237" s="769"/>
      <c r="L237" s="772"/>
      <c r="M237" s="769"/>
      <c r="N237" s="88"/>
      <c r="O237" s="775"/>
      <c r="P237" s="88"/>
      <c r="Q237" s="769"/>
      <c r="R237" s="88"/>
      <c r="S237" s="769"/>
    </row>
    <row r="238" spans="1:19" ht="15.75" hidden="1">
      <c r="A238" s="16"/>
      <c r="B238" s="301" t="str">
        <f>Questions!$A$271</f>
        <v>6.5.1</v>
      </c>
      <c r="C238" s="14"/>
      <c r="D238" s="544" t="str">
        <f t="shared" si="17"/>
        <v>PS5</v>
      </c>
      <c r="E238" s="523"/>
      <c r="F238" s="524" t="str">
        <f>Questions!E276</f>
        <v>Description of non conformance (mandatory)</v>
      </c>
      <c r="G238" s="88"/>
      <c r="H238" s="297" t="str">
        <f>Questions!D276</f>
        <v>n.e.</v>
      </c>
      <c r="I238" s="854" t="str">
        <f>IF(Questions!F276="","",Questions!F276)</f>
        <v/>
      </c>
      <c r="J238" s="88"/>
      <c r="K238" s="769"/>
      <c r="L238" s="772"/>
      <c r="M238" s="769"/>
      <c r="N238" s="88"/>
      <c r="O238" s="775"/>
      <c r="P238" s="88"/>
      <c r="Q238" s="769"/>
      <c r="R238" s="88"/>
      <c r="S238" s="769"/>
    </row>
    <row r="239" spans="1:19" ht="15.75" hidden="1">
      <c r="A239" s="16"/>
      <c r="B239" s="301" t="str">
        <f>Questions!$A$271</f>
        <v>6.5.1</v>
      </c>
      <c r="C239" s="14"/>
      <c r="D239" s="544" t="str">
        <f t="shared" si="17"/>
        <v>PS6</v>
      </c>
      <c r="E239" s="523"/>
      <c r="F239" s="524" t="str">
        <f>Questions!E277</f>
        <v>Description of non conformance (mandatory)</v>
      </c>
      <c r="G239" s="88"/>
      <c r="H239" s="297" t="str">
        <f>Questions!D277</f>
        <v>n.e.</v>
      </c>
      <c r="I239" s="854" t="str">
        <f>IF(Questions!F277="","",Questions!F277)</f>
        <v/>
      </c>
      <c r="J239" s="88"/>
      <c r="K239" s="769"/>
      <c r="L239" s="772"/>
      <c r="M239" s="769"/>
      <c r="N239" s="88"/>
      <c r="O239" s="775"/>
      <c r="P239" s="88"/>
      <c r="Q239" s="769"/>
      <c r="R239" s="88"/>
      <c r="S239" s="769"/>
    </row>
    <row r="240" spans="1:19" ht="15.75" hidden="1">
      <c r="A240" s="16"/>
      <c r="B240" s="301" t="str">
        <f>Questions!$A$271</f>
        <v>6.5.1</v>
      </c>
      <c r="C240" s="14"/>
      <c r="D240" s="544" t="str">
        <f t="shared" si="17"/>
        <v>PS7</v>
      </c>
      <c r="E240" s="523"/>
      <c r="F240" s="524" t="str">
        <f>Questions!E278</f>
        <v>Description of non conformance (mandatory)</v>
      </c>
      <c r="G240" s="88"/>
      <c r="H240" s="297" t="str">
        <f>Questions!D278</f>
        <v>n.e.</v>
      </c>
      <c r="I240" s="854" t="str">
        <f>IF(Questions!F278="","",Questions!F278)</f>
        <v/>
      </c>
      <c r="J240" s="88"/>
      <c r="K240" s="769"/>
      <c r="L240" s="772"/>
      <c r="M240" s="769"/>
      <c r="N240" s="88"/>
      <c r="O240" s="775"/>
      <c r="P240" s="88"/>
      <c r="Q240" s="769"/>
      <c r="R240" s="88"/>
      <c r="S240" s="769"/>
    </row>
    <row r="241" spans="1:19" ht="15.75" hidden="1">
      <c r="A241" s="16"/>
      <c r="B241" s="301" t="str">
        <f>Questions!$A$271</f>
        <v>6.5.1</v>
      </c>
      <c r="C241" s="14"/>
      <c r="D241" s="544" t="str">
        <f t="shared" si="17"/>
        <v>PS8</v>
      </c>
      <c r="E241" s="523"/>
      <c r="F241" s="524" t="str">
        <f>Questions!E279</f>
        <v>Description of non conformance (mandatory)</v>
      </c>
      <c r="G241" s="88"/>
      <c r="H241" s="297" t="str">
        <f>Questions!D279</f>
        <v>n.e.</v>
      </c>
      <c r="I241" s="854" t="str">
        <f>IF(Questions!F279="","",Questions!F279)</f>
        <v/>
      </c>
      <c r="J241" s="88"/>
      <c r="K241" s="769"/>
      <c r="L241" s="772"/>
      <c r="M241" s="769"/>
      <c r="N241" s="88"/>
      <c r="O241" s="775"/>
      <c r="P241" s="88"/>
      <c r="Q241" s="769"/>
      <c r="R241" s="88"/>
      <c r="S241" s="769"/>
    </row>
    <row r="242" spans="1:19" ht="15.75" hidden="1">
      <c r="A242" s="16"/>
      <c r="B242" s="301" t="str">
        <f>Questions!$A$271</f>
        <v>6.5.1</v>
      </c>
      <c r="C242" s="14"/>
      <c r="D242" s="544" t="str">
        <f t="shared" si="17"/>
        <v>PS9</v>
      </c>
      <c r="E242" s="523"/>
      <c r="F242" s="524" t="str">
        <f>Questions!E280</f>
        <v>Description of non conformance (mandatory)</v>
      </c>
      <c r="G242" s="88"/>
      <c r="H242" s="297" t="str">
        <f>Questions!D280</f>
        <v>n.e.</v>
      </c>
      <c r="I242" s="854" t="str">
        <f>IF(Questions!F280="","",Questions!F280)</f>
        <v/>
      </c>
      <c r="J242" s="88"/>
      <c r="K242" s="769"/>
      <c r="L242" s="772"/>
      <c r="M242" s="769"/>
      <c r="N242" s="88"/>
      <c r="O242" s="775"/>
      <c r="P242" s="88"/>
      <c r="Q242" s="769"/>
      <c r="R242" s="88"/>
      <c r="S242" s="769"/>
    </row>
    <row r="243" spans="1:19" ht="15.75" hidden="1">
      <c r="A243" s="16"/>
      <c r="B243" s="301" t="str">
        <f>Questions!$A$271</f>
        <v>6.5.1</v>
      </c>
      <c r="C243" s="14"/>
      <c r="D243" s="544" t="str">
        <f t="shared" si="17"/>
        <v>PS10</v>
      </c>
      <c r="E243" s="523"/>
      <c r="F243" s="524" t="str">
        <f>Questions!E281</f>
        <v>Description of non conformance (mandatory)</v>
      </c>
      <c r="G243" s="88"/>
      <c r="H243" s="297" t="str">
        <f>Questions!D281</f>
        <v>n.e.</v>
      </c>
      <c r="I243" s="854" t="str">
        <f>IF(Questions!F281="","",Questions!F281)</f>
        <v/>
      </c>
      <c r="J243" s="88"/>
      <c r="K243" s="769"/>
      <c r="L243" s="772"/>
      <c r="M243" s="769"/>
      <c r="N243" s="88"/>
      <c r="O243" s="775"/>
      <c r="P243" s="88"/>
      <c r="Q243" s="769"/>
      <c r="R243" s="88"/>
      <c r="S243" s="769"/>
    </row>
    <row r="244" spans="1:19" ht="15.75">
      <c r="A244" s="16"/>
      <c r="B244" s="313" t="str">
        <f>Questions!$A$282</f>
        <v>6.5.2</v>
      </c>
      <c r="C244" s="314"/>
      <c r="D244" s="545" t="str">
        <f>D234</f>
        <v>PS1</v>
      </c>
      <c r="E244" s="546"/>
      <c r="F244" s="548" t="str">
        <f>Questions!E283</f>
        <v>No weakness identified</v>
      </c>
      <c r="G244" s="315"/>
      <c r="H244" s="316">
        <f>Questions!D283</f>
        <v>10</v>
      </c>
      <c r="I244" s="859" t="str">
        <f>IF(Questions!F283="","",Questions!F283)</f>
        <v/>
      </c>
      <c r="J244" s="315"/>
      <c r="K244" s="771"/>
      <c r="L244" s="772"/>
      <c r="M244" s="771"/>
      <c r="N244" s="315"/>
      <c r="O244" s="779"/>
      <c r="P244" s="315"/>
      <c r="Q244" s="771"/>
      <c r="R244" s="315"/>
      <c r="S244" s="771"/>
    </row>
    <row r="245" spans="1:19" ht="15.75">
      <c r="A245" s="16"/>
      <c r="B245" s="301" t="str">
        <f>Questions!$A$282</f>
        <v>6.5.2</v>
      </c>
      <c r="C245" s="14"/>
      <c r="D245" s="544" t="str">
        <f>D235</f>
        <v>PS2</v>
      </c>
      <c r="E245" s="523"/>
      <c r="F245" s="524" t="str">
        <f>Questions!E284</f>
        <v>No weakness identified</v>
      </c>
      <c r="G245" s="88"/>
      <c r="H245" s="297">
        <f>Questions!D284</f>
        <v>10</v>
      </c>
      <c r="I245" s="854" t="str">
        <f>IF(Questions!F284="","",Questions!F284)</f>
        <v/>
      </c>
      <c r="J245" s="88"/>
      <c r="K245" s="769"/>
      <c r="L245" s="772"/>
      <c r="M245" s="769"/>
      <c r="N245" s="88"/>
      <c r="O245" s="775"/>
      <c r="P245" s="88"/>
      <c r="Q245" s="769"/>
      <c r="R245" s="88"/>
      <c r="S245" s="769"/>
    </row>
    <row r="246" spans="1:19" ht="15.75">
      <c r="A246" s="16"/>
      <c r="B246" s="301" t="str">
        <f>Questions!$A$282</f>
        <v>6.5.2</v>
      </c>
      <c r="C246" s="14"/>
      <c r="D246" s="544" t="str">
        <f>D236</f>
        <v>PS3</v>
      </c>
      <c r="E246" s="523"/>
      <c r="F246" s="524" t="str">
        <f>Questions!E285</f>
        <v>No weakness identified</v>
      </c>
      <c r="G246" s="88"/>
      <c r="H246" s="297">
        <f>Questions!D285</f>
        <v>10</v>
      </c>
      <c r="I246" s="854" t="str">
        <f>IF(Questions!F285="","",Questions!F285)</f>
        <v/>
      </c>
      <c r="J246" s="88"/>
      <c r="K246" s="769"/>
      <c r="L246" s="772"/>
      <c r="M246" s="769"/>
      <c r="N246" s="88"/>
      <c r="O246" s="775"/>
      <c r="P246" s="88"/>
      <c r="Q246" s="769"/>
      <c r="R246" s="88"/>
      <c r="S246" s="769"/>
    </row>
    <row r="247" spans="1:19" ht="15.75" hidden="1">
      <c r="A247" s="16"/>
      <c r="B247" s="301" t="str">
        <f>Questions!$A$282</f>
        <v>6.5.2</v>
      </c>
      <c r="C247" s="14"/>
      <c r="D247" s="544" t="str">
        <f t="shared" ref="D247:D253" si="18">D237</f>
        <v>PS4</v>
      </c>
      <c r="E247" s="523"/>
      <c r="F247" s="524" t="str">
        <f>Questions!E286</f>
        <v>Description of non conformance (mandatory)</v>
      </c>
      <c r="G247" s="88"/>
      <c r="H247" s="297" t="str">
        <f>Questions!D286</f>
        <v>n.e.</v>
      </c>
      <c r="I247" s="854" t="str">
        <f>IF(Questions!F286="","",Questions!F286)</f>
        <v/>
      </c>
      <c r="J247" s="88"/>
      <c r="K247" s="769"/>
      <c r="L247" s="772"/>
      <c r="M247" s="769"/>
      <c r="N247" s="88"/>
      <c r="O247" s="775"/>
      <c r="P247" s="88"/>
      <c r="Q247" s="769"/>
      <c r="R247" s="88"/>
      <c r="S247" s="769"/>
    </row>
    <row r="248" spans="1:19" ht="15.75" hidden="1">
      <c r="A248" s="16"/>
      <c r="B248" s="301" t="str">
        <f>Questions!$A$282</f>
        <v>6.5.2</v>
      </c>
      <c r="C248" s="14"/>
      <c r="D248" s="544" t="str">
        <f t="shared" si="18"/>
        <v>PS5</v>
      </c>
      <c r="E248" s="523"/>
      <c r="F248" s="524" t="str">
        <f>Questions!E287</f>
        <v>Description of non conformance (mandatory)</v>
      </c>
      <c r="G248" s="88"/>
      <c r="H248" s="297" t="str">
        <f>Questions!D287</f>
        <v>n.e.</v>
      </c>
      <c r="I248" s="854" t="str">
        <f>IF(Questions!F287="","",Questions!F287)</f>
        <v/>
      </c>
      <c r="J248" s="88"/>
      <c r="K248" s="769"/>
      <c r="L248" s="772"/>
      <c r="M248" s="769"/>
      <c r="N248" s="88"/>
      <c r="O248" s="775"/>
      <c r="P248" s="88"/>
      <c r="Q248" s="769"/>
      <c r="R248" s="88"/>
      <c r="S248" s="769"/>
    </row>
    <row r="249" spans="1:19" ht="15.75" hidden="1">
      <c r="A249" s="16"/>
      <c r="B249" s="301" t="str">
        <f>Questions!$A$282</f>
        <v>6.5.2</v>
      </c>
      <c r="C249" s="14"/>
      <c r="D249" s="544" t="str">
        <f t="shared" si="18"/>
        <v>PS6</v>
      </c>
      <c r="E249" s="523"/>
      <c r="F249" s="524" t="str">
        <f>Questions!E288</f>
        <v>Description of non conformance (mandatory)</v>
      </c>
      <c r="G249" s="88"/>
      <c r="H249" s="297" t="str">
        <f>Questions!D288</f>
        <v>n.e.</v>
      </c>
      <c r="I249" s="854" t="str">
        <f>IF(Questions!F288="","",Questions!F288)</f>
        <v/>
      </c>
      <c r="J249" s="88"/>
      <c r="K249" s="769"/>
      <c r="L249" s="772"/>
      <c r="M249" s="769"/>
      <c r="N249" s="88"/>
      <c r="O249" s="775"/>
      <c r="P249" s="88"/>
      <c r="Q249" s="769"/>
      <c r="R249" s="88"/>
      <c r="S249" s="769"/>
    </row>
    <row r="250" spans="1:19" ht="15.75" hidden="1">
      <c r="A250" s="16"/>
      <c r="B250" s="301" t="str">
        <f>Questions!$A$282</f>
        <v>6.5.2</v>
      </c>
      <c r="C250" s="14"/>
      <c r="D250" s="544" t="str">
        <f t="shared" si="18"/>
        <v>PS7</v>
      </c>
      <c r="E250" s="523"/>
      <c r="F250" s="524" t="str">
        <f>Questions!E289</f>
        <v>Description of non conformance (mandatory)</v>
      </c>
      <c r="G250" s="88"/>
      <c r="H250" s="297" t="str">
        <f>Questions!D289</f>
        <v>n.e.</v>
      </c>
      <c r="I250" s="854" t="str">
        <f>IF(Questions!F289="","",Questions!F289)</f>
        <v/>
      </c>
      <c r="J250" s="88"/>
      <c r="K250" s="769"/>
      <c r="L250" s="772"/>
      <c r="M250" s="769"/>
      <c r="N250" s="88"/>
      <c r="O250" s="775"/>
      <c r="P250" s="88"/>
      <c r="Q250" s="769"/>
      <c r="R250" s="88"/>
      <c r="S250" s="769"/>
    </row>
    <row r="251" spans="1:19" ht="15.75" hidden="1">
      <c r="A251" s="16"/>
      <c r="B251" s="301" t="str">
        <f>Questions!$A$282</f>
        <v>6.5.2</v>
      </c>
      <c r="C251" s="14"/>
      <c r="D251" s="544" t="str">
        <f t="shared" si="18"/>
        <v>PS8</v>
      </c>
      <c r="E251" s="523"/>
      <c r="F251" s="524" t="str">
        <f>Questions!E290</f>
        <v>Description of non conformance (mandatory)</v>
      </c>
      <c r="G251" s="88"/>
      <c r="H251" s="297" t="str">
        <f>Questions!D290</f>
        <v>n.e.</v>
      </c>
      <c r="I251" s="854" t="str">
        <f>IF(Questions!F290="","",Questions!F290)</f>
        <v/>
      </c>
      <c r="J251" s="88"/>
      <c r="K251" s="769"/>
      <c r="L251" s="772"/>
      <c r="M251" s="769"/>
      <c r="N251" s="88"/>
      <c r="O251" s="775"/>
      <c r="P251" s="88"/>
      <c r="Q251" s="769"/>
      <c r="R251" s="88"/>
      <c r="S251" s="769"/>
    </row>
    <row r="252" spans="1:19" ht="15.75" hidden="1">
      <c r="A252" s="16"/>
      <c r="B252" s="301" t="str">
        <f>Questions!$A$282</f>
        <v>6.5.2</v>
      </c>
      <c r="C252" s="14"/>
      <c r="D252" s="544" t="str">
        <f t="shared" si="18"/>
        <v>PS9</v>
      </c>
      <c r="E252" s="523"/>
      <c r="F252" s="524" t="str">
        <f>Questions!E291</f>
        <v>Description of non conformance (mandatory)</v>
      </c>
      <c r="G252" s="88"/>
      <c r="H252" s="297" t="str">
        <f>Questions!D291</f>
        <v>n.e.</v>
      </c>
      <c r="I252" s="854" t="str">
        <f>IF(Questions!F291="","",Questions!F291)</f>
        <v/>
      </c>
      <c r="J252" s="88"/>
      <c r="K252" s="769"/>
      <c r="L252" s="772"/>
      <c r="M252" s="769"/>
      <c r="N252" s="88"/>
      <c r="O252" s="775"/>
      <c r="P252" s="88"/>
      <c r="Q252" s="769"/>
      <c r="R252" s="88"/>
      <c r="S252" s="769"/>
    </row>
    <row r="253" spans="1:19" ht="15.75" hidden="1">
      <c r="A253" s="16"/>
      <c r="B253" s="301" t="str">
        <f>Questions!$A$282</f>
        <v>6.5.2</v>
      </c>
      <c r="C253" s="14"/>
      <c r="D253" s="544" t="str">
        <f t="shared" si="18"/>
        <v>PS10</v>
      </c>
      <c r="E253" s="523"/>
      <c r="F253" s="524" t="str">
        <f>Questions!E292</f>
        <v>Description of non conformance (mandatory)</v>
      </c>
      <c r="G253" s="88"/>
      <c r="H253" s="297" t="str">
        <f>Questions!D292</f>
        <v>n.e.</v>
      </c>
      <c r="I253" s="854" t="str">
        <f>IF(Questions!F292="","",Questions!F292)</f>
        <v/>
      </c>
      <c r="J253" s="88"/>
      <c r="K253" s="769"/>
      <c r="L253" s="772"/>
      <c r="M253" s="769"/>
      <c r="N253" s="88"/>
      <c r="O253" s="775"/>
      <c r="P253" s="88"/>
      <c r="Q253" s="769"/>
      <c r="R253" s="88"/>
      <c r="S253" s="769"/>
    </row>
    <row r="254" spans="1:19" ht="15.75">
      <c r="A254" s="16"/>
      <c r="B254" s="313" t="str">
        <f>Questions!$A$293</f>
        <v>6.5.3</v>
      </c>
      <c r="C254" s="314"/>
      <c r="D254" s="545" t="str">
        <f>D244</f>
        <v>PS1</v>
      </c>
      <c r="E254" s="546"/>
      <c r="F254" s="548" t="str">
        <f>Questions!E294</f>
        <v>No weakness identified</v>
      </c>
      <c r="G254" s="315"/>
      <c r="H254" s="316">
        <f>Questions!D294</f>
        <v>10</v>
      </c>
      <c r="I254" s="859" t="str">
        <f>IF(Questions!F294="","",Questions!F294)</f>
        <v/>
      </c>
      <c r="J254" s="315"/>
      <c r="K254" s="771"/>
      <c r="L254" s="772"/>
      <c r="M254" s="771"/>
      <c r="N254" s="315"/>
      <c r="O254" s="779"/>
      <c r="P254" s="315"/>
      <c r="Q254" s="771"/>
      <c r="R254" s="315"/>
      <c r="S254" s="771"/>
    </row>
    <row r="255" spans="1:19" ht="30">
      <c r="A255" s="16"/>
      <c r="B255" s="301" t="str">
        <f>Questions!$A$293</f>
        <v>6.5.3</v>
      </c>
      <c r="C255" s="14"/>
      <c r="D255" s="544" t="str">
        <f>D245</f>
        <v>PS2</v>
      </c>
      <c r="E255" s="523"/>
      <c r="F255" s="524" t="str">
        <f>Questions!E295</f>
        <v>No action plan defined or evidenced for KPIs currently below target.</v>
      </c>
      <c r="G255" s="88"/>
      <c r="H255" s="297">
        <f>Questions!D295</f>
        <v>6</v>
      </c>
      <c r="I255" s="854" t="str">
        <f>IF(Questions!F295="","",Questions!F295)</f>
        <v/>
      </c>
      <c r="J255" s="88"/>
      <c r="K255" s="769"/>
      <c r="L255" s="772"/>
      <c r="M255" s="769"/>
      <c r="N255" s="88"/>
      <c r="O255" s="775"/>
      <c r="P255" s="88"/>
      <c r="Q255" s="769"/>
      <c r="R255" s="88"/>
      <c r="S255" s="769"/>
    </row>
    <row r="256" spans="1:19" ht="15.75">
      <c r="A256" s="16"/>
      <c r="B256" s="301" t="str">
        <f>Questions!$A$293</f>
        <v>6.5.3</v>
      </c>
      <c r="C256" s="14"/>
      <c r="D256" s="544" t="str">
        <f>D246</f>
        <v>PS3</v>
      </c>
      <c r="E256" s="523"/>
      <c r="F256" s="524" t="str">
        <f>Questions!E296</f>
        <v>No weakness identified</v>
      </c>
      <c r="G256" s="88"/>
      <c r="H256" s="297">
        <f>Questions!D296</f>
        <v>10</v>
      </c>
      <c r="I256" s="854" t="str">
        <f>IF(Questions!F296="","",Questions!F296)</f>
        <v/>
      </c>
      <c r="J256" s="88"/>
      <c r="K256" s="769"/>
      <c r="L256" s="772"/>
      <c r="M256" s="769"/>
      <c r="N256" s="88"/>
      <c r="O256" s="775"/>
      <c r="P256" s="88"/>
      <c r="Q256" s="769"/>
      <c r="R256" s="88"/>
      <c r="S256" s="769"/>
    </row>
    <row r="257" spans="1:19" ht="15.75" hidden="1">
      <c r="A257" s="16"/>
      <c r="B257" s="301" t="str">
        <f>Questions!$A$293</f>
        <v>6.5.3</v>
      </c>
      <c r="C257" s="14"/>
      <c r="D257" s="544" t="str">
        <f t="shared" ref="D257:D263" si="19">D247</f>
        <v>PS4</v>
      </c>
      <c r="E257" s="523"/>
      <c r="F257" s="524" t="str">
        <f>Questions!E297</f>
        <v>Description of non conformance (mandatory)</v>
      </c>
      <c r="G257" s="88"/>
      <c r="H257" s="297" t="str">
        <f>Questions!D297</f>
        <v>n.e.</v>
      </c>
      <c r="I257" s="854" t="str">
        <f>IF(Questions!F297="","",Questions!F297)</f>
        <v/>
      </c>
      <c r="J257" s="88"/>
      <c r="K257" s="769"/>
      <c r="L257" s="772"/>
      <c r="M257" s="769"/>
      <c r="N257" s="88"/>
      <c r="O257" s="775"/>
      <c r="P257" s="88"/>
      <c r="Q257" s="769"/>
      <c r="R257" s="88"/>
      <c r="S257" s="769"/>
    </row>
    <row r="258" spans="1:19" ht="15.75" hidden="1">
      <c r="A258" s="16"/>
      <c r="B258" s="301" t="str">
        <f>Questions!$A$293</f>
        <v>6.5.3</v>
      </c>
      <c r="C258" s="14"/>
      <c r="D258" s="544" t="str">
        <f t="shared" si="19"/>
        <v>PS5</v>
      </c>
      <c r="E258" s="523"/>
      <c r="F258" s="524" t="str">
        <f>Questions!E298</f>
        <v>Description of non conformance (mandatory)</v>
      </c>
      <c r="G258" s="88"/>
      <c r="H258" s="297" t="str">
        <f>Questions!D298</f>
        <v>n.e.</v>
      </c>
      <c r="I258" s="854" t="str">
        <f>IF(Questions!F298="","",Questions!F298)</f>
        <v/>
      </c>
      <c r="J258" s="88"/>
      <c r="K258" s="769"/>
      <c r="L258" s="772"/>
      <c r="M258" s="769"/>
      <c r="N258" s="88"/>
      <c r="O258" s="775"/>
      <c r="P258" s="88"/>
      <c r="Q258" s="769"/>
      <c r="R258" s="88"/>
      <c r="S258" s="769"/>
    </row>
    <row r="259" spans="1:19" ht="15.75" hidden="1">
      <c r="A259" s="16"/>
      <c r="B259" s="301" t="str">
        <f>Questions!$A$293</f>
        <v>6.5.3</v>
      </c>
      <c r="C259" s="14"/>
      <c r="D259" s="544" t="str">
        <f t="shared" si="19"/>
        <v>PS6</v>
      </c>
      <c r="E259" s="523"/>
      <c r="F259" s="524" t="str">
        <f>Questions!E299</f>
        <v>Description of non conformance (mandatory)</v>
      </c>
      <c r="G259" s="88"/>
      <c r="H259" s="297" t="str">
        <f>Questions!D299</f>
        <v>n.e.</v>
      </c>
      <c r="I259" s="854" t="str">
        <f>IF(Questions!F299="","",Questions!F299)</f>
        <v/>
      </c>
      <c r="J259" s="88"/>
      <c r="K259" s="769"/>
      <c r="L259" s="772"/>
      <c r="M259" s="769"/>
      <c r="N259" s="88"/>
      <c r="O259" s="775"/>
      <c r="P259" s="88"/>
      <c r="Q259" s="769"/>
      <c r="R259" s="88"/>
      <c r="S259" s="769"/>
    </row>
    <row r="260" spans="1:19" ht="15.75" hidden="1">
      <c r="A260" s="16"/>
      <c r="B260" s="301" t="str">
        <f>Questions!$A$293</f>
        <v>6.5.3</v>
      </c>
      <c r="C260" s="14"/>
      <c r="D260" s="544" t="str">
        <f t="shared" si="19"/>
        <v>PS7</v>
      </c>
      <c r="E260" s="523"/>
      <c r="F260" s="524" t="str">
        <f>Questions!E300</f>
        <v>Description of non conformance (mandatory)</v>
      </c>
      <c r="G260" s="88"/>
      <c r="H260" s="297" t="str">
        <f>Questions!D300</f>
        <v>n.e.</v>
      </c>
      <c r="I260" s="854" t="str">
        <f>IF(Questions!F300="","",Questions!F300)</f>
        <v/>
      </c>
      <c r="J260" s="88"/>
      <c r="K260" s="769"/>
      <c r="L260" s="772"/>
      <c r="M260" s="769"/>
      <c r="N260" s="88"/>
      <c r="O260" s="775"/>
      <c r="P260" s="88"/>
      <c r="Q260" s="769"/>
      <c r="R260" s="88"/>
      <c r="S260" s="769"/>
    </row>
    <row r="261" spans="1:19" ht="15.75" hidden="1">
      <c r="A261" s="16"/>
      <c r="B261" s="301" t="str">
        <f>Questions!$A$293</f>
        <v>6.5.3</v>
      </c>
      <c r="C261" s="14"/>
      <c r="D261" s="544" t="str">
        <f t="shared" si="19"/>
        <v>PS8</v>
      </c>
      <c r="E261" s="523"/>
      <c r="F261" s="524" t="str">
        <f>Questions!E301</f>
        <v>Description of non conformance (mandatory)</v>
      </c>
      <c r="G261" s="88"/>
      <c r="H261" s="297" t="str">
        <f>Questions!D301</f>
        <v>n.e.</v>
      </c>
      <c r="I261" s="854" t="str">
        <f>IF(Questions!F301="","",Questions!F301)</f>
        <v/>
      </c>
      <c r="J261" s="88"/>
      <c r="K261" s="769"/>
      <c r="L261" s="772"/>
      <c r="M261" s="769"/>
      <c r="N261" s="88"/>
      <c r="O261" s="775"/>
      <c r="P261" s="88"/>
      <c r="Q261" s="769"/>
      <c r="R261" s="88"/>
      <c r="S261" s="769"/>
    </row>
    <row r="262" spans="1:19" ht="15.75" hidden="1">
      <c r="A262" s="16"/>
      <c r="B262" s="301" t="str">
        <f>Questions!$A$293</f>
        <v>6.5.3</v>
      </c>
      <c r="C262" s="14"/>
      <c r="D262" s="544" t="str">
        <f t="shared" si="19"/>
        <v>PS9</v>
      </c>
      <c r="E262" s="523"/>
      <c r="F262" s="524" t="str">
        <f>Questions!E302</f>
        <v>Description of non conformance (mandatory)</v>
      </c>
      <c r="G262" s="88"/>
      <c r="H262" s="297" t="str">
        <f>Questions!D302</f>
        <v>n.e.</v>
      </c>
      <c r="I262" s="854" t="str">
        <f>IF(Questions!F302="","",Questions!F302)</f>
        <v/>
      </c>
      <c r="J262" s="88"/>
      <c r="K262" s="769"/>
      <c r="L262" s="772"/>
      <c r="M262" s="769"/>
      <c r="N262" s="88"/>
      <c r="O262" s="775"/>
      <c r="P262" s="88"/>
      <c r="Q262" s="769"/>
      <c r="R262" s="88"/>
      <c r="S262" s="769"/>
    </row>
    <row r="263" spans="1:19" ht="15.75" hidden="1">
      <c r="A263" s="16"/>
      <c r="B263" s="301" t="str">
        <f>Questions!$A$293</f>
        <v>6.5.3</v>
      </c>
      <c r="C263" s="14"/>
      <c r="D263" s="544" t="str">
        <f t="shared" si="19"/>
        <v>PS10</v>
      </c>
      <c r="E263" s="526"/>
      <c r="F263" s="524" t="str">
        <f>Questions!E303</f>
        <v>Description of non conformance (mandatory)</v>
      </c>
      <c r="G263" s="88"/>
      <c r="H263" s="297" t="str">
        <f>Questions!D303</f>
        <v>n.e.</v>
      </c>
      <c r="I263" s="854" t="str">
        <f>IF(Questions!F303="","",Questions!F303)</f>
        <v/>
      </c>
      <c r="J263" s="88"/>
      <c r="K263" s="769"/>
      <c r="L263" s="772"/>
      <c r="M263" s="769"/>
      <c r="N263" s="88"/>
      <c r="O263" s="775"/>
      <c r="P263" s="88"/>
      <c r="Q263" s="769"/>
      <c r="R263" s="88"/>
      <c r="S263" s="769"/>
    </row>
    <row r="264" spans="1:19" ht="45">
      <c r="A264" s="16"/>
      <c r="B264" s="313" t="str">
        <f>Questions!$A$304</f>
        <v>6.5.4</v>
      </c>
      <c r="C264" s="314"/>
      <c r="D264" s="545" t="str">
        <f>D254</f>
        <v>PS1</v>
      </c>
      <c r="E264" s="547"/>
      <c r="F264" s="548" t="str">
        <f>Questions!E305</f>
        <v>LPA program does not cover the incoming inspection process. No layered audit evidence found for this area.</v>
      </c>
      <c r="G264" s="315"/>
      <c r="H264" s="316">
        <f>Questions!D305</f>
        <v>8</v>
      </c>
      <c r="I264" s="859" t="str">
        <f>IF(Questions!F305="","",Questions!F305)</f>
        <v/>
      </c>
      <c r="J264" s="315"/>
      <c r="K264" s="771"/>
      <c r="L264" s="772"/>
      <c r="M264" s="771"/>
      <c r="N264" s="315"/>
      <c r="O264" s="779"/>
      <c r="P264" s="315"/>
      <c r="Q264" s="771"/>
      <c r="R264" s="315"/>
      <c r="S264" s="771"/>
    </row>
    <row r="265" spans="1:19" ht="75">
      <c r="A265" s="16"/>
      <c r="B265" s="301" t="str">
        <f>Questions!$A$304</f>
        <v>6.5.4</v>
      </c>
      <c r="C265" s="14"/>
      <c r="D265" s="544" t="str">
        <f>D255</f>
        <v>PS2</v>
      </c>
      <c r="E265" s="526"/>
      <c r="F265" s="524" t="str">
        <f>Questions!E306</f>
        <v>Some work instructions and process documents are not up to date, indicating insufficient periodic review. For example, the chromium process documentation (dated 2017) does not reflect the current process conditions.</v>
      </c>
      <c r="G265" s="88"/>
      <c r="H265" s="297">
        <f>Questions!D306</f>
        <v>4</v>
      </c>
      <c r="I265" s="854" t="str">
        <f>IF(Questions!F306="","",Questions!F306)</f>
        <v/>
      </c>
      <c r="J265" s="88"/>
      <c r="K265" s="769"/>
      <c r="L265" s="772"/>
      <c r="M265" s="769"/>
      <c r="N265" s="88"/>
      <c r="O265" s="775"/>
      <c r="P265" s="88"/>
      <c r="Q265" s="769"/>
      <c r="R265" s="88"/>
      <c r="S265" s="769"/>
    </row>
    <row r="266" spans="1:19" ht="30">
      <c r="A266" s="16"/>
      <c r="B266" s="301" t="str">
        <f>Questions!$A$304</f>
        <v>6.5.4</v>
      </c>
      <c r="C266" s="14"/>
      <c r="D266" s="544" t="str">
        <f t="shared" ref="D266:D273" si="20">D256</f>
        <v>PS3</v>
      </c>
      <c r="E266" s="526"/>
      <c r="F266" s="524" t="str">
        <f>Questions!E307</f>
        <v>LPA program does not cover the shipping process. No layered audit evidence found for this area.</v>
      </c>
      <c r="G266" s="88"/>
      <c r="H266" s="297">
        <f>Questions!D307</f>
        <v>8</v>
      </c>
      <c r="I266" s="854" t="str">
        <f>IF(Questions!F307="","",Questions!F307)</f>
        <v/>
      </c>
      <c r="J266" s="88"/>
      <c r="K266" s="769"/>
      <c r="L266" s="772"/>
      <c r="M266" s="769"/>
      <c r="N266" s="88"/>
      <c r="O266" s="775"/>
      <c r="P266" s="88"/>
      <c r="Q266" s="769"/>
      <c r="R266" s="88"/>
      <c r="S266" s="769"/>
    </row>
    <row r="267" spans="1:19" ht="15.75" hidden="1">
      <c r="A267" s="16"/>
      <c r="B267" s="301" t="str">
        <f>Questions!$A$304</f>
        <v>6.5.4</v>
      </c>
      <c r="C267" s="14"/>
      <c r="D267" s="544" t="str">
        <f t="shared" si="20"/>
        <v>PS4</v>
      </c>
      <c r="E267" s="526"/>
      <c r="F267" s="524" t="str">
        <f>Questions!E308</f>
        <v>Description of non conformance (mandatory)</v>
      </c>
      <c r="G267" s="88"/>
      <c r="H267" s="297" t="str">
        <f>Questions!D308</f>
        <v>n.e.</v>
      </c>
      <c r="I267" s="854" t="str">
        <f>IF(Questions!F308="","",Questions!F308)</f>
        <v/>
      </c>
      <c r="J267" s="88"/>
      <c r="K267" s="769"/>
      <c r="L267" s="772"/>
      <c r="M267" s="769"/>
      <c r="N267" s="88"/>
      <c r="O267" s="775"/>
      <c r="P267" s="88"/>
      <c r="Q267" s="769"/>
      <c r="R267" s="88"/>
      <c r="S267" s="769"/>
    </row>
    <row r="268" spans="1:19" ht="15.75" hidden="1">
      <c r="A268" s="16"/>
      <c r="B268" s="301" t="str">
        <f>Questions!$A$304</f>
        <v>6.5.4</v>
      </c>
      <c r="C268" s="14"/>
      <c r="D268" s="544" t="str">
        <f t="shared" si="20"/>
        <v>PS5</v>
      </c>
      <c r="E268" s="526"/>
      <c r="F268" s="524" t="str">
        <f>Questions!E309</f>
        <v>Description of non conformance (mandatory)</v>
      </c>
      <c r="G268" s="88"/>
      <c r="H268" s="297" t="str">
        <f>Questions!D309</f>
        <v>n.e.</v>
      </c>
      <c r="I268" s="854" t="str">
        <f>IF(Questions!F309="","",Questions!F309)</f>
        <v/>
      </c>
      <c r="J268" s="88"/>
      <c r="K268" s="769"/>
      <c r="L268" s="772"/>
      <c r="M268" s="769"/>
      <c r="N268" s="88"/>
      <c r="O268" s="775"/>
      <c r="P268" s="88"/>
      <c r="Q268" s="769"/>
      <c r="R268" s="88"/>
      <c r="S268" s="769"/>
    </row>
    <row r="269" spans="1:19" ht="15.75" hidden="1">
      <c r="A269" s="16"/>
      <c r="B269" s="301" t="str">
        <f>Questions!$A$304</f>
        <v>6.5.4</v>
      </c>
      <c r="C269" s="14"/>
      <c r="D269" s="544" t="str">
        <f t="shared" si="20"/>
        <v>PS6</v>
      </c>
      <c r="E269" s="526"/>
      <c r="F269" s="524" t="str">
        <f>Questions!E310</f>
        <v>Description of non conformance (mandatory)</v>
      </c>
      <c r="G269" s="88"/>
      <c r="H269" s="297" t="str">
        <f>Questions!D310</f>
        <v>n.e.</v>
      </c>
      <c r="I269" s="854" t="str">
        <f>IF(Questions!F310="","",Questions!F310)</f>
        <v/>
      </c>
      <c r="J269" s="88"/>
      <c r="K269" s="769"/>
      <c r="L269" s="772"/>
      <c r="M269" s="769"/>
      <c r="N269" s="88"/>
      <c r="O269" s="775"/>
      <c r="P269" s="88"/>
      <c r="Q269" s="769"/>
      <c r="R269" s="88"/>
      <c r="S269" s="769"/>
    </row>
    <row r="270" spans="1:19" ht="15.75" hidden="1">
      <c r="A270" s="16"/>
      <c r="B270" s="301" t="str">
        <f>Questions!$A$304</f>
        <v>6.5.4</v>
      </c>
      <c r="C270" s="14"/>
      <c r="D270" s="544" t="str">
        <f t="shared" si="20"/>
        <v>PS7</v>
      </c>
      <c r="E270" s="526"/>
      <c r="F270" s="524" t="str">
        <f>Questions!E311</f>
        <v>Description of non conformance (mandatory)</v>
      </c>
      <c r="G270" s="88"/>
      <c r="H270" s="297" t="str">
        <f>Questions!D311</f>
        <v>n.e.</v>
      </c>
      <c r="I270" s="854" t="str">
        <f>IF(Questions!F311="","",Questions!F311)</f>
        <v/>
      </c>
      <c r="J270" s="88"/>
      <c r="K270" s="769"/>
      <c r="L270" s="772"/>
      <c r="M270" s="769"/>
      <c r="N270" s="88"/>
      <c r="O270" s="775"/>
      <c r="P270" s="88"/>
      <c r="Q270" s="769"/>
      <c r="R270" s="88"/>
      <c r="S270" s="769"/>
    </row>
    <row r="271" spans="1:19" ht="15.75" hidden="1">
      <c r="A271" s="16"/>
      <c r="B271" s="301" t="str">
        <f>Questions!$A$304</f>
        <v>6.5.4</v>
      </c>
      <c r="C271" s="14"/>
      <c r="D271" s="544" t="str">
        <f t="shared" si="20"/>
        <v>PS8</v>
      </c>
      <c r="E271" s="526"/>
      <c r="F271" s="524" t="str">
        <f>Questions!E312</f>
        <v>Description of non conformance (mandatory)</v>
      </c>
      <c r="G271" s="88"/>
      <c r="H271" s="297" t="str">
        <f>Questions!D312</f>
        <v>n.e.</v>
      </c>
      <c r="I271" s="854" t="str">
        <f>IF(Questions!F312="","",Questions!F312)</f>
        <v/>
      </c>
      <c r="J271" s="88"/>
      <c r="K271" s="769"/>
      <c r="L271" s="772"/>
      <c r="M271" s="769"/>
      <c r="N271" s="88"/>
      <c r="O271" s="775"/>
      <c r="P271" s="88"/>
      <c r="Q271" s="769"/>
      <c r="R271" s="88"/>
      <c r="S271" s="769"/>
    </row>
    <row r="272" spans="1:19" ht="15.75" hidden="1">
      <c r="A272" s="16"/>
      <c r="B272" s="301" t="str">
        <f>Questions!$A$304</f>
        <v>6.5.4</v>
      </c>
      <c r="C272" s="14"/>
      <c r="D272" s="544" t="str">
        <f t="shared" si="20"/>
        <v>PS9</v>
      </c>
      <c r="E272" s="526"/>
      <c r="F272" s="524" t="str">
        <f>Questions!E313</f>
        <v>Description of non conformance (mandatory)</v>
      </c>
      <c r="G272" s="88"/>
      <c r="H272" s="297" t="str">
        <f>Questions!D313</f>
        <v>n.e.</v>
      </c>
      <c r="I272" s="854" t="str">
        <f>IF(Questions!F313="","",Questions!F313)</f>
        <v/>
      </c>
      <c r="J272" s="88"/>
      <c r="K272" s="769"/>
      <c r="L272" s="772"/>
      <c r="M272" s="769"/>
      <c r="N272" s="88"/>
      <c r="O272" s="775"/>
      <c r="P272" s="88"/>
      <c r="Q272" s="769"/>
      <c r="R272" s="88"/>
      <c r="S272" s="769"/>
    </row>
    <row r="273" spans="1:19" ht="16.5" hidden="1" thickBot="1">
      <c r="A273" s="16"/>
      <c r="B273" s="307" t="str">
        <f>Questions!$A$304</f>
        <v>6.5.4</v>
      </c>
      <c r="C273" s="295"/>
      <c r="D273" s="888" t="str">
        <f t="shared" si="20"/>
        <v>PS10</v>
      </c>
      <c r="E273" s="539"/>
      <c r="F273" s="889" t="str">
        <f>Questions!E314</f>
        <v>Description of non conformance (mandatory)</v>
      </c>
      <c r="G273" s="296"/>
      <c r="H273" s="298" t="str">
        <f>Questions!D314</f>
        <v>n.e.</v>
      </c>
      <c r="I273" s="890" t="str">
        <f>IF(Questions!F314="","",Questions!F314)</f>
        <v/>
      </c>
      <c r="J273" s="296"/>
      <c r="K273" s="774"/>
      <c r="L273" s="774"/>
      <c r="M273" s="774"/>
      <c r="N273" s="296"/>
      <c r="O273" s="777"/>
      <c r="P273" s="296"/>
      <c r="Q273" s="774"/>
      <c r="R273" s="296"/>
      <c r="S273" s="774"/>
    </row>
    <row r="274" spans="1:19" ht="15.75">
      <c r="A274" s="16"/>
      <c r="B274" s="301" t="str">
        <f>Questions!$A$316</f>
        <v>6.6.1</v>
      </c>
      <c r="C274" s="14"/>
      <c r="D274" s="544" t="str">
        <f>D264</f>
        <v>PS1</v>
      </c>
      <c r="E274" s="523"/>
      <c r="F274" s="524" t="str">
        <f>Questions!E317</f>
        <v>No weakness identified</v>
      </c>
      <c r="G274" s="88"/>
      <c r="H274" s="297">
        <f>Questions!D317</f>
        <v>10</v>
      </c>
      <c r="I274" s="854" t="str">
        <f>IF(Questions!F317="","",Questions!F317)</f>
        <v/>
      </c>
      <c r="J274" s="88"/>
      <c r="K274" s="769"/>
      <c r="L274" s="772"/>
      <c r="M274" s="769"/>
      <c r="N274" s="88"/>
      <c r="O274" s="775"/>
      <c r="P274" s="88"/>
      <c r="Q274" s="769"/>
      <c r="R274" s="88"/>
      <c r="S274" s="769"/>
    </row>
    <row r="275" spans="1:19" ht="15.75">
      <c r="A275" s="16"/>
      <c r="B275" s="301" t="str">
        <f>Questions!$A$316</f>
        <v>6.6.1</v>
      </c>
      <c r="C275" s="14"/>
      <c r="D275" s="544" t="str">
        <f>D265</f>
        <v>PS2</v>
      </c>
      <c r="E275" s="523"/>
      <c r="F275" s="524" t="str">
        <f>Questions!E318</f>
        <v>No weakness identified</v>
      </c>
      <c r="G275" s="88"/>
      <c r="H275" s="297">
        <f>Questions!D318</f>
        <v>10</v>
      </c>
      <c r="I275" s="854" t="str">
        <f>IF(Questions!F318="","",Questions!F318)</f>
        <v/>
      </c>
      <c r="J275" s="88"/>
      <c r="K275" s="769"/>
      <c r="L275" s="772"/>
      <c r="M275" s="769"/>
      <c r="N275" s="88"/>
      <c r="O275" s="775"/>
      <c r="P275" s="88"/>
      <c r="Q275" s="769"/>
      <c r="R275" s="88"/>
      <c r="S275" s="769"/>
    </row>
    <row r="276" spans="1:19" ht="15.75">
      <c r="A276" s="16"/>
      <c r="B276" s="301" t="str">
        <f>Questions!$A$316</f>
        <v>6.6.1</v>
      </c>
      <c r="C276" s="14"/>
      <c r="D276" s="544" t="str">
        <f>D266</f>
        <v>PS3</v>
      </c>
      <c r="E276" s="523"/>
      <c r="F276" s="524" t="str">
        <f>Questions!E319</f>
        <v>No weakness identified</v>
      </c>
      <c r="G276" s="88"/>
      <c r="H276" s="297">
        <f>Questions!D319</f>
        <v>10</v>
      </c>
      <c r="I276" s="854" t="str">
        <f>IF(Questions!F319="","",Questions!F319)</f>
        <v/>
      </c>
      <c r="J276" s="88"/>
      <c r="K276" s="769"/>
      <c r="L276" s="772"/>
      <c r="M276" s="769"/>
      <c r="N276" s="88"/>
      <c r="O276" s="775"/>
      <c r="P276" s="88"/>
      <c r="Q276" s="769"/>
      <c r="R276" s="88"/>
      <c r="S276" s="769"/>
    </row>
    <row r="277" spans="1:19" ht="15.75" hidden="1">
      <c r="A277" s="16"/>
      <c r="B277" s="301" t="str">
        <f>Questions!$A$316</f>
        <v>6.6.1</v>
      </c>
      <c r="C277" s="14"/>
      <c r="D277" s="544" t="str">
        <f t="shared" ref="D277:D283" si="21">D267</f>
        <v>PS4</v>
      </c>
      <c r="E277" s="523"/>
      <c r="F277" s="524" t="str">
        <f>Questions!E320</f>
        <v>Description of non conformance (mandatory)</v>
      </c>
      <c r="G277" s="88"/>
      <c r="H277" s="297" t="str">
        <f>Questions!D320</f>
        <v>n.e.</v>
      </c>
      <c r="I277" s="854" t="str">
        <f>IF(Questions!F320="","",Questions!F320)</f>
        <v/>
      </c>
      <c r="J277" s="88"/>
      <c r="K277" s="769"/>
      <c r="L277" s="772"/>
      <c r="M277" s="769"/>
      <c r="N277" s="88"/>
      <c r="O277" s="775"/>
      <c r="P277" s="88"/>
      <c r="Q277" s="769"/>
      <c r="R277" s="88"/>
      <c r="S277" s="769"/>
    </row>
    <row r="278" spans="1:19" ht="15.75" hidden="1">
      <c r="A278" s="16"/>
      <c r="B278" s="301" t="str">
        <f>Questions!$A$316</f>
        <v>6.6.1</v>
      </c>
      <c r="C278" s="14"/>
      <c r="D278" s="544" t="str">
        <f t="shared" si="21"/>
        <v>PS5</v>
      </c>
      <c r="E278" s="523"/>
      <c r="F278" s="524" t="str">
        <f>Questions!E321</f>
        <v>Description of non conformance (mandatory)</v>
      </c>
      <c r="G278" s="88"/>
      <c r="H278" s="297" t="str">
        <f>Questions!D321</f>
        <v>n.e.</v>
      </c>
      <c r="I278" s="854" t="str">
        <f>IF(Questions!F321="","",Questions!F321)</f>
        <v/>
      </c>
      <c r="J278" s="88"/>
      <c r="K278" s="769"/>
      <c r="L278" s="772"/>
      <c r="M278" s="769"/>
      <c r="N278" s="88"/>
      <c r="O278" s="775"/>
      <c r="P278" s="88"/>
      <c r="Q278" s="769"/>
      <c r="R278" s="88"/>
      <c r="S278" s="769"/>
    </row>
    <row r="279" spans="1:19" ht="15.75" hidden="1">
      <c r="A279" s="16"/>
      <c r="B279" s="301" t="str">
        <f>Questions!$A$316</f>
        <v>6.6.1</v>
      </c>
      <c r="C279" s="14"/>
      <c r="D279" s="544" t="str">
        <f t="shared" si="21"/>
        <v>PS6</v>
      </c>
      <c r="E279" s="523"/>
      <c r="F279" s="524" t="str">
        <f>Questions!E322</f>
        <v>Description of non conformance (mandatory)</v>
      </c>
      <c r="G279" s="88"/>
      <c r="H279" s="297" t="str">
        <f>Questions!D322</f>
        <v>n.e.</v>
      </c>
      <c r="I279" s="854" t="str">
        <f>IF(Questions!F322="","",Questions!F322)</f>
        <v/>
      </c>
      <c r="J279" s="88"/>
      <c r="K279" s="769"/>
      <c r="L279" s="772"/>
      <c r="M279" s="769"/>
      <c r="N279" s="88"/>
      <c r="O279" s="775"/>
      <c r="P279" s="88"/>
      <c r="Q279" s="769"/>
      <c r="R279" s="88"/>
      <c r="S279" s="769"/>
    </row>
    <row r="280" spans="1:19" ht="15.75" hidden="1">
      <c r="A280" s="16"/>
      <c r="B280" s="301" t="str">
        <f>Questions!$A$316</f>
        <v>6.6.1</v>
      </c>
      <c r="C280" s="14"/>
      <c r="D280" s="544" t="str">
        <f t="shared" si="21"/>
        <v>PS7</v>
      </c>
      <c r="E280" s="523"/>
      <c r="F280" s="524" t="str">
        <f>Questions!E323</f>
        <v>Description of non conformance (mandatory)</v>
      </c>
      <c r="G280" s="88"/>
      <c r="H280" s="297" t="str">
        <f>Questions!D323</f>
        <v>n.e.</v>
      </c>
      <c r="I280" s="854" t="str">
        <f>IF(Questions!F323="","",Questions!F323)</f>
        <v/>
      </c>
      <c r="J280" s="88"/>
      <c r="K280" s="769"/>
      <c r="L280" s="772"/>
      <c r="M280" s="769"/>
      <c r="N280" s="88"/>
      <c r="O280" s="775"/>
      <c r="P280" s="88"/>
      <c r="Q280" s="769"/>
      <c r="R280" s="88"/>
      <c r="S280" s="769"/>
    </row>
    <row r="281" spans="1:19" ht="15.75" hidden="1">
      <c r="A281" s="16"/>
      <c r="B281" s="301" t="str">
        <f>Questions!$A$316</f>
        <v>6.6.1</v>
      </c>
      <c r="C281" s="14"/>
      <c r="D281" s="544" t="str">
        <f t="shared" si="21"/>
        <v>PS8</v>
      </c>
      <c r="E281" s="523"/>
      <c r="F281" s="524" t="str">
        <f>Questions!E324</f>
        <v>Description of non conformance (mandatory)</v>
      </c>
      <c r="G281" s="88"/>
      <c r="H281" s="297" t="str">
        <f>Questions!D324</f>
        <v>n.e.</v>
      </c>
      <c r="I281" s="854" t="str">
        <f>IF(Questions!F324="","",Questions!F324)</f>
        <v/>
      </c>
      <c r="J281" s="88"/>
      <c r="K281" s="769"/>
      <c r="L281" s="772"/>
      <c r="M281" s="769"/>
      <c r="N281" s="88"/>
      <c r="O281" s="775"/>
      <c r="P281" s="88"/>
      <c r="Q281" s="769"/>
      <c r="R281" s="88"/>
      <c r="S281" s="769"/>
    </row>
    <row r="282" spans="1:19" ht="15.75" hidden="1">
      <c r="A282" s="16"/>
      <c r="B282" s="301" t="str">
        <f>Questions!$A$316</f>
        <v>6.6.1</v>
      </c>
      <c r="C282" s="14"/>
      <c r="D282" s="544" t="str">
        <f t="shared" si="21"/>
        <v>PS9</v>
      </c>
      <c r="E282" s="523"/>
      <c r="F282" s="524" t="str">
        <f>Questions!E325</f>
        <v>Description of non conformance (mandatory)</v>
      </c>
      <c r="G282" s="88"/>
      <c r="H282" s="297" t="str">
        <f>Questions!D325</f>
        <v>n.e.</v>
      </c>
      <c r="I282" s="854" t="str">
        <f>IF(Questions!F325="","",Questions!F325)</f>
        <v/>
      </c>
      <c r="J282" s="88"/>
      <c r="K282" s="769"/>
      <c r="L282" s="772"/>
      <c r="M282" s="769"/>
      <c r="N282" s="88"/>
      <c r="O282" s="775"/>
      <c r="P282" s="88"/>
      <c r="Q282" s="769"/>
      <c r="R282" s="88"/>
      <c r="S282" s="769"/>
    </row>
    <row r="283" spans="1:19" ht="15.75" hidden="1">
      <c r="A283" s="16"/>
      <c r="B283" s="301" t="str">
        <f>Questions!$A$316</f>
        <v>6.6.1</v>
      </c>
      <c r="C283" s="14"/>
      <c r="D283" s="544" t="str">
        <f t="shared" si="21"/>
        <v>PS10</v>
      </c>
      <c r="E283" s="523"/>
      <c r="F283" s="524" t="str">
        <f>Questions!E326</f>
        <v>Description of non conformance (mandatory)</v>
      </c>
      <c r="G283" s="88"/>
      <c r="H283" s="297" t="str">
        <f>Questions!D326</f>
        <v>n.e.</v>
      </c>
      <c r="I283" s="854" t="str">
        <f>IF(Questions!F326="","",Questions!F326)</f>
        <v/>
      </c>
      <c r="J283" s="88"/>
      <c r="K283" s="769"/>
      <c r="L283" s="772"/>
      <c r="M283" s="769"/>
      <c r="N283" s="88"/>
      <c r="O283" s="775"/>
      <c r="P283" s="88"/>
      <c r="Q283" s="769"/>
      <c r="R283" s="88"/>
      <c r="S283" s="769"/>
    </row>
    <row r="284" spans="1:19" ht="15.75">
      <c r="A284" s="16"/>
      <c r="B284" s="313" t="str">
        <f>Questions!$A$327</f>
        <v>6.6.2</v>
      </c>
      <c r="C284" s="314"/>
      <c r="D284" s="545" t="str">
        <f>D274</f>
        <v>PS1</v>
      </c>
      <c r="E284" s="546"/>
      <c r="F284" s="548" t="str">
        <f>Questions!E328</f>
        <v>No weakness identified</v>
      </c>
      <c r="G284" s="315"/>
      <c r="H284" s="316">
        <f>Questions!D328</f>
        <v>10</v>
      </c>
      <c r="I284" s="859" t="str">
        <f>IF(Questions!F328="","",Questions!F328)</f>
        <v/>
      </c>
      <c r="J284" s="315"/>
      <c r="K284" s="771"/>
      <c r="L284" s="772"/>
      <c r="M284" s="771"/>
      <c r="N284" s="315"/>
      <c r="O284" s="779"/>
      <c r="P284" s="315"/>
      <c r="Q284" s="771"/>
      <c r="R284" s="315"/>
      <c r="S284" s="771"/>
    </row>
    <row r="285" spans="1:19" ht="15.75">
      <c r="A285" s="16"/>
      <c r="B285" s="301" t="str">
        <f>Questions!$A$327</f>
        <v>6.6.2</v>
      </c>
      <c r="C285" s="14"/>
      <c r="D285" s="544" t="str">
        <f>D275</f>
        <v>PS2</v>
      </c>
      <c r="E285" s="523"/>
      <c r="F285" s="524" t="str">
        <f>Questions!E329</f>
        <v>No weakness identified</v>
      </c>
      <c r="G285" s="88"/>
      <c r="H285" s="297">
        <f>Questions!D329</f>
        <v>10</v>
      </c>
      <c r="I285" s="854" t="str">
        <f>IF(Questions!F329="","",Questions!F329)</f>
        <v/>
      </c>
      <c r="J285" s="88"/>
      <c r="K285" s="769"/>
      <c r="L285" s="772"/>
      <c r="M285" s="769"/>
      <c r="N285" s="88"/>
      <c r="O285" s="775"/>
      <c r="P285" s="88"/>
      <c r="Q285" s="769"/>
      <c r="R285" s="88"/>
      <c r="S285" s="769"/>
    </row>
    <row r="286" spans="1:19" ht="15.75">
      <c r="A286" s="16"/>
      <c r="B286" s="301" t="str">
        <f>Questions!$A$327</f>
        <v>6.6.2</v>
      </c>
      <c r="C286" s="14"/>
      <c r="D286" s="544" t="str">
        <f>D276</f>
        <v>PS3</v>
      </c>
      <c r="E286" s="523"/>
      <c r="F286" s="524" t="str">
        <f>Questions!E330</f>
        <v>No weakness identified</v>
      </c>
      <c r="G286" s="88"/>
      <c r="H286" s="297">
        <f>Questions!D330</f>
        <v>10</v>
      </c>
      <c r="I286" s="854" t="str">
        <f>IF(Questions!F330="","",Questions!F330)</f>
        <v/>
      </c>
      <c r="J286" s="88"/>
      <c r="K286" s="769"/>
      <c r="L286" s="772"/>
      <c r="M286" s="769"/>
      <c r="N286" s="88"/>
      <c r="O286" s="775"/>
      <c r="P286" s="88"/>
      <c r="Q286" s="769"/>
      <c r="R286" s="88"/>
      <c r="S286" s="769"/>
    </row>
    <row r="287" spans="1:19" ht="15.75" hidden="1">
      <c r="A287" s="16"/>
      <c r="B287" s="301" t="str">
        <f>Questions!$A$327</f>
        <v>6.6.2</v>
      </c>
      <c r="C287" s="14"/>
      <c r="D287" s="544" t="str">
        <f t="shared" ref="D287:D293" si="22">D277</f>
        <v>PS4</v>
      </c>
      <c r="E287" s="523"/>
      <c r="F287" s="524" t="str">
        <f>Questions!E331</f>
        <v>Description of non conformance (mandatory)</v>
      </c>
      <c r="G287" s="88"/>
      <c r="H287" s="297" t="str">
        <f>Questions!D331</f>
        <v>n.e.</v>
      </c>
      <c r="I287" s="854" t="str">
        <f>IF(Questions!F331="","",Questions!F331)</f>
        <v/>
      </c>
      <c r="J287" s="88"/>
      <c r="K287" s="769"/>
      <c r="L287" s="772"/>
      <c r="M287" s="769"/>
      <c r="N287" s="88"/>
      <c r="O287" s="775"/>
      <c r="P287" s="88"/>
      <c r="Q287" s="769"/>
      <c r="R287" s="88"/>
      <c r="S287" s="769"/>
    </row>
    <row r="288" spans="1:19" ht="15.75" hidden="1">
      <c r="A288" s="16"/>
      <c r="B288" s="301" t="str">
        <f>Questions!$A$327</f>
        <v>6.6.2</v>
      </c>
      <c r="C288" s="14"/>
      <c r="D288" s="544" t="str">
        <f t="shared" si="22"/>
        <v>PS5</v>
      </c>
      <c r="E288" s="523"/>
      <c r="F288" s="524" t="str">
        <f>Questions!E332</f>
        <v>Description of non conformance (mandatory)</v>
      </c>
      <c r="G288" s="88"/>
      <c r="H288" s="297" t="str">
        <f>Questions!D332</f>
        <v>n.e.</v>
      </c>
      <c r="I288" s="854" t="str">
        <f>IF(Questions!F332="","",Questions!F332)</f>
        <v/>
      </c>
      <c r="J288" s="88"/>
      <c r="K288" s="769"/>
      <c r="L288" s="772"/>
      <c r="M288" s="769"/>
      <c r="N288" s="88"/>
      <c r="O288" s="775"/>
      <c r="P288" s="88"/>
      <c r="Q288" s="769"/>
      <c r="R288" s="88"/>
      <c r="S288" s="769"/>
    </row>
    <row r="289" spans="1:19" ht="15.75" hidden="1">
      <c r="A289" s="16"/>
      <c r="B289" s="301" t="str">
        <f>Questions!$A$327</f>
        <v>6.6.2</v>
      </c>
      <c r="C289" s="14"/>
      <c r="D289" s="544" t="str">
        <f t="shared" si="22"/>
        <v>PS6</v>
      </c>
      <c r="E289" s="523"/>
      <c r="F289" s="524" t="str">
        <f>Questions!E333</f>
        <v>Description of non conformance (mandatory)</v>
      </c>
      <c r="G289" s="88"/>
      <c r="H289" s="297" t="str">
        <f>Questions!D333</f>
        <v>n.e.</v>
      </c>
      <c r="I289" s="854" t="str">
        <f>IF(Questions!F333="","",Questions!F333)</f>
        <v/>
      </c>
      <c r="J289" s="88"/>
      <c r="K289" s="769"/>
      <c r="L289" s="772"/>
      <c r="M289" s="769"/>
      <c r="N289" s="88"/>
      <c r="O289" s="775"/>
      <c r="P289" s="88"/>
      <c r="Q289" s="769"/>
      <c r="R289" s="88"/>
      <c r="S289" s="769"/>
    </row>
    <row r="290" spans="1:19" ht="15.75" hidden="1">
      <c r="A290" s="16"/>
      <c r="B290" s="301" t="str">
        <f>Questions!$A$327</f>
        <v>6.6.2</v>
      </c>
      <c r="C290" s="14"/>
      <c r="D290" s="544" t="str">
        <f t="shared" si="22"/>
        <v>PS7</v>
      </c>
      <c r="E290" s="523"/>
      <c r="F290" s="524" t="str">
        <f>Questions!E334</f>
        <v>Description of non conformance (mandatory)</v>
      </c>
      <c r="G290" s="88"/>
      <c r="H290" s="297" t="str">
        <f>Questions!D334</f>
        <v>n.e.</v>
      </c>
      <c r="I290" s="854" t="str">
        <f>IF(Questions!F334="","",Questions!F334)</f>
        <v/>
      </c>
      <c r="J290" s="88"/>
      <c r="K290" s="769"/>
      <c r="L290" s="772"/>
      <c r="M290" s="769"/>
      <c r="N290" s="88"/>
      <c r="O290" s="775"/>
      <c r="P290" s="88"/>
      <c r="Q290" s="769"/>
      <c r="R290" s="88"/>
      <c r="S290" s="769"/>
    </row>
    <row r="291" spans="1:19" ht="15.75" hidden="1">
      <c r="A291" s="16"/>
      <c r="B291" s="301" t="str">
        <f>Questions!$A$327</f>
        <v>6.6.2</v>
      </c>
      <c r="C291" s="14"/>
      <c r="D291" s="544" t="str">
        <f t="shared" si="22"/>
        <v>PS8</v>
      </c>
      <c r="E291" s="523"/>
      <c r="F291" s="524" t="str">
        <f>Questions!E335</f>
        <v>Description of non conformance (mandatory)</v>
      </c>
      <c r="G291" s="88"/>
      <c r="H291" s="297" t="str">
        <f>Questions!D335</f>
        <v>n.e.</v>
      </c>
      <c r="I291" s="854" t="str">
        <f>IF(Questions!F335="","",Questions!F335)</f>
        <v/>
      </c>
      <c r="J291" s="88"/>
      <c r="K291" s="769"/>
      <c r="L291" s="772"/>
      <c r="M291" s="769"/>
      <c r="N291" s="88"/>
      <c r="O291" s="775"/>
      <c r="P291" s="88"/>
      <c r="Q291" s="769"/>
      <c r="R291" s="88"/>
      <c r="S291" s="769"/>
    </row>
    <row r="292" spans="1:19" ht="15.75" hidden="1">
      <c r="A292" s="16"/>
      <c r="B292" s="301" t="str">
        <f>Questions!$A$327</f>
        <v>6.6.2</v>
      </c>
      <c r="C292" s="14"/>
      <c r="D292" s="544" t="str">
        <f t="shared" si="22"/>
        <v>PS9</v>
      </c>
      <c r="E292" s="523"/>
      <c r="F292" s="524" t="str">
        <f>Questions!E336</f>
        <v>Description of non conformance (mandatory)</v>
      </c>
      <c r="G292" s="88"/>
      <c r="H292" s="297" t="str">
        <f>Questions!D336</f>
        <v>n.e.</v>
      </c>
      <c r="I292" s="854" t="str">
        <f>IF(Questions!F336="","",Questions!F336)</f>
        <v/>
      </c>
      <c r="J292" s="88"/>
      <c r="K292" s="769"/>
      <c r="L292" s="772"/>
      <c r="M292" s="769"/>
      <c r="N292" s="88"/>
      <c r="O292" s="775"/>
      <c r="P292" s="88"/>
      <c r="Q292" s="769"/>
      <c r="R292" s="88"/>
      <c r="S292" s="769"/>
    </row>
    <row r="293" spans="1:19" ht="15.75" hidden="1">
      <c r="A293" s="16"/>
      <c r="B293" s="301" t="str">
        <f>Questions!$A$327</f>
        <v>6.6.2</v>
      </c>
      <c r="C293" s="14"/>
      <c r="D293" s="544" t="str">
        <f t="shared" si="22"/>
        <v>PS10</v>
      </c>
      <c r="E293" s="523"/>
      <c r="F293" s="524" t="str">
        <f>Questions!E337</f>
        <v>Description of non conformance (mandatory)</v>
      </c>
      <c r="G293" s="88"/>
      <c r="H293" s="297" t="str">
        <f>Questions!D337</f>
        <v>n.e.</v>
      </c>
      <c r="I293" s="854" t="str">
        <f>IF(Questions!F337="","",Questions!F337)</f>
        <v/>
      </c>
      <c r="J293" s="88"/>
      <c r="K293" s="769"/>
      <c r="L293" s="772"/>
      <c r="M293" s="769"/>
      <c r="N293" s="88"/>
      <c r="O293" s="775"/>
      <c r="P293" s="88"/>
      <c r="Q293" s="769"/>
      <c r="R293" s="88"/>
      <c r="S293" s="769"/>
    </row>
    <row r="294" spans="1:19" ht="15.75">
      <c r="A294" s="16"/>
      <c r="B294" s="313" t="str">
        <f>Questions!$A$338</f>
        <v>6.6.3</v>
      </c>
      <c r="C294" s="314"/>
      <c r="D294" s="545" t="str">
        <f>D284</f>
        <v>PS1</v>
      </c>
      <c r="E294" s="546"/>
      <c r="F294" s="548" t="str">
        <f>Questions!E339</f>
        <v>No weakness identified</v>
      </c>
      <c r="G294" s="315"/>
      <c r="H294" s="316">
        <f>Questions!D339</f>
        <v>10</v>
      </c>
      <c r="I294" s="859" t="str">
        <f>IF(Questions!F339="","",Questions!F339)</f>
        <v/>
      </c>
      <c r="J294" s="315"/>
      <c r="K294" s="771"/>
      <c r="L294" s="772"/>
      <c r="M294" s="771"/>
      <c r="N294" s="315"/>
      <c r="O294" s="779"/>
      <c r="P294" s="315"/>
      <c r="Q294" s="771"/>
      <c r="R294" s="315"/>
      <c r="S294" s="771"/>
    </row>
    <row r="295" spans="1:19" ht="60">
      <c r="A295" s="16"/>
      <c r="B295" s="301" t="str">
        <f>Questions!$A$338</f>
        <v>6.6.3</v>
      </c>
      <c r="C295" s="14"/>
      <c r="D295" s="544" t="str">
        <f>D285</f>
        <v>PS2</v>
      </c>
      <c r="E295" s="523"/>
      <c r="F295" s="524" t="str">
        <f>Questions!E340</f>
        <v>The vision system used for piston defect detection does not store inspection images. No traceability of inspection results is therefore available, preventing any retrospective analysis or evidence of release.</v>
      </c>
      <c r="G295" s="88"/>
      <c r="H295" s="297">
        <f>Questions!D340</f>
        <v>8</v>
      </c>
      <c r="I295" s="854" t="str">
        <f>IF(Questions!F340="","",Questions!F340)</f>
        <v/>
      </c>
      <c r="J295" s="88"/>
      <c r="K295" s="769"/>
      <c r="L295" s="772"/>
      <c r="M295" s="769"/>
      <c r="N295" s="88"/>
      <c r="O295" s="775"/>
      <c r="P295" s="88"/>
      <c r="Q295" s="769"/>
      <c r="R295" s="88"/>
      <c r="S295" s="769"/>
    </row>
    <row r="296" spans="1:19" ht="15.75">
      <c r="A296" s="16"/>
      <c r="B296" s="301" t="str">
        <f>Questions!$A$338</f>
        <v>6.6.3</v>
      </c>
      <c r="C296" s="14"/>
      <c r="D296" s="544" t="str">
        <f>D286</f>
        <v>PS3</v>
      </c>
      <c r="E296" s="523"/>
      <c r="F296" s="524" t="str">
        <f>Questions!E341</f>
        <v>No weakness identified</v>
      </c>
      <c r="G296" s="88"/>
      <c r="H296" s="297">
        <f>Questions!D341</f>
        <v>10</v>
      </c>
      <c r="I296" s="854" t="str">
        <f>IF(Questions!F341="","",Questions!F341)</f>
        <v/>
      </c>
      <c r="J296" s="88"/>
      <c r="K296" s="769"/>
      <c r="L296" s="772"/>
      <c r="M296" s="769"/>
      <c r="N296" s="88"/>
      <c r="O296" s="775"/>
      <c r="P296" s="88"/>
      <c r="Q296" s="769"/>
      <c r="R296" s="88"/>
      <c r="S296" s="769"/>
    </row>
    <row r="297" spans="1:19" ht="15.75" hidden="1">
      <c r="A297" s="16"/>
      <c r="B297" s="301" t="str">
        <f>Questions!$A$338</f>
        <v>6.6.3</v>
      </c>
      <c r="C297" s="14"/>
      <c r="D297" s="544" t="str">
        <f t="shared" ref="D297:D303" si="23">D287</f>
        <v>PS4</v>
      </c>
      <c r="E297" s="523"/>
      <c r="F297" s="524" t="str">
        <f>Questions!E342</f>
        <v>Description of non conformance (mandatory)</v>
      </c>
      <c r="G297" s="88"/>
      <c r="H297" s="297" t="str">
        <f>Questions!D342</f>
        <v>n.e.</v>
      </c>
      <c r="I297" s="854" t="str">
        <f>IF(Questions!F342="","",Questions!F342)</f>
        <v/>
      </c>
      <c r="J297" s="88"/>
      <c r="K297" s="769"/>
      <c r="L297" s="772"/>
      <c r="M297" s="769"/>
      <c r="N297" s="88"/>
      <c r="O297" s="775"/>
      <c r="P297" s="88"/>
      <c r="Q297" s="769"/>
      <c r="R297" s="88"/>
      <c r="S297" s="769"/>
    </row>
    <row r="298" spans="1:19" ht="15.75" hidden="1">
      <c r="A298" s="16"/>
      <c r="B298" s="301" t="str">
        <f>Questions!$A$338</f>
        <v>6.6.3</v>
      </c>
      <c r="C298" s="14"/>
      <c r="D298" s="544" t="str">
        <f t="shared" si="23"/>
        <v>PS5</v>
      </c>
      <c r="E298" s="523"/>
      <c r="F298" s="524" t="str">
        <f>Questions!E343</f>
        <v>Description of non conformance (mandatory)</v>
      </c>
      <c r="G298" s="88"/>
      <c r="H298" s="297" t="str">
        <f>Questions!D343</f>
        <v>n.e.</v>
      </c>
      <c r="I298" s="854" t="str">
        <f>IF(Questions!F343="","",Questions!F343)</f>
        <v/>
      </c>
      <c r="J298" s="88"/>
      <c r="K298" s="769"/>
      <c r="L298" s="772"/>
      <c r="M298" s="769"/>
      <c r="N298" s="88"/>
      <c r="O298" s="775"/>
      <c r="P298" s="88"/>
      <c r="Q298" s="769"/>
      <c r="R298" s="88"/>
      <c r="S298" s="769"/>
    </row>
    <row r="299" spans="1:19" ht="15.75" hidden="1">
      <c r="A299" s="16"/>
      <c r="B299" s="301" t="str">
        <f>Questions!$A$338</f>
        <v>6.6.3</v>
      </c>
      <c r="C299" s="14"/>
      <c r="D299" s="544" t="str">
        <f t="shared" si="23"/>
        <v>PS6</v>
      </c>
      <c r="E299" s="523"/>
      <c r="F299" s="524" t="str">
        <f>Questions!E344</f>
        <v>Description of non conformance (mandatory)</v>
      </c>
      <c r="G299" s="88"/>
      <c r="H299" s="297" t="str">
        <f>Questions!D344</f>
        <v>n.e.</v>
      </c>
      <c r="I299" s="854" t="str">
        <f>IF(Questions!F344="","",Questions!F344)</f>
        <v/>
      </c>
      <c r="J299" s="88"/>
      <c r="K299" s="769"/>
      <c r="L299" s="772"/>
      <c r="M299" s="769"/>
      <c r="N299" s="88"/>
      <c r="O299" s="775"/>
      <c r="P299" s="88"/>
      <c r="Q299" s="769"/>
      <c r="R299" s="88"/>
      <c r="S299" s="769"/>
    </row>
    <row r="300" spans="1:19" ht="15.75" hidden="1">
      <c r="A300" s="16"/>
      <c r="B300" s="301" t="str">
        <f>Questions!$A$338</f>
        <v>6.6.3</v>
      </c>
      <c r="C300" s="14"/>
      <c r="D300" s="544" t="str">
        <f t="shared" si="23"/>
        <v>PS7</v>
      </c>
      <c r="E300" s="523"/>
      <c r="F300" s="524" t="str">
        <f>Questions!E345</f>
        <v>Description of non conformance (mandatory)</v>
      </c>
      <c r="G300" s="88"/>
      <c r="H300" s="297" t="str">
        <f>Questions!D345</f>
        <v>n.e.</v>
      </c>
      <c r="I300" s="854" t="str">
        <f>IF(Questions!F345="","",Questions!F345)</f>
        <v/>
      </c>
      <c r="J300" s="88"/>
      <c r="K300" s="769"/>
      <c r="L300" s="772"/>
      <c r="M300" s="769"/>
      <c r="N300" s="88"/>
      <c r="O300" s="775"/>
      <c r="P300" s="88"/>
      <c r="Q300" s="769"/>
      <c r="R300" s="88"/>
      <c r="S300" s="769"/>
    </row>
    <row r="301" spans="1:19" ht="15.75" hidden="1">
      <c r="A301" s="16"/>
      <c r="B301" s="301" t="str">
        <f>Questions!$A$338</f>
        <v>6.6.3</v>
      </c>
      <c r="C301" s="14"/>
      <c r="D301" s="544" t="str">
        <f t="shared" si="23"/>
        <v>PS8</v>
      </c>
      <c r="E301" s="523"/>
      <c r="F301" s="524" t="str">
        <f>Questions!E346</f>
        <v>Description of non conformance (mandatory)</v>
      </c>
      <c r="G301" s="88"/>
      <c r="H301" s="297" t="str">
        <f>Questions!D346</f>
        <v>n.e.</v>
      </c>
      <c r="I301" s="854" t="str">
        <f>IF(Questions!F346="","",Questions!F346)</f>
        <v/>
      </c>
      <c r="J301" s="88"/>
      <c r="K301" s="769"/>
      <c r="L301" s="772"/>
      <c r="M301" s="769"/>
      <c r="N301" s="88"/>
      <c r="O301" s="775"/>
      <c r="P301" s="88"/>
      <c r="Q301" s="769"/>
      <c r="R301" s="88"/>
      <c r="S301" s="769"/>
    </row>
    <row r="302" spans="1:19" ht="15.75" hidden="1">
      <c r="A302" s="16"/>
      <c r="B302" s="301" t="str">
        <f>Questions!$A$338</f>
        <v>6.6.3</v>
      </c>
      <c r="C302" s="14"/>
      <c r="D302" s="544" t="str">
        <f t="shared" si="23"/>
        <v>PS9</v>
      </c>
      <c r="E302" s="523"/>
      <c r="F302" s="524" t="str">
        <f>Questions!E347</f>
        <v>Description of non conformance (mandatory)</v>
      </c>
      <c r="G302" s="88"/>
      <c r="H302" s="297" t="str">
        <f>Questions!D347</f>
        <v>n.e.</v>
      </c>
      <c r="I302" s="854" t="str">
        <f>IF(Questions!F347="","",Questions!F347)</f>
        <v/>
      </c>
      <c r="J302" s="88"/>
      <c r="K302" s="769"/>
      <c r="L302" s="772"/>
      <c r="M302" s="769"/>
      <c r="N302" s="88"/>
      <c r="O302" s="775"/>
      <c r="P302" s="88"/>
      <c r="Q302" s="769"/>
      <c r="R302" s="88"/>
      <c r="S302" s="769"/>
    </row>
    <row r="303" spans="1:19" ht="15.75" hidden="1">
      <c r="A303" s="16"/>
      <c r="B303" s="301" t="str">
        <f>Questions!$A$338</f>
        <v>6.6.3</v>
      </c>
      <c r="C303" s="14"/>
      <c r="D303" s="544" t="str">
        <f t="shared" si="23"/>
        <v>PS10</v>
      </c>
      <c r="E303" s="526"/>
      <c r="F303" s="524" t="str">
        <f>Questions!E348</f>
        <v>Description of non conformance (mandatory)</v>
      </c>
      <c r="G303" s="88"/>
      <c r="H303" s="297" t="str">
        <f>Questions!D348</f>
        <v>n.e.</v>
      </c>
      <c r="I303" s="854" t="str">
        <f>IF(Questions!F348="","",Questions!F348)</f>
        <v/>
      </c>
      <c r="J303" s="88"/>
      <c r="K303" s="769"/>
      <c r="L303" s="772"/>
      <c r="M303" s="769"/>
      <c r="N303" s="88"/>
      <c r="O303" s="775"/>
      <c r="P303" s="88"/>
      <c r="Q303" s="769"/>
      <c r="R303" s="88"/>
      <c r="S303" s="769"/>
    </row>
    <row r="304" spans="1:19" ht="15.75">
      <c r="A304" s="16"/>
      <c r="B304" s="313" t="str">
        <f>Questions!$A$349</f>
        <v>6.6.4</v>
      </c>
      <c r="C304" s="314"/>
      <c r="D304" s="545" t="str">
        <f t="shared" ref="D304:D313" si="24">D294</f>
        <v>PS1</v>
      </c>
      <c r="E304" s="547"/>
      <c r="F304" s="548" t="str">
        <f>Questions!E350</f>
        <v>No weakness identified</v>
      </c>
      <c r="G304" s="315"/>
      <c r="H304" s="316">
        <f>Questions!D350</f>
        <v>10</v>
      </c>
      <c r="I304" s="859" t="str">
        <f>IF(Questions!F350="","",Questions!F350)</f>
        <v/>
      </c>
      <c r="J304" s="315"/>
      <c r="K304" s="771"/>
      <c r="L304" s="772"/>
      <c r="M304" s="771"/>
      <c r="N304" s="315"/>
      <c r="O304" s="779"/>
      <c r="P304" s="315"/>
      <c r="Q304" s="771"/>
      <c r="R304" s="315"/>
      <c r="S304" s="771"/>
    </row>
    <row r="305" spans="1:19" ht="15.75">
      <c r="A305" s="16"/>
      <c r="B305" s="301" t="str">
        <f>Questions!$A$349</f>
        <v>6.6.4</v>
      </c>
      <c r="C305" s="14"/>
      <c r="D305" s="544" t="str">
        <f t="shared" si="24"/>
        <v>PS2</v>
      </c>
      <c r="E305" s="526"/>
      <c r="F305" s="524" t="str">
        <f>Questions!E351</f>
        <v>No weakness identified</v>
      </c>
      <c r="G305" s="88"/>
      <c r="H305" s="297">
        <f>Questions!D351</f>
        <v>10</v>
      </c>
      <c r="I305" s="854" t="str">
        <f>IF(Questions!F351="","",Questions!F351)</f>
        <v/>
      </c>
      <c r="J305" s="88"/>
      <c r="K305" s="769"/>
      <c r="L305" s="772"/>
      <c r="M305" s="769"/>
      <c r="N305" s="88"/>
      <c r="O305" s="775"/>
      <c r="P305" s="88"/>
      <c r="Q305" s="769"/>
      <c r="R305" s="88"/>
      <c r="S305" s="769"/>
    </row>
    <row r="306" spans="1:19" ht="16.5" thickBot="1">
      <c r="A306" s="16"/>
      <c r="B306" s="301" t="str">
        <f>Questions!$A$349</f>
        <v>6.6.4</v>
      </c>
      <c r="C306" s="14"/>
      <c r="D306" s="544" t="str">
        <f t="shared" si="24"/>
        <v>PS3</v>
      </c>
      <c r="E306" s="526"/>
      <c r="F306" s="524" t="str">
        <f>Questions!E352</f>
        <v>No weakness identified</v>
      </c>
      <c r="G306" s="88"/>
      <c r="H306" s="297">
        <f>Questions!D352</f>
        <v>10</v>
      </c>
      <c r="I306" s="854" t="str">
        <f>IF(Questions!F352="","",Questions!F352)</f>
        <v/>
      </c>
      <c r="J306" s="88"/>
      <c r="K306" s="769"/>
      <c r="L306" s="772"/>
      <c r="M306" s="769"/>
      <c r="N306" s="88"/>
      <c r="O306" s="775"/>
      <c r="P306" s="88"/>
      <c r="Q306" s="769"/>
      <c r="R306" s="88"/>
      <c r="S306" s="769"/>
    </row>
    <row r="307" spans="1:19" ht="15.75" hidden="1">
      <c r="A307" s="16"/>
      <c r="B307" s="301" t="str">
        <f>Questions!$A$349</f>
        <v>6.6.4</v>
      </c>
      <c r="C307" s="14"/>
      <c r="D307" s="544" t="str">
        <f t="shared" si="24"/>
        <v>PS4</v>
      </c>
      <c r="E307" s="526"/>
      <c r="F307" s="524" t="str">
        <f>Questions!E353</f>
        <v>Description of non conformance (mandatory)</v>
      </c>
      <c r="G307" s="88"/>
      <c r="H307" s="297" t="str">
        <f>Questions!D353</f>
        <v>n.e.</v>
      </c>
      <c r="I307" s="854" t="str">
        <f>IF(Questions!F353="","",Questions!F353)</f>
        <v/>
      </c>
      <c r="J307" s="88"/>
      <c r="K307" s="769"/>
      <c r="L307" s="772"/>
      <c r="M307" s="769"/>
      <c r="N307" s="88"/>
      <c r="O307" s="775"/>
      <c r="P307" s="88"/>
      <c r="Q307" s="769"/>
      <c r="R307" s="88"/>
      <c r="S307" s="769"/>
    </row>
    <row r="308" spans="1:19" ht="15.75" hidden="1">
      <c r="A308" s="16"/>
      <c r="B308" s="301" t="str">
        <f>Questions!$A$349</f>
        <v>6.6.4</v>
      </c>
      <c r="C308" s="14"/>
      <c r="D308" s="544" t="str">
        <f t="shared" si="24"/>
        <v>PS5</v>
      </c>
      <c r="E308" s="526"/>
      <c r="F308" s="524" t="str">
        <f>Questions!E354</f>
        <v>Description of non conformance (mandatory)</v>
      </c>
      <c r="G308" s="88"/>
      <c r="H308" s="297" t="str">
        <f>Questions!D354</f>
        <v>n.e.</v>
      </c>
      <c r="I308" s="854" t="str">
        <f>IF(Questions!F354="","",Questions!F354)</f>
        <v/>
      </c>
      <c r="J308" s="88"/>
      <c r="K308" s="769"/>
      <c r="L308" s="772"/>
      <c r="M308" s="769"/>
      <c r="N308" s="88"/>
      <c r="O308" s="775"/>
      <c r="P308" s="88"/>
      <c r="Q308" s="769"/>
      <c r="R308" s="88"/>
      <c r="S308" s="769"/>
    </row>
    <row r="309" spans="1:19" ht="15.75" hidden="1">
      <c r="A309" s="16"/>
      <c r="B309" s="301" t="str">
        <f>Questions!$A$349</f>
        <v>6.6.4</v>
      </c>
      <c r="C309" s="14"/>
      <c r="D309" s="544" t="str">
        <f t="shared" si="24"/>
        <v>PS6</v>
      </c>
      <c r="E309" s="526"/>
      <c r="F309" s="524" t="str">
        <f>Questions!E355</f>
        <v>Description of non conformance (mandatory)</v>
      </c>
      <c r="G309" s="88"/>
      <c r="H309" s="297" t="str">
        <f>Questions!D355</f>
        <v>n.e.</v>
      </c>
      <c r="I309" s="854" t="str">
        <f>IF(Questions!F355="","",Questions!F355)</f>
        <v/>
      </c>
      <c r="J309" s="88"/>
      <c r="K309" s="769"/>
      <c r="L309" s="772"/>
      <c r="M309" s="769"/>
      <c r="N309" s="88"/>
      <c r="O309" s="775"/>
      <c r="P309" s="88"/>
      <c r="Q309" s="769"/>
      <c r="R309" s="88"/>
      <c r="S309" s="769"/>
    </row>
    <row r="310" spans="1:19" ht="15.75" hidden="1">
      <c r="A310" s="16"/>
      <c r="B310" s="301" t="str">
        <f>Questions!$A$349</f>
        <v>6.6.4</v>
      </c>
      <c r="C310" s="14"/>
      <c r="D310" s="544" t="str">
        <f t="shared" si="24"/>
        <v>PS7</v>
      </c>
      <c r="E310" s="526"/>
      <c r="F310" s="524" t="str">
        <f>Questions!E356</f>
        <v>Description of non conformance (mandatory)</v>
      </c>
      <c r="G310" s="88"/>
      <c r="H310" s="297" t="str">
        <f>Questions!D356</f>
        <v>n.e.</v>
      </c>
      <c r="I310" s="854" t="str">
        <f>IF(Questions!F356="","",Questions!F356)</f>
        <v/>
      </c>
      <c r="J310" s="88"/>
      <c r="K310" s="769"/>
      <c r="L310" s="772"/>
      <c r="M310" s="769"/>
      <c r="N310" s="88"/>
      <c r="O310" s="775"/>
      <c r="P310" s="88"/>
      <c r="Q310" s="769"/>
      <c r="R310" s="88"/>
      <c r="S310" s="769"/>
    </row>
    <row r="311" spans="1:19" ht="15.75" hidden="1">
      <c r="A311" s="16"/>
      <c r="B311" s="301" t="str">
        <f>Questions!$A$349</f>
        <v>6.6.4</v>
      </c>
      <c r="C311" s="14"/>
      <c r="D311" s="544" t="str">
        <f t="shared" si="24"/>
        <v>PS8</v>
      </c>
      <c r="E311" s="526"/>
      <c r="F311" s="524" t="str">
        <f>Questions!E357</f>
        <v>Description of non conformance (mandatory)</v>
      </c>
      <c r="G311" s="88"/>
      <c r="H311" s="297" t="str">
        <f>Questions!D357</f>
        <v>n.e.</v>
      </c>
      <c r="I311" s="854" t="str">
        <f>IF(Questions!F357="","",Questions!F357)</f>
        <v/>
      </c>
      <c r="J311" s="88"/>
      <c r="K311" s="769"/>
      <c r="L311" s="772"/>
      <c r="M311" s="769"/>
      <c r="N311" s="88"/>
      <c r="O311" s="775"/>
      <c r="P311" s="88"/>
      <c r="Q311" s="769"/>
      <c r="R311" s="88"/>
      <c r="S311" s="769"/>
    </row>
    <row r="312" spans="1:19" ht="15.75" hidden="1">
      <c r="A312" s="16"/>
      <c r="B312" s="301" t="str">
        <f>Questions!$A$349</f>
        <v>6.6.4</v>
      </c>
      <c r="C312" s="14"/>
      <c r="D312" s="544" t="str">
        <f t="shared" si="24"/>
        <v>PS9</v>
      </c>
      <c r="E312" s="526"/>
      <c r="F312" s="524" t="str">
        <f>Questions!E358</f>
        <v>Description of non conformance (mandatory)</v>
      </c>
      <c r="G312" s="88"/>
      <c r="H312" s="297" t="str">
        <f>Questions!D358</f>
        <v>n.e.</v>
      </c>
      <c r="I312" s="854" t="str">
        <f>IF(Questions!F358="","",Questions!F358)</f>
        <v/>
      </c>
      <c r="J312" s="88"/>
      <c r="K312" s="769"/>
      <c r="L312" s="772"/>
      <c r="M312" s="769"/>
      <c r="N312" s="88"/>
      <c r="O312" s="775"/>
      <c r="P312" s="88"/>
      <c r="Q312" s="769"/>
      <c r="R312" s="88"/>
      <c r="S312" s="769"/>
    </row>
    <row r="313" spans="1:19" ht="16.5" hidden="1" thickBot="1">
      <c r="A313" s="16"/>
      <c r="B313" s="914" t="str">
        <f>Questions!$A$349</f>
        <v>6.6.4</v>
      </c>
      <c r="C313" s="14"/>
      <c r="D313" s="915" t="str">
        <f t="shared" si="24"/>
        <v>PS10</v>
      </c>
      <c r="E313" s="526"/>
      <c r="F313" s="916" t="str">
        <f>Questions!E359</f>
        <v>Description of non conformance (mandatory)</v>
      </c>
      <c r="G313" s="88"/>
      <c r="H313" s="917" t="str">
        <f>Questions!D359</f>
        <v>n.e.</v>
      </c>
      <c r="I313" s="918" t="str">
        <f>IF(Questions!F359="","",Questions!F359)</f>
        <v/>
      </c>
      <c r="J313" s="88"/>
      <c r="K313" s="772"/>
      <c r="L313" s="772"/>
      <c r="M313" s="772"/>
      <c r="N313" s="88"/>
      <c r="O313" s="919"/>
      <c r="P313" s="88"/>
      <c r="Q313" s="772"/>
      <c r="R313" s="88"/>
      <c r="S313" s="772"/>
    </row>
    <row r="314" spans="1:19" s="15" customFormat="1" ht="15.75">
      <c r="A314" s="287"/>
      <c r="B314" s="512" t="s">
        <v>143</v>
      </c>
      <c r="C314" s="527"/>
      <c r="D314" s="528"/>
      <c r="E314" s="529"/>
      <c r="F314" s="530" t="str">
        <f>Questions!C360</f>
        <v>Customer care / customer satisfaction / service</v>
      </c>
      <c r="G314" s="531"/>
      <c r="H314" s="532" t="str">
        <f>IF(COUNTIF(H315:H319,"&lt;10")=0,10,"X")</f>
        <v>X</v>
      </c>
      <c r="I314" s="533"/>
      <c r="J314" s="531"/>
      <c r="K314" s="533"/>
      <c r="L314" s="533"/>
      <c r="M314" s="533"/>
      <c r="N314" s="533"/>
      <c r="O314" s="534"/>
      <c r="P314" s="533"/>
      <c r="Q314" s="533"/>
      <c r="R314" s="533"/>
      <c r="S314" s="533"/>
    </row>
    <row r="315" spans="1:19" ht="120">
      <c r="A315" s="16"/>
      <c r="B315" s="302" t="str">
        <f>Questions!A361</f>
        <v>7.1</v>
      </c>
      <c r="C315" s="14"/>
      <c r="D315" s="522"/>
      <c r="E315" s="523"/>
      <c r="F315" s="525" t="str">
        <f>Questions!E361</f>
        <v>The frequency of LPAs (approximately 10 per year) is insufficient to effectively ensure compliance with procedures and quality/safety standards.
In some LPAs, observed nonconformities on the shopfloor (e.g., more than four pistons loaded in the chroming process) were documented; however, the final assessment was still marked as “OK”.</v>
      </c>
      <c r="G315" s="88"/>
      <c r="H315" s="297">
        <f>Questions!D361</f>
        <v>4</v>
      </c>
      <c r="I315" s="854" t="str">
        <f>IF(Questions!F361="","",Questions!F361)</f>
        <v/>
      </c>
      <c r="J315" s="88"/>
      <c r="K315" s="769"/>
      <c r="L315" s="826"/>
      <c r="M315" s="769"/>
      <c r="N315" s="88"/>
      <c r="O315" s="775"/>
      <c r="P315" s="88"/>
      <c r="Q315" s="769"/>
      <c r="R315" s="88"/>
      <c r="S315" s="769"/>
    </row>
    <row r="316" spans="1:19" ht="15.75">
      <c r="A316" s="16"/>
      <c r="B316" s="301" t="str">
        <f>Questions!A362</f>
        <v>7.2</v>
      </c>
      <c r="C316" s="14"/>
      <c r="D316" s="522"/>
      <c r="E316" s="523"/>
      <c r="F316" s="525" t="str">
        <f>Questions!E362</f>
        <v>Description of non conformance (mandatory)</v>
      </c>
      <c r="G316" s="88"/>
      <c r="H316" s="297">
        <f>Questions!D362</f>
        <v>8</v>
      </c>
      <c r="I316" s="854" t="str">
        <f>IF(Questions!F362="","",Questions!F362)</f>
        <v/>
      </c>
      <c r="J316" s="88"/>
      <c r="K316" s="769"/>
      <c r="L316" s="772"/>
      <c r="M316" s="769"/>
      <c r="N316" s="88"/>
      <c r="O316" s="775"/>
      <c r="P316" s="88"/>
      <c r="Q316" s="769"/>
      <c r="R316" s="88"/>
      <c r="S316" s="769"/>
    </row>
    <row r="317" spans="1:19" ht="15.75">
      <c r="A317" s="16"/>
      <c r="B317" s="301" t="str">
        <f>Questions!A363</f>
        <v>7.3</v>
      </c>
      <c r="C317" s="14"/>
      <c r="D317" s="522"/>
      <c r="E317" s="523"/>
      <c r="F317" s="525" t="str">
        <f>Questions!E363</f>
        <v>No weakness identified</v>
      </c>
      <c r="G317" s="88"/>
      <c r="H317" s="297">
        <f>Questions!D363</f>
        <v>10</v>
      </c>
      <c r="I317" s="854" t="str">
        <f>IF(Questions!F363="","",Questions!F363)</f>
        <v/>
      </c>
      <c r="J317" s="88"/>
      <c r="K317" s="769"/>
      <c r="L317" s="772"/>
      <c r="M317" s="769"/>
      <c r="N317" s="88"/>
      <c r="O317" s="775"/>
      <c r="P317" s="88"/>
      <c r="Q317" s="769"/>
      <c r="R317" s="88"/>
      <c r="S317" s="769"/>
    </row>
    <row r="318" spans="1:19" ht="60">
      <c r="A318" s="16"/>
      <c r="B318" s="301" t="str">
        <f>Questions!A364</f>
        <v>7.4</v>
      </c>
      <c r="C318" s="14"/>
      <c r="D318" s="522"/>
      <c r="E318" s="523"/>
      <c r="F318" s="525" t="str">
        <f>Questions!E364</f>
        <v>The claims management process in HLP shows gaps in the structured use of Ishikawa and 3x5 Why root cause analysis, and in meeting the defined 8D timing requirements.</v>
      </c>
      <c r="G318" s="88"/>
      <c r="H318" s="297">
        <f>Questions!D364</f>
        <v>8</v>
      </c>
      <c r="I318" s="854" t="str">
        <f>IF(Questions!F364="","",Questions!F364)</f>
        <v/>
      </c>
      <c r="J318" s="88"/>
      <c r="K318" s="769"/>
      <c r="L318" s="772"/>
      <c r="M318" s="769"/>
      <c r="N318" s="88"/>
      <c r="O318" s="775"/>
      <c r="P318" s="88"/>
      <c r="Q318" s="769"/>
      <c r="R318" s="88"/>
      <c r="S318" s="769"/>
    </row>
    <row r="319" spans="1:19" ht="45">
      <c r="A319" s="16"/>
      <c r="B319" s="301" t="str">
        <f>Questions!A365</f>
        <v>7.5</v>
      </c>
      <c r="C319" s="14"/>
      <c r="D319" s="522"/>
      <c r="E319" s="523"/>
      <c r="F319" s="525" t="str">
        <f>Questions!E365</f>
        <v>Some operators (auxiliares) are not included in the skills matrix, resulting in a lack of visibility of their qualification and competency status.</v>
      </c>
      <c r="G319" s="88"/>
      <c r="H319" s="297">
        <f>Questions!D365</f>
        <v>6</v>
      </c>
      <c r="I319" s="854" t="str">
        <f>IF(Questions!F365="","",Questions!F365)</f>
        <v/>
      </c>
      <c r="J319" s="88"/>
      <c r="K319" s="769"/>
      <c r="L319" s="769"/>
      <c r="M319" s="769"/>
      <c r="N319" s="88"/>
      <c r="O319" s="775"/>
      <c r="P319" s="88"/>
      <c r="Q319" s="769"/>
      <c r="R319" s="88"/>
      <c r="S319" s="769"/>
    </row>
    <row r="320" spans="1:19" ht="15">
      <c r="D320"/>
      <c r="E320"/>
      <c r="F320" s="10"/>
      <c r="G320" s="10"/>
      <c r="H320" s="10"/>
      <c r="I320" s="18"/>
      <c r="J320" s="10"/>
      <c r="K320" s="18"/>
      <c r="L320" s="18"/>
      <c r="M320" s="18"/>
      <c r="N320" s="18"/>
      <c r="O320" s="18"/>
      <c r="P320" s="18"/>
      <c r="Q320" s="18"/>
      <c r="R320" s="18"/>
      <c r="S320" s="18"/>
    </row>
  </sheetData>
  <sheetProtection formatColumns="0" formatRows="0" selectLockedCells="1"/>
  <mergeCells count="2">
    <mergeCell ref="Q6:R6"/>
    <mergeCell ref="F9:H9"/>
  </mergeCells>
  <phoneticPr fontId="15" type="noConversion"/>
  <pageMargins left="0.59055118110236227" right="0.39370078740157483" top="0.59055118110236227" bottom="0.39370078740157483" header="0.19685039370078741" footer="0.19685039370078741"/>
  <pageSetup paperSize="9" scale="63" fitToHeight="0" orientation="landscape" r:id="rId1"/>
  <headerFooter scaleWithDoc="0">
    <oddFooter>&amp;L&amp;8QM-18_s2_ed.6-Audit_Report_VDA_6.3 - Action Plan&amp;R&amp;8Page &amp;P of &amp;N</oddFooter>
  </headerFooter>
  <ignoredErrors>
    <ignoredError sqref="I144:I145 I264:I265 I304:I305 I46:I56 I64:I66 I74:I75 I84:I86 I94:I95 I104:I106 I114:I116 I124:I126 I134:I136 I154:I156 I164:I166 I174:I175 I184:I186 I194:I196 I204:I206 I214:I216 I224:I225 I234:I236 I244:I246 I254:I256 I274:I276 I284:I286 I294:I296"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9458" r:id="rId4" name="Button 2">
              <controlPr defaultSize="0" print="0" autoFill="0" autoPict="0" macro="[0]!Massn.ZeilenEinblenden">
                <anchor moveWithCells="1" sizeWithCells="1">
                  <from>
                    <xdr:col>10</xdr:col>
                    <xdr:colOff>333375</xdr:colOff>
                    <xdr:row>4</xdr:row>
                    <xdr:rowOff>200025</xdr:rowOff>
                  </from>
                  <to>
                    <xdr:col>10</xdr:col>
                    <xdr:colOff>2847975</xdr:colOff>
                    <xdr:row>6</xdr:row>
                    <xdr:rowOff>285750</xdr:rowOff>
                  </to>
                </anchor>
              </controlPr>
            </control>
          </mc:Choice>
        </mc:AlternateContent>
        <mc:AlternateContent xmlns:mc="http://schemas.openxmlformats.org/markup-compatibility/2006">
          <mc:Choice Requires="x14">
            <control shapeId="19459" r:id="rId5" name="Button 3">
              <controlPr defaultSize="0" print="0" autoFill="0" autoPict="0" macro="[0]!VP_kopieren.Kopieren">
                <anchor moveWithCells="1" sizeWithCells="1">
                  <from>
                    <xdr:col>12</xdr:col>
                    <xdr:colOff>323850</xdr:colOff>
                    <xdr:row>4</xdr:row>
                    <xdr:rowOff>247650</xdr:rowOff>
                  </from>
                  <to>
                    <xdr:col>12</xdr:col>
                    <xdr:colOff>2724150</xdr:colOff>
                    <xdr:row>6</xdr:row>
                    <xdr:rowOff>295275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abelle18">
    <tabColor indexed="28"/>
  </sheetPr>
  <dimension ref="B2:N79"/>
  <sheetViews>
    <sheetView workbookViewId="0">
      <selection activeCell="F65" sqref="F65:M65"/>
    </sheetView>
  </sheetViews>
  <sheetFormatPr baseColWidth="10" defaultColWidth="11.42578125" defaultRowHeight="12.75"/>
  <cols>
    <col min="1" max="1" width="10.140625" customWidth="1"/>
    <col min="2" max="2" width="8.28515625" customWidth="1"/>
    <col min="3" max="3" width="10.140625" bestFit="1" customWidth="1"/>
    <col min="4" max="4" width="4.85546875" customWidth="1"/>
    <col min="5" max="5" width="7.28515625" bestFit="1" customWidth="1"/>
    <col min="9" max="9" width="3.42578125" customWidth="1"/>
    <col min="11" max="11" width="6.140625" customWidth="1"/>
    <col min="12" max="12" width="9.42578125" customWidth="1"/>
    <col min="13" max="13" width="41.42578125" customWidth="1"/>
    <col min="14" max="14" width="10" customWidth="1"/>
  </cols>
  <sheetData>
    <row r="2" spans="2:11" hidden="1">
      <c r="B2" s="2" t="s">
        <v>7</v>
      </c>
    </row>
    <row r="3" spans="2:11" hidden="1"/>
    <row r="4" spans="2:11" ht="15" hidden="1">
      <c r="B4" s="106" t="s">
        <v>150</v>
      </c>
    </row>
    <row r="5" spans="2:11" ht="15" hidden="1">
      <c r="B5" s="106" t="s">
        <v>149</v>
      </c>
    </row>
    <row r="6" spans="2:11" ht="15" hidden="1">
      <c r="B6" s="106" t="s">
        <v>148</v>
      </c>
    </row>
    <row r="7" spans="2:11" hidden="1"/>
    <row r="8" spans="2:11" hidden="1"/>
    <row r="9" spans="2:11" hidden="1">
      <c r="B9" s="2" t="s">
        <v>6</v>
      </c>
      <c r="C9" s="83" t="s">
        <v>112</v>
      </c>
      <c r="D9" s="2" t="s">
        <v>107</v>
      </c>
      <c r="E9" s="2" t="s">
        <v>151</v>
      </c>
      <c r="F9" s="2" t="s">
        <v>154</v>
      </c>
      <c r="G9" s="2" t="s">
        <v>111</v>
      </c>
      <c r="H9" s="2" t="s">
        <v>58</v>
      </c>
    </row>
    <row r="10" spans="2:11" ht="5.25" hidden="1" customHeight="1" thickBot="1"/>
    <row r="11" spans="2:11" ht="13.5" hidden="1" thickBot="1">
      <c r="B11" s="107">
        <v>1</v>
      </c>
      <c r="C11" s="91">
        <v>1</v>
      </c>
      <c r="D11" s="113">
        <v>1</v>
      </c>
      <c r="E11" s="91">
        <v>1</v>
      </c>
      <c r="F11" s="113">
        <v>1</v>
      </c>
      <c r="G11" s="91">
        <v>1</v>
      </c>
      <c r="H11" s="127">
        <v>1</v>
      </c>
      <c r="J11" s="101">
        <f t="shared" ref="J11:J27" si="0">SUM(B11:H11)</f>
        <v>7</v>
      </c>
      <c r="K11" s="102" t="s">
        <v>24</v>
      </c>
    </row>
    <row r="12" spans="2:11" hidden="1">
      <c r="B12" s="108">
        <v>2</v>
      </c>
      <c r="C12" s="95">
        <v>1</v>
      </c>
      <c r="D12" s="114">
        <v>1</v>
      </c>
      <c r="E12" s="95">
        <v>1</v>
      </c>
      <c r="F12" s="114">
        <v>1</v>
      </c>
      <c r="G12" s="95">
        <v>1</v>
      </c>
      <c r="H12" s="128">
        <v>1</v>
      </c>
      <c r="J12" s="92">
        <f t="shared" si="0"/>
        <v>8</v>
      </c>
      <c r="K12" s="104" t="s">
        <v>39</v>
      </c>
    </row>
    <row r="13" spans="2:11" hidden="1">
      <c r="B13" s="109">
        <v>2</v>
      </c>
      <c r="C13" s="96">
        <v>2</v>
      </c>
      <c r="D13" s="115">
        <v>1</v>
      </c>
      <c r="E13" s="121">
        <v>1</v>
      </c>
      <c r="F13" s="115">
        <v>1</v>
      </c>
      <c r="G13" s="121">
        <v>1</v>
      </c>
      <c r="H13" s="129">
        <v>1</v>
      </c>
      <c r="J13" s="93">
        <f t="shared" si="0"/>
        <v>9</v>
      </c>
      <c r="K13" s="96" t="s">
        <v>39</v>
      </c>
    </row>
    <row r="14" spans="2:11" hidden="1">
      <c r="B14" s="109">
        <v>2</v>
      </c>
      <c r="C14" s="96">
        <v>2</v>
      </c>
      <c r="D14" s="116">
        <v>2</v>
      </c>
      <c r="E14" s="121">
        <v>1</v>
      </c>
      <c r="F14" s="115">
        <v>1</v>
      </c>
      <c r="G14" s="121">
        <v>1</v>
      </c>
      <c r="H14" s="129">
        <v>1</v>
      </c>
      <c r="J14" s="93">
        <f t="shared" si="0"/>
        <v>10</v>
      </c>
      <c r="K14" s="96" t="s">
        <v>39</v>
      </c>
    </row>
    <row r="15" spans="2:11" hidden="1">
      <c r="B15" s="109">
        <v>2</v>
      </c>
      <c r="C15" s="96">
        <v>2</v>
      </c>
      <c r="D15" s="116">
        <v>2</v>
      </c>
      <c r="E15" s="96">
        <v>2</v>
      </c>
      <c r="F15" s="115">
        <v>1</v>
      </c>
      <c r="G15" s="121">
        <v>1</v>
      </c>
      <c r="H15" s="129">
        <v>1</v>
      </c>
      <c r="J15" s="93">
        <f t="shared" si="0"/>
        <v>11</v>
      </c>
      <c r="K15" s="96" t="s">
        <v>39</v>
      </c>
    </row>
    <row r="16" spans="2:11" hidden="1">
      <c r="B16" s="109">
        <v>2</v>
      </c>
      <c r="C16" s="96">
        <v>2</v>
      </c>
      <c r="D16" s="116">
        <v>2</v>
      </c>
      <c r="E16" s="96">
        <v>2</v>
      </c>
      <c r="F16" s="116">
        <v>2</v>
      </c>
      <c r="G16" s="96">
        <v>1</v>
      </c>
      <c r="H16" s="130">
        <v>1</v>
      </c>
      <c r="J16" s="93">
        <f t="shared" si="0"/>
        <v>12</v>
      </c>
      <c r="K16" s="96" t="s">
        <v>39</v>
      </c>
    </row>
    <row r="17" spans="2:11" hidden="1">
      <c r="B17" s="109">
        <v>2</v>
      </c>
      <c r="C17" s="96">
        <v>2</v>
      </c>
      <c r="D17" s="116">
        <v>2</v>
      </c>
      <c r="E17" s="121">
        <v>2</v>
      </c>
      <c r="F17" s="115">
        <v>2</v>
      </c>
      <c r="G17" s="121">
        <v>2</v>
      </c>
      <c r="H17" s="129">
        <v>1</v>
      </c>
      <c r="J17" s="93">
        <f t="shared" si="0"/>
        <v>13</v>
      </c>
      <c r="K17" s="96" t="s">
        <v>39</v>
      </c>
    </row>
    <row r="18" spans="2:11" ht="13.5" hidden="1" thickBot="1">
      <c r="B18" s="110">
        <v>2</v>
      </c>
      <c r="C18" s="105">
        <v>2</v>
      </c>
      <c r="D18" s="117">
        <v>2</v>
      </c>
      <c r="E18" s="122">
        <v>2</v>
      </c>
      <c r="F18" s="125">
        <v>2</v>
      </c>
      <c r="G18" s="122">
        <v>2</v>
      </c>
      <c r="H18" s="131">
        <v>2</v>
      </c>
      <c r="J18" s="94">
        <f t="shared" si="0"/>
        <v>14</v>
      </c>
      <c r="K18" s="105" t="s">
        <v>39</v>
      </c>
    </row>
    <row r="19" spans="2:11" hidden="1">
      <c r="B19" s="111">
        <v>9</v>
      </c>
      <c r="C19" s="100">
        <v>1</v>
      </c>
      <c r="D19" s="118">
        <v>1</v>
      </c>
      <c r="E19" s="123">
        <v>1</v>
      </c>
      <c r="F19" s="126">
        <v>1</v>
      </c>
      <c r="G19" s="123">
        <v>1</v>
      </c>
      <c r="H19" s="132">
        <v>1</v>
      </c>
      <c r="J19" s="99">
        <f t="shared" si="0"/>
        <v>15</v>
      </c>
      <c r="K19" s="103" t="s">
        <v>41</v>
      </c>
    </row>
    <row r="20" spans="2:11" hidden="1">
      <c r="B20" s="109">
        <v>9</v>
      </c>
      <c r="C20" s="96">
        <v>2</v>
      </c>
      <c r="D20" s="116">
        <v>1</v>
      </c>
      <c r="E20" s="121">
        <v>1</v>
      </c>
      <c r="F20" s="115">
        <v>1</v>
      </c>
      <c r="G20" s="121">
        <v>1</v>
      </c>
      <c r="H20" s="129">
        <v>1</v>
      </c>
      <c r="J20" s="93">
        <f t="shared" si="0"/>
        <v>16</v>
      </c>
      <c r="K20" s="97" t="s">
        <v>41</v>
      </c>
    </row>
    <row r="21" spans="2:11" hidden="1">
      <c r="B21" s="109">
        <v>9</v>
      </c>
      <c r="C21" s="112">
        <v>2</v>
      </c>
      <c r="D21" s="119">
        <v>2</v>
      </c>
      <c r="E21" s="112">
        <v>1</v>
      </c>
      <c r="F21" s="119">
        <v>1</v>
      </c>
      <c r="G21" s="112">
        <v>1</v>
      </c>
      <c r="H21" s="133">
        <v>1</v>
      </c>
      <c r="J21" s="93">
        <f t="shared" si="0"/>
        <v>17</v>
      </c>
      <c r="K21" s="97" t="s">
        <v>41</v>
      </c>
    </row>
    <row r="22" spans="2:11" hidden="1">
      <c r="B22" s="109">
        <v>9</v>
      </c>
      <c r="C22" s="112">
        <v>2</v>
      </c>
      <c r="D22" s="119">
        <v>2</v>
      </c>
      <c r="E22" s="112">
        <v>2</v>
      </c>
      <c r="F22" s="119">
        <v>1</v>
      </c>
      <c r="G22" s="112">
        <v>1</v>
      </c>
      <c r="H22" s="133">
        <v>1</v>
      </c>
      <c r="J22" s="93">
        <f t="shared" si="0"/>
        <v>18</v>
      </c>
      <c r="K22" s="97" t="s">
        <v>41</v>
      </c>
    </row>
    <row r="23" spans="2:11" hidden="1">
      <c r="B23" s="109">
        <v>9</v>
      </c>
      <c r="C23" s="112">
        <v>2</v>
      </c>
      <c r="D23" s="119">
        <v>2</v>
      </c>
      <c r="E23" s="112">
        <v>2</v>
      </c>
      <c r="F23" s="119">
        <v>2</v>
      </c>
      <c r="G23" s="112">
        <v>1</v>
      </c>
      <c r="H23" s="133">
        <v>1</v>
      </c>
      <c r="J23" s="93">
        <f t="shared" si="0"/>
        <v>19</v>
      </c>
      <c r="K23" s="97" t="s">
        <v>41</v>
      </c>
    </row>
    <row r="24" spans="2:11" hidden="1">
      <c r="B24" s="109">
        <v>9</v>
      </c>
      <c r="C24" s="112">
        <v>2</v>
      </c>
      <c r="D24" s="119">
        <v>2</v>
      </c>
      <c r="E24" s="112">
        <v>2</v>
      </c>
      <c r="F24" s="119">
        <v>2</v>
      </c>
      <c r="G24" s="112">
        <v>2</v>
      </c>
      <c r="H24" s="133">
        <v>1</v>
      </c>
      <c r="J24" s="93">
        <f t="shared" si="0"/>
        <v>20</v>
      </c>
      <c r="K24" s="97" t="s">
        <v>41</v>
      </c>
    </row>
    <row r="25" spans="2:11" hidden="1">
      <c r="B25" s="109">
        <v>9</v>
      </c>
      <c r="C25" s="112">
        <v>2</v>
      </c>
      <c r="D25" s="119">
        <v>2</v>
      </c>
      <c r="E25" s="112">
        <v>2</v>
      </c>
      <c r="F25" s="119">
        <v>2</v>
      </c>
      <c r="G25" s="112">
        <v>2</v>
      </c>
      <c r="H25" s="133">
        <v>2</v>
      </c>
      <c r="J25" s="93">
        <f t="shared" si="0"/>
        <v>21</v>
      </c>
      <c r="K25" s="97" t="s">
        <v>41</v>
      </c>
    </row>
    <row r="26" spans="2:11" hidden="1">
      <c r="B26" s="109">
        <v>9</v>
      </c>
      <c r="C26" s="112">
        <v>2</v>
      </c>
      <c r="D26" s="119">
        <v>2</v>
      </c>
      <c r="E26" s="112">
        <v>2</v>
      </c>
      <c r="F26" s="119">
        <v>2</v>
      </c>
      <c r="G26" s="112">
        <v>2</v>
      </c>
      <c r="H26" s="133">
        <v>2</v>
      </c>
      <c r="J26" s="93">
        <f t="shared" si="0"/>
        <v>21</v>
      </c>
      <c r="K26" s="97" t="s">
        <v>41</v>
      </c>
    </row>
    <row r="27" spans="2:11" ht="13.5" hidden="1" thickBot="1">
      <c r="B27" s="110">
        <v>9</v>
      </c>
      <c r="C27" s="105">
        <v>9</v>
      </c>
      <c r="D27" s="120">
        <v>1</v>
      </c>
      <c r="E27" s="124">
        <v>1</v>
      </c>
      <c r="F27" s="120">
        <v>1</v>
      </c>
      <c r="G27" s="124">
        <v>1</v>
      </c>
      <c r="H27" s="134">
        <v>1</v>
      </c>
      <c r="J27" s="94">
        <f t="shared" si="0"/>
        <v>23</v>
      </c>
      <c r="K27" s="98" t="s">
        <v>41</v>
      </c>
    </row>
    <row r="28" spans="2:11" hidden="1"/>
    <row r="29" spans="2:11" hidden="1"/>
    <row r="30" spans="2:11" hidden="1"/>
    <row r="31" spans="2:11" hidden="1"/>
    <row r="32" spans="2:11" hidden="1"/>
    <row r="33" spans="2:3" hidden="1"/>
    <row r="34" spans="2:3" hidden="1"/>
    <row r="35" spans="2:3" hidden="1">
      <c r="B35" s="2" t="s">
        <v>122</v>
      </c>
    </row>
    <row r="36" spans="2:3" hidden="1">
      <c r="B36" t="s">
        <v>123</v>
      </c>
      <c r="C36" t="b">
        <v>1</v>
      </c>
    </row>
    <row r="37" spans="2:3" hidden="1">
      <c r="B37" t="s">
        <v>124</v>
      </c>
      <c r="C37" t="b">
        <v>1</v>
      </c>
    </row>
    <row r="38" spans="2:3" hidden="1">
      <c r="B38" t="s">
        <v>125</v>
      </c>
      <c r="C38" t="b">
        <v>1</v>
      </c>
    </row>
    <row r="39" spans="2:3" hidden="1">
      <c r="B39" t="s">
        <v>51</v>
      </c>
      <c r="C39" t="b">
        <v>1</v>
      </c>
    </row>
    <row r="40" spans="2:3" hidden="1">
      <c r="B40" t="s">
        <v>126</v>
      </c>
      <c r="C40" t="b">
        <v>1</v>
      </c>
    </row>
    <row r="41" spans="2:3" hidden="1">
      <c r="B41" t="s">
        <v>127</v>
      </c>
      <c r="C41" t="b">
        <v>1</v>
      </c>
    </row>
    <row r="42" spans="2:3" hidden="1">
      <c r="B42" t="s">
        <v>128</v>
      </c>
      <c r="C42" t="b">
        <v>1</v>
      </c>
    </row>
    <row r="43" spans="2:3" hidden="1">
      <c r="B43" t="s">
        <v>129</v>
      </c>
      <c r="C43" t="b">
        <v>1</v>
      </c>
    </row>
    <row r="44" spans="2:3" hidden="1">
      <c r="B44" t="s">
        <v>152</v>
      </c>
      <c r="C44" t="b">
        <v>1</v>
      </c>
    </row>
    <row r="45" spans="2:3" hidden="1">
      <c r="B45" t="s">
        <v>153</v>
      </c>
      <c r="C45" t="b">
        <v>1</v>
      </c>
    </row>
    <row r="46" spans="2:3" hidden="1">
      <c r="B46" t="s">
        <v>130</v>
      </c>
      <c r="C46" t="b">
        <v>1</v>
      </c>
    </row>
    <row r="47" spans="2:3" hidden="1">
      <c r="B47" t="s">
        <v>131</v>
      </c>
      <c r="C47" t="b">
        <v>1</v>
      </c>
    </row>
    <row r="48" spans="2:3" hidden="1">
      <c r="B48" t="s">
        <v>132</v>
      </c>
      <c r="C48" t="b">
        <v>1</v>
      </c>
    </row>
    <row r="49" spans="2:14" hidden="1">
      <c r="C49" t="b">
        <v>1</v>
      </c>
    </row>
    <row r="50" spans="2:14" hidden="1">
      <c r="C50" t="b">
        <v>1</v>
      </c>
    </row>
    <row r="51" spans="2:14" hidden="1"/>
    <row r="52" spans="2:14" hidden="1"/>
    <row r="56" spans="2:14">
      <c r="B56" s="1393" t="s">
        <v>301</v>
      </c>
      <c r="C56" s="1394"/>
      <c r="D56" s="1394"/>
      <c r="E56" s="1394"/>
      <c r="F56" s="1394"/>
      <c r="G56" s="1394"/>
      <c r="H56" s="1394"/>
      <c r="I56" s="1394"/>
      <c r="J56" s="1394"/>
      <c r="K56" s="1394"/>
      <c r="L56" s="1394"/>
      <c r="M56" s="1394"/>
      <c r="N56" s="1395"/>
    </row>
    <row r="57" spans="2:14" ht="24" customHeight="1">
      <c r="B57" s="202" t="s">
        <v>225</v>
      </c>
      <c r="C57" s="202" t="s">
        <v>26</v>
      </c>
      <c r="D57" s="202"/>
      <c r="E57" s="202" t="s">
        <v>226</v>
      </c>
      <c r="F57" s="1396" t="s">
        <v>757</v>
      </c>
      <c r="G57" s="1397"/>
      <c r="H57" s="1397"/>
      <c r="I57" s="1397"/>
      <c r="J57" s="1397"/>
      <c r="K57" s="1397"/>
      <c r="L57" s="1397"/>
      <c r="M57" s="1398"/>
      <c r="N57" s="883" t="s">
        <v>732</v>
      </c>
    </row>
    <row r="58" spans="2:14" ht="41.25" customHeight="1">
      <c r="B58" s="884">
        <v>1</v>
      </c>
      <c r="C58" s="885">
        <v>42385</v>
      </c>
      <c r="D58" s="884"/>
      <c r="E58" s="886" t="s">
        <v>731</v>
      </c>
      <c r="F58" s="1399" t="s">
        <v>756</v>
      </c>
      <c r="G58" s="1400"/>
      <c r="H58" s="1400"/>
      <c r="I58" s="1400"/>
      <c r="J58" s="1400"/>
      <c r="K58" s="1400"/>
      <c r="L58" s="1400"/>
      <c r="M58" s="1401"/>
      <c r="N58" s="887" t="s">
        <v>377</v>
      </c>
    </row>
    <row r="59" spans="2:14">
      <c r="B59" s="884">
        <v>2</v>
      </c>
      <c r="C59" s="885">
        <v>42776</v>
      </c>
      <c r="D59" s="884"/>
      <c r="E59" s="886" t="s">
        <v>739</v>
      </c>
      <c r="F59" s="1390" t="s">
        <v>741</v>
      </c>
      <c r="G59" s="1391"/>
      <c r="H59" s="1391"/>
      <c r="I59" s="1391"/>
      <c r="J59" s="1391"/>
      <c r="K59" s="1391"/>
      <c r="L59" s="1391"/>
      <c r="M59" s="1392"/>
      <c r="N59" s="887" t="s">
        <v>737</v>
      </c>
    </row>
    <row r="60" spans="2:14">
      <c r="B60" s="884">
        <v>3</v>
      </c>
      <c r="C60" s="885">
        <v>42776</v>
      </c>
      <c r="D60" s="884"/>
      <c r="E60" s="886" t="s">
        <v>739</v>
      </c>
      <c r="F60" s="1390" t="s">
        <v>742</v>
      </c>
      <c r="G60" s="1391"/>
      <c r="H60" s="1391"/>
      <c r="I60" s="1391"/>
      <c r="J60" s="1391"/>
      <c r="K60" s="1391"/>
      <c r="L60" s="1391"/>
      <c r="M60" s="1392"/>
      <c r="N60" s="887" t="s">
        <v>737</v>
      </c>
    </row>
    <row r="61" spans="2:14">
      <c r="B61" s="884">
        <v>4</v>
      </c>
      <c r="C61" s="885">
        <v>42781</v>
      </c>
      <c r="D61" s="884"/>
      <c r="E61" s="886" t="s">
        <v>743</v>
      </c>
      <c r="F61" s="1390" t="s">
        <v>736</v>
      </c>
      <c r="G61" s="1391"/>
      <c r="H61" s="1391"/>
      <c r="I61" s="1391"/>
      <c r="J61" s="1391"/>
      <c r="K61" s="1391"/>
      <c r="L61" s="1391"/>
      <c r="M61" s="1392"/>
      <c r="N61" s="887" t="s">
        <v>737</v>
      </c>
    </row>
    <row r="62" spans="2:14">
      <c r="B62" s="884">
        <v>5</v>
      </c>
      <c r="C62" s="885">
        <v>42781</v>
      </c>
      <c r="D62" s="884"/>
      <c r="E62" s="886" t="s">
        <v>743</v>
      </c>
      <c r="F62" s="1390" t="s">
        <v>738</v>
      </c>
      <c r="G62" s="1391"/>
      <c r="H62" s="1391"/>
      <c r="I62" s="1391"/>
      <c r="J62" s="1391"/>
      <c r="K62" s="1391"/>
      <c r="L62" s="1391"/>
      <c r="M62" s="1392"/>
      <c r="N62" s="887" t="s">
        <v>737</v>
      </c>
    </row>
    <row r="63" spans="2:14">
      <c r="B63" s="884">
        <v>6</v>
      </c>
      <c r="C63" s="885">
        <v>42816</v>
      </c>
      <c r="D63" s="884"/>
      <c r="E63" s="886" t="s">
        <v>746</v>
      </c>
      <c r="F63" s="1390" t="s">
        <v>744</v>
      </c>
      <c r="G63" s="1391"/>
      <c r="H63" s="1391"/>
      <c r="I63" s="1391"/>
      <c r="J63" s="1391"/>
      <c r="K63" s="1391"/>
      <c r="L63" s="1391"/>
      <c r="M63" s="1392"/>
      <c r="N63" s="887" t="s">
        <v>737</v>
      </c>
    </row>
    <row r="64" spans="2:14">
      <c r="B64" s="884">
        <v>7</v>
      </c>
      <c r="C64" s="885">
        <v>42816</v>
      </c>
      <c r="D64" s="884"/>
      <c r="E64" s="886" t="s">
        <v>746</v>
      </c>
      <c r="F64" s="1390" t="s">
        <v>745</v>
      </c>
      <c r="G64" s="1391"/>
      <c r="H64" s="1391"/>
      <c r="I64" s="1391"/>
      <c r="J64" s="1391"/>
      <c r="K64" s="1391"/>
      <c r="L64" s="1391"/>
      <c r="M64" s="1392"/>
      <c r="N64" s="887" t="s">
        <v>737</v>
      </c>
    </row>
    <row r="65" spans="2:14">
      <c r="B65" s="884">
        <v>8</v>
      </c>
      <c r="C65" s="885">
        <v>42855</v>
      </c>
      <c r="D65" s="884"/>
      <c r="E65" s="886" t="s">
        <v>752</v>
      </c>
      <c r="F65" s="1390" t="s">
        <v>736</v>
      </c>
      <c r="G65" s="1391"/>
      <c r="H65" s="1391"/>
      <c r="I65" s="1391"/>
      <c r="J65" s="1391"/>
      <c r="K65" s="1391"/>
      <c r="L65" s="1391"/>
      <c r="M65" s="1392"/>
      <c r="N65" s="887" t="s">
        <v>737</v>
      </c>
    </row>
    <row r="66" spans="2:14">
      <c r="B66" s="884">
        <v>9</v>
      </c>
      <c r="C66" s="885">
        <v>42855</v>
      </c>
      <c r="D66" s="884"/>
      <c r="E66" s="886" t="s">
        <v>752</v>
      </c>
      <c r="F66" s="1390" t="s">
        <v>747</v>
      </c>
      <c r="G66" s="1391"/>
      <c r="H66" s="1391"/>
      <c r="I66" s="1391"/>
      <c r="J66" s="1391"/>
      <c r="K66" s="1391"/>
      <c r="L66" s="1391"/>
      <c r="M66" s="1392"/>
      <c r="N66" s="887" t="s">
        <v>737</v>
      </c>
    </row>
    <row r="67" spans="2:14">
      <c r="B67" s="884">
        <v>10</v>
      </c>
      <c r="C67" s="885">
        <v>42857</v>
      </c>
      <c r="D67" s="884"/>
      <c r="E67" s="886" t="s">
        <v>752</v>
      </c>
      <c r="F67" s="1390" t="s">
        <v>748</v>
      </c>
      <c r="G67" s="1391"/>
      <c r="H67" s="1391"/>
      <c r="I67" s="1391"/>
      <c r="J67" s="1391"/>
      <c r="K67" s="1391"/>
      <c r="L67" s="1391"/>
      <c r="M67" s="1392"/>
      <c r="N67" s="887" t="s">
        <v>737</v>
      </c>
    </row>
    <row r="68" spans="2:14">
      <c r="B68" s="884">
        <v>11</v>
      </c>
      <c r="C68" s="885">
        <v>42857</v>
      </c>
      <c r="D68" s="884"/>
      <c r="E68" s="886" t="s">
        <v>752</v>
      </c>
      <c r="F68" s="1390" t="s">
        <v>749</v>
      </c>
      <c r="G68" s="1391"/>
      <c r="H68" s="1391"/>
      <c r="I68" s="1391"/>
      <c r="J68" s="1391"/>
      <c r="K68" s="1391"/>
      <c r="L68" s="1391"/>
      <c r="M68" s="1392"/>
      <c r="N68" s="887" t="s">
        <v>737</v>
      </c>
    </row>
    <row r="69" spans="2:14">
      <c r="B69" s="884">
        <v>12</v>
      </c>
      <c r="C69" s="885">
        <v>42887</v>
      </c>
      <c r="D69" s="884"/>
      <c r="E69" s="886" t="s">
        <v>758</v>
      </c>
      <c r="F69" s="1390" t="s">
        <v>753</v>
      </c>
      <c r="G69" s="1391"/>
      <c r="H69" s="1391"/>
      <c r="I69" s="1391"/>
      <c r="J69" s="1391"/>
      <c r="K69" s="1391"/>
      <c r="L69" s="1391"/>
      <c r="M69" s="1392"/>
      <c r="N69" s="887" t="s">
        <v>737</v>
      </c>
    </row>
    <row r="70" spans="2:14">
      <c r="B70" s="884">
        <v>13</v>
      </c>
      <c r="C70" s="885">
        <v>42887</v>
      </c>
      <c r="D70" s="884"/>
      <c r="E70" s="886" t="s">
        <v>758</v>
      </c>
      <c r="F70" s="1390" t="s">
        <v>754</v>
      </c>
      <c r="G70" s="1391"/>
      <c r="H70" s="1391"/>
      <c r="I70" s="1391"/>
      <c r="J70" s="1391"/>
      <c r="K70" s="1391"/>
      <c r="L70" s="1391"/>
      <c r="M70" s="1392"/>
      <c r="N70" s="887" t="s">
        <v>737</v>
      </c>
    </row>
    <row r="71" spans="2:14">
      <c r="B71" s="884"/>
      <c r="C71" s="885"/>
      <c r="D71" s="884"/>
      <c r="E71" s="886"/>
      <c r="F71" s="1390"/>
      <c r="G71" s="1391"/>
      <c r="H71" s="1391"/>
      <c r="I71" s="1391"/>
      <c r="J71" s="1391"/>
      <c r="K71" s="1391"/>
      <c r="L71" s="1391"/>
      <c r="M71" s="1392"/>
      <c r="N71" s="887"/>
    </row>
    <row r="72" spans="2:14">
      <c r="B72" s="884"/>
      <c r="C72" s="885"/>
      <c r="D72" s="884"/>
      <c r="E72" s="886"/>
      <c r="F72" s="1390"/>
      <c r="G72" s="1391"/>
      <c r="H72" s="1391"/>
      <c r="I72" s="1391"/>
      <c r="J72" s="1391"/>
      <c r="K72" s="1391"/>
      <c r="L72" s="1391"/>
      <c r="M72" s="1392"/>
      <c r="N72" s="887"/>
    </row>
    <row r="73" spans="2:14">
      <c r="B73" s="884"/>
      <c r="C73" s="885"/>
      <c r="D73" s="884"/>
      <c r="E73" s="886"/>
      <c r="F73" s="1390"/>
      <c r="G73" s="1391"/>
      <c r="H73" s="1391"/>
      <c r="I73" s="1391"/>
      <c r="J73" s="1391"/>
      <c r="K73" s="1391"/>
      <c r="L73" s="1391"/>
      <c r="M73" s="1392"/>
      <c r="N73" s="887"/>
    </row>
    <row r="74" spans="2:14">
      <c r="B74" s="884"/>
      <c r="C74" s="885"/>
      <c r="D74" s="884"/>
      <c r="E74" s="886"/>
      <c r="F74" s="1390"/>
      <c r="G74" s="1391"/>
      <c r="H74" s="1391"/>
      <c r="I74" s="1391"/>
      <c r="J74" s="1391"/>
      <c r="K74" s="1391"/>
      <c r="L74" s="1391"/>
      <c r="M74" s="1392"/>
      <c r="N74" s="887"/>
    </row>
    <row r="75" spans="2:14">
      <c r="B75" s="884"/>
      <c r="C75" s="885"/>
      <c r="D75" s="884"/>
      <c r="E75" s="886"/>
      <c r="F75" s="1390"/>
      <c r="G75" s="1391"/>
      <c r="H75" s="1391"/>
      <c r="I75" s="1391"/>
      <c r="J75" s="1391"/>
      <c r="K75" s="1391"/>
      <c r="L75" s="1391"/>
      <c r="M75" s="1392"/>
      <c r="N75" s="887"/>
    </row>
    <row r="76" spans="2:14">
      <c r="B76" s="884"/>
      <c r="C76" s="885"/>
      <c r="D76" s="884"/>
      <c r="E76" s="886"/>
      <c r="F76" s="1390"/>
      <c r="G76" s="1391"/>
      <c r="H76" s="1391"/>
      <c r="I76" s="1391"/>
      <c r="J76" s="1391"/>
      <c r="K76" s="1391"/>
      <c r="L76" s="1391"/>
      <c r="M76" s="1392"/>
      <c r="N76" s="887"/>
    </row>
    <row r="77" spans="2:14">
      <c r="B77" s="884"/>
      <c r="C77" s="885"/>
      <c r="D77" s="884"/>
      <c r="E77" s="886"/>
      <c r="F77" s="1390"/>
      <c r="G77" s="1391"/>
      <c r="H77" s="1391"/>
      <c r="I77" s="1391"/>
      <c r="J77" s="1391"/>
      <c r="K77" s="1391"/>
      <c r="L77" s="1391"/>
      <c r="M77" s="1392"/>
      <c r="N77" s="887"/>
    </row>
    <row r="78" spans="2:14">
      <c r="B78" s="884"/>
      <c r="C78" s="885"/>
      <c r="D78" s="884"/>
      <c r="E78" s="886"/>
      <c r="F78" s="1390"/>
      <c r="G78" s="1391"/>
      <c r="H78" s="1391"/>
      <c r="I78" s="1391"/>
      <c r="J78" s="1391"/>
      <c r="K78" s="1391"/>
      <c r="L78" s="1391"/>
      <c r="M78" s="1392"/>
      <c r="N78" s="887"/>
    </row>
    <row r="79" spans="2:14">
      <c r="B79" s="884"/>
      <c r="C79" s="885"/>
      <c r="D79" s="884"/>
      <c r="E79" s="886"/>
      <c r="F79" s="1390"/>
      <c r="G79" s="1391"/>
      <c r="H79" s="1391"/>
      <c r="I79" s="1391"/>
      <c r="J79" s="1391"/>
      <c r="K79" s="1391"/>
      <c r="L79" s="1391"/>
      <c r="M79" s="1392"/>
      <c r="N79" s="887"/>
    </row>
  </sheetData>
  <sheetProtection password="F718" sheet="1" objects="1" scenarios="1" selectLockedCells="1" selectUnlockedCells="1"/>
  <mergeCells count="24">
    <mergeCell ref="F78:M78"/>
    <mergeCell ref="F79:M79"/>
    <mergeCell ref="F73:M73"/>
    <mergeCell ref="F74:M74"/>
    <mergeCell ref="F75:M75"/>
    <mergeCell ref="F76:M76"/>
    <mergeCell ref="F77:M77"/>
    <mergeCell ref="F68:M68"/>
    <mergeCell ref="F69:M69"/>
    <mergeCell ref="F70:M70"/>
    <mergeCell ref="F71:M71"/>
    <mergeCell ref="F72:M72"/>
    <mergeCell ref="F63:M63"/>
    <mergeCell ref="F64:M64"/>
    <mergeCell ref="F65:M65"/>
    <mergeCell ref="F66:M66"/>
    <mergeCell ref="F67:M67"/>
    <mergeCell ref="F62:M62"/>
    <mergeCell ref="F61:M61"/>
    <mergeCell ref="B56:N56"/>
    <mergeCell ref="F57:M57"/>
    <mergeCell ref="F59:M59"/>
    <mergeCell ref="F58:M58"/>
    <mergeCell ref="F60:M60"/>
  </mergeCells>
  <phoneticPr fontId="15" type="noConversion"/>
  <conditionalFormatting sqref="B30:H32">
    <cfRule type="cellIs" dxfId="14" priority="1" stopIfTrue="1" operator="equal">
      <formula>1</formula>
    </cfRule>
    <cfRule type="cellIs" dxfId="13" priority="2" stopIfTrue="1" operator="equal">
      <formula>2</formula>
    </cfRule>
    <cfRule type="cellIs" dxfId="12" priority="3" stopIfTrue="1" operator="equal">
      <formula>5</formula>
    </cfRule>
  </conditionalFormatting>
  <conditionalFormatting sqref="B28:H29 B11:B18 C11:H20">
    <cfRule type="cellIs" dxfId="11" priority="4" stopIfTrue="1" operator="equal">
      <formula>1</formula>
    </cfRule>
    <cfRule type="cellIs" dxfId="10" priority="5" stopIfTrue="1" operator="equal">
      <formula>2</formula>
    </cfRule>
    <cfRule type="cellIs" dxfId="9" priority="6" stopIfTrue="1" operator="equal">
      <formula>7</formula>
    </cfRule>
  </conditionalFormatting>
  <conditionalFormatting sqref="D21:H27 C21:C26">
    <cfRule type="cellIs" dxfId="8" priority="7" stopIfTrue="1" operator="equal">
      <formula>1</formula>
    </cfRule>
    <cfRule type="cellIs" dxfId="7" priority="8" stopIfTrue="1" operator="equal">
      <formula>2</formula>
    </cfRule>
    <cfRule type="cellIs" dxfId="6" priority="9" stopIfTrue="1" operator="equal">
      <formula>10</formula>
    </cfRule>
  </conditionalFormatting>
  <conditionalFormatting sqref="B19:B27 C27">
    <cfRule type="cellIs" dxfId="5" priority="10" stopIfTrue="1" operator="equal">
      <formula>1</formula>
    </cfRule>
    <cfRule type="cellIs" dxfId="4" priority="11" stopIfTrue="1" operator="equal">
      <formula>2</formula>
    </cfRule>
    <cfRule type="cellIs" dxfId="3" priority="12" stopIfTrue="1" operator="equal">
      <formula>9</formula>
    </cfRule>
  </conditionalFormatting>
  <conditionalFormatting sqref="J11:J27">
    <cfRule type="cellIs" dxfId="2" priority="13" stopIfTrue="1" operator="between">
      <formula>8</formula>
      <formula>14</formula>
    </cfRule>
    <cfRule type="cellIs" dxfId="1" priority="14" stopIfTrue="1" operator="between">
      <formula>15</formula>
      <formula>25</formula>
    </cfRule>
    <cfRule type="cellIs" dxfId="0" priority="15" stopIfTrue="1" operator="equal">
      <formula>7</formula>
    </cfRule>
  </conditionalFormatting>
  <pageMargins left="0.78740157480314965" right="0.78740157480314965" top="0.98425196850393704" bottom="0.98425196850393704" header="0.51181102362204722" footer="0.51181102362204722"/>
  <pageSetup paperSize="9" orientation="landscape" r:id="rId1"/>
  <headerFooter scaleWithDoc="0">
    <oddFooter xml:space="preserve">&amp;L I , </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Tabelle1">
    <tabColor rgb="FFFF0000"/>
    <pageSetUpPr fitToPage="1"/>
  </sheetPr>
  <dimension ref="A2:I301"/>
  <sheetViews>
    <sheetView zoomScale="85" zoomScaleNormal="85" workbookViewId="0">
      <pane xSplit="1" ySplit="3" topLeftCell="C226" activePane="bottomRight" state="frozen"/>
      <selection pane="topRight" activeCell="B1" sqref="B1"/>
      <selection pane="bottomLeft" activeCell="A4" sqref="A4"/>
      <selection pane="bottomRight" activeCell="A227" sqref="A227"/>
    </sheetView>
  </sheetViews>
  <sheetFormatPr baseColWidth="10" defaultColWidth="11.42578125" defaultRowHeight="12.75"/>
  <cols>
    <col min="2" max="3" width="104" customWidth="1"/>
    <col min="4" max="4" width="13.28515625" bestFit="1" customWidth="1"/>
    <col min="6" max="6" width="46" customWidth="1"/>
    <col min="9" max="9" width="12.28515625" bestFit="1" customWidth="1"/>
  </cols>
  <sheetData>
    <row r="2" spans="1:9">
      <c r="A2" t="s">
        <v>647</v>
      </c>
    </row>
    <row r="3" spans="1:9" s="279" customFormat="1" ht="15">
      <c r="A3" s="334">
        <f>MATCH(A2,B3:G3,0)+1</f>
        <v>3</v>
      </c>
      <c r="B3" s="279" t="s">
        <v>755</v>
      </c>
      <c r="C3" s="279" t="s">
        <v>647</v>
      </c>
      <c r="D3" s="279" t="s">
        <v>378</v>
      </c>
      <c r="E3"/>
      <c r="F3" s="279" t="s">
        <v>751</v>
      </c>
      <c r="I3" s="279" t="s">
        <v>379</v>
      </c>
    </row>
    <row r="4" spans="1:9">
      <c r="A4" t="str">
        <f>pos('Input Form'!B1)</f>
        <v>$B$1</v>
      </c>
      <c r="B4" t="s">
        <v>5</v>
      </c>
      <c r="C4" s="423" t="s">
        <v>455</v>
      </c>
      <c r="D4" s="3" t="s">
        <v>404</v>
      </c>
      <c r="F4" t="s">
        <v>5</v>
      </c>
      <c r="I4" t="str">
        <f>B3</f>
        <v>GERMAN</v>
      </c>
    </row>
    <row r="5" spans="1:9">
      <c r="A5" t="str">
        <f>pos('Input Form'!D3)</f>
        <v>$D$3</v>
      </c>
      <c r="B5" s="3" t="s">
        <v>403</v>
      </c>
      <c r="C5" s="423" t="s">
        <v>664</v>
      </c>
      <c r="D5" s="3" t="s">
        <v>404</v>
      </c>
      <c r="F5" s="3" t="s">
        <v>403</v>
      </c>
      <c r="I5" t="str">
        <f>C3</f>
        <v>ENGLISH</v>
      </c>
    </row>
    <row r="6" spans="1:9">
      <c r="A6" t="str">
        <f>pos('Input Form'!B9)</f>
        <v>$B$9</v>
      </c>
      <c r="B6" t="s">
        <v>8</v>
      </c>
      <c r="C6" s="423" t="s">
        <v>665</v>
      </c>
      <c r="D6" s="3" t="s">
        <v>404</v>
      </c>
      <c r="F6" t="s">
        <v>8</v>
      </c>
    </row>
    <row r="7" spans="1:9">
      <c r="A7" t="str">
        <f>pos('Input Form'!B10)</f>
        <v>$B$10</v>
      </c>
      <c r="B7" t="s">
        <v>9</v>
      </c>
      <c r="C7" s="423" t="s">
        <v>363</v>
      </c>
      <c r="D7" s="3" t="s">
        <v>404</v>
      </c>
      <c r="F7" t="s">
        <v>9</v>
      </c>
    </row>
    <row r="8" spans="1:9">
      <c r="A8" t="str">
        <f>pos('Input Form'!B12)</f>
        <v>$B$12</v>
      </c>
      <c r="B8" t="s">
        <v>11</v>
      </c>
      <c r="C8" s="423" t="s">
        <v>456</v>
      </c>
      <c r="D8" s="3" t="s">
        <v>404</v>
      </c>
      <c r="F8" t="s">
        <v>11</v>
      </c>
    </row>
    <row r="9" spans="1:9">
      <c r="A9" t="str">
        <f>pos('Input Form'!B13)</f>
        <v>$B$13</v>
      </c>
      <c r="B9" s="3" t="s">
        <v>370</v>
      </c>
      <c r="C9" s="423" t="s">
        <v>666</v>
      </c>
      <c r="D9" s="3" t="s">
        <v>404</v>
      </c>
      <c r="F9" s="3" t="s">
        <v>370</v>
      </c>
    </row>
    <row r="10" spans="1:9">
      <c r="A10" t="str">
        <f>pos('Input Form'!B14)</f>
        <v>$B$14</v>
      </c>
      <c r="B10" t="s">
        <v>12</v>
      </c>
      <c r="C10" s="423" t="s">
        <v>12</v>
      </c>
      <c r="D10" s="3" t="s">
        <v>404</v>
      </c>
      <c r="F10" t="s">
        <v>12</v>
      </c>
    </row>
    <row r="11" spans="1:9">
      <c r="A11" t="str">
        <f>pos('Input Form'!B15)</f>
        <v>$B$15</v>
      </c>
      <c r="B11" s="3" t="s">
        <v>654</v>
      </c>
      <c r="C11" s="423" t="s">
        <v>667</v>
      </c>
      <c r="D11" s="3" t="s">
        <v>404</v>
      </c>
      <c r="F11" s="3" t="s">
        <v>654</v>
      </c>
    </row>
    <row r="12" spans="1:9">
      <c r="A12" t="str">
        <f>pos('Input Form'!B17)</f>
        <v>$B$17</v>
      </c>
      <c r="B12" t="s">
        <v>14</v>
      </c>
      <c r="C12" s="423" t="s">
        <v>668</v>
      </c>
      <c r="D12" s="3" t="s">
        <v>404</v>
      </c>
      <c r="F12" t="s">
        <v>14</v>
      </c>
    </row>
    <row r="13" spans="1:9">
      <c r="A13" t="str">
        <f>pos('Input Form'!B18)</f>
        <v>$B$18</v>
      </c>
      <c r="B13" s="3" t="s">
        <v>714</v>
      </c>
      <c r="C13" s="423" t="s">
        <v>669</v>
      </c>
      <c r="D13" s="3" t="s">
        <v>404</v>
      </c>
      <c r="F13" s="3" t="s">
        <v>714</v>
      </c>
    </row>
    <row r="14" spans="1:9">
      <c r="A14" t="str">
        <f>pos('Input Form'!B19)</f>
        <v>$B$19</v>
      </c>
      <c r="B14" s="3" t="s">
        <v>429</v>
      </c>
      <c r="C14" s="423" t="s">
        <v>457</v>
      </c>
      <c r="D14" s="3" t="s">
        <v>404</v>
      </c>
      <c r="F14" s="3" t="s">
        <v>429</v>
      </c>
    </row>
    <row r="15" spans="1:9">
      <c r="A15" t="str">
        <f>pos('Input Form'!B20)</f>
        <v>$B$20</v>
      </c>
      <c r="B15" t="s">
        <v>18</v>
      </c>
      <c r="C15" s="423" t="s">
        <v>364</v>
      </c>
      <c r="D15" s="3" t="s">
        <v>404</v>
      </c>
      <c r="F15" t="s">
        <v>18</v>
      </c>
    </row>
    <row r="16" spans="1:9">
      <c r="A16" t="str">
        <f>pos('Input Form'!B21)</f>
        <v>$B$21</v>
      </c>
      <c r="B16" s="3" t="s">
        <v>428</v>
      </c>
      <c r="C16" s="423" t="s">
        <v>458</v>
      </c>
      <c r="D16" s="3" t="s">
        <v>404</v>
      </c>
      <c r="F16" s="3" t="s">
        <v>428</v>
      </c>
    </row>
    <row r="17" spans="1:6">
      <c r="A17" t="str">
        <f>pos('Input Form'!B22)</f>
        <v>$B$22</v>
      </c>
      <c r="B17" s="3" t="s">
        <v>417</v>
      </c>
      <c r="C17" s="423" t="s">
        <v>416</v>
      </c>
      <c r="D17" s="3" t="s">
        <v>404</v>
      </c>
      <c r="F17" s="3" t="s">
        <v>417</v>
      </c>
    </row>
    <row r="18" spans="1:6">
      <c r="A18" t="str">
        <f>pos('Input Form'!B23)</f>
        <v>$B$23</v>
      </c>
      <c r="B18" t="s">
        <v>57</v>
      </c>
      <c r="C18" s="423" t="s">
        <v>459</v>
      </c>
      <c r="D18" s="3" t="s">
        <v>404</v>
      </c>
      <c r="F18" t="s">
        <v>57</v>
      </c>
    </row>
    <row r="19" spans="1:6">
      <c r="A19" t="str">
        <f>pos('Input Form'!B24)</f>
        <v>$B$24</v>
      </c>
      <c r="B19" t="s">
        <v>22</v>
      </c>
      <c r="C19" s="423" t="s">
        <v>460</v>
      </c>
      <c r="D19" s="3" t="s">
        <v>404</v>
      </c>
      <c r="F19" t="s">
        <v>22</v>
      </c>
    </row>
    <row r="20" spans="1:6">
      <c r="A20" t="str">
        <f>pos('Input Form'!B25)</f>
        <v>$B$25</v>
      </c>
      <c r="B20" t="s">
        <v>23</v>
      </c>
      <c r="C20" s="423" t="s">
        <v>461</v>
      </c>
      <c r="D20" s="3" t="s">
        <v>404</v>
      </c>
      <c r="F20" t="s">
        <v>23</v>
      </c>
    </row>
    <row r="21" spans="1:6">
      <c r="A21" t="str">
        <f>pos('Input Form'!B26)</f>
        <v>$B$26</v>
      </c>
      <c r="B21" t="s">
        <v>228</v>
      </c>
      <c r="C21" s="423" t="s">
        <v>534</v>
      </c>
      <c r="D21" s="3" t="s">
        <v>404</v>
      </c>
      <c r="F21" t="s">
        <v>228</v>
      </c>
    </row>
    <row r="22" spans="1:6">
      <c r="A22" t="str">
        <f>pos('Input Form'!B27)</f>
        <v>$B$27</v>
      </c>
      <c r="B22" t="s">
        <v>25</v>
      </c>
      <c r="C22" s="423" t="s">
        <v>462</v>
      </c>
      <c r="D22" s="3" t="s">
        <v>404</v>
      </c>
      <c r="F22" t="s">
        <v>25</v>
      </c>
    </row>
    <row r="23" spans="1:6">
      <c r="A23" t="str">
        <f>pos('Input Form'!B28)</f>
        <v>$B$28</v>
      </c>
      <c r="B23" s="3" t="s">
        <v>652</v>
      </c>
      <c r="C23" s="423" t="s">
        <v>670</v>
      </c>
      <c r="D23" s="3" t="s">
        <v>404</v>
      </c>
      <c r="F23" s="3" t="s">
        <v>652</v>
      </c>
    </row>
    <row r="24" spans="1:6">
      <c r="A24" t="str">
        <f>pos('Input Form'!B29)</f>
        <v>$B$29</v>
      </c>
      <c r="B24" s="3" t="s">
        <v>729</v>
      </c>
      <c r="C24" s="423" t="s">
        <v>482</v>
      </c>
      <c r="D24" s="3" t="s">
        <v>404</v>
      </c>
      <c r="F24" s="3" t="s">
        <v>729</v>
      </c>
    </row>
    <row r="25" spans="1:6">
      <c r="A25" t="str">
        <f>pos('Input Form'!B30)</f>
        <v>$B$30</v>
      </c>
      <c r="B25" s="3" t="s">
        <v>381</v>
      </c>
      <c r="C25" s="423" t="s">
        <v>483</v>
      </c>
      <c r="D25" s="3" t="s">
        <v>404</v>
      </c>
      <c r="F25" s="3" t="s">
        <v>381</v>
      </c>
    </row>
    <row r="26" spans="1:6">
      <c r="A26" t="str">
        <f>pos('Input Form'!B31)</f>
        <v>$B$31</v>
      </c>
      <c r="B26" s="3" t="s">
        <v>382</v>
      </c>
      <c r="C26" s="423" t="s">
        <v>484</v>
      </c>
      <c r="D26" s="3" t="s">
        <v>404</v>
      </c>
      <c r="F26" s="3" t="s">
        <v>382</v>
      </c>
    </row>
    <row r="27" spans="1:6">
      <c r="A27" t="str">
        <f>pos('Input Form'!B33)</f>
        <v>$B$33</v>
      </c>
      <c r="B27" s="3" t="s">
        <v>648</v>
      </c>
      <c r="C27" s="423" t="s">
        <v>671</v>
      </c>
      <c r="D27" s="3" t="s">
        <v>404</v>
      </c>
      <c r="F27" s="3" t="s">
        <v>648</v>
      </c>
    </row>
    <row r="28" spans="1:6">
      <c r="A28" t="str">
        <f>pos('Input Form'!B34)</f>
        <v>$B$34</v>
      </c>
      <c r="B28" t="s">
        <v>277</v>
      </c>
      <c r="C28" s="423" t="s">
        <v>535</v>
      </c>
      <c r="D28" s="3" t="s">
        <v>404</v>
      </c>
      <c r="F28" t="s">
        <v>277</v>
      </c>
    </row>
    <row r="29" spans="1:6">
      <c r="A29" t="str">
        <f>pos('Input Form'!B36)</f>
        <v>$B$36</v>
      </c>
      <c r="B29" s="3" t="s">
        <v>15</v>
      </c>
      <c r="C29" s="423" t="s">
        <v>463</v>
      </c>
      <c r="D29" s="3" t="s">
        <v>404</v>
      </c>
      <c r="F29" s="3" t="s">
        <v>15</v>
      </c>
    </row>
    <row r="30" spans="1:6">
      <c r="A30" t="str">
        <f>pos('Input Form'!D10)</f>
        <v>$D$10</v>
      </c>
      <c r="B30" s="3" t="s">
        <v>728</v>
      </c>
      <c r="C30" s="423" t="s">
        <v>750</v>
      </c>
      <c r="D30" s="3" t="s">
        <v>404</v>
      </c>
      <c r="F30" s="3" t="s">
        <v>728</v>
      </c>
    </row>
    <row r="31" spans="1:6">
      <c r="A31" t="str">
        <f>pos('Input Form'!D13)</f>
        <v>$D$13</v>
      </c>
      <c r="B31" t="s">
        <v>13</v>
      </c>
      <c r="C31" s="423" t="s">
        <v>464</v>
      </c>
      <c r="D31" s="3" t="s">
        <v>404</v>
      </c>
      <c r="F31" t="s">
        <v>13</v>
      </c>
    </row>
    <row r="32" spans="1:6">
      <c r="A32" t="str">
        <f>pos('Input Form'!D18)</f>
        <v>$D$18</v>
      </c>
      <c r="B32" t="s">
        <v>17</v>
      </c>
      <c r="C32" s="423" t="s">
        <v>465</v>
      </c>
      <c r="D32" s="3" t="s">
        <v>404</v>
      </c>
      <c r="F32" t="s">
        <v>17</v>
      </c>
    </row>
    <row r="33" spans="1:6">
      <c r="A33" t="str">
        <f>pos('Input Form'!D19)</f>
        <v>$D$19</v>
      </c>
      <c r="B33" t="s">
        <v>19</v>
      </c>
      <c r="C33" s="423" t="s">
        <v>466</v>
      </c>
      <c r="D33" s="3" t="s">
        <v>404</v>
      </c>
      <c r="F33" t="s">
        <v>19</v>
      </c>
    </row>
    <row r="34" spans="1:6">
      <c r="A34" t="str">
        <f>pos('Input Form'!D20)</f>
        <v>$D$20</v>
      </c>
      <c r="B34" t="s">
        <v>20</v>
      </c>
      <c r="C34" s="423" t="s">
        <v>20</v>
      </c>
      <c r="D34" s="3" t="s">
        <v>404</v>
      </c>
      <c r="F34" t="s">
        <v>20</v>
      </c>
    </row>
    <row r="35" spans="1:6">
      <c r="A35" t="str">
        <f>pos('Input Form'!D21)</f>
        <v>$D$21</v>
      </c>
      <c r="B35" t="s">
        <v>224</v>
      </c>
      <c r="C35" s="423" t="s">
        <v>536</v>
      </c>
      <c r="D35" s="3" t="s">
        <v>404</v>
      </c>
      <c r="F35" t="s">
        <v>224</v>
      </c>
    </row>
    <row r="36" spans="1:6">
      <c r="A36" t="str">
        <f>pos('Input Form'!D22)</f>
        <v>$D$22</v>
      </c>
      <c r="B36" t="s">
        <v>21</v>
      </c>
      <c r="C36" s="423" t="s">
        <v>537</v>
      </c>
      <c r="D36" s="3" t="s">
        <v>404</v>
      </c>
      <c r="F36" t="s">
        <v>21</v>
      </c>
    </row>
    <row r="37" spans="1:6">
      <c r="A37" t="str">
        <f>pos('Input Form'!D23)</f>
        <v>$D$23</v>
      </c>
      <c r="B37" t="s">
        <v>375</v>
      </c>
      <c r="C37" s="423" t="s">
        <v>538</v>
      </c>
      <c r="D37" s="3" t="s">
        <v>404</v>
      </c>
      <c r="F37" t="s">
        <v>375</v>
      </c>
    </row>
    <row r="38" spans="1:6">
      <c r="A38" t="str">
        <f>pos('Input Form'!H9)</f>
        <v>$H$9</v>
      </c>
      <c r="B38" s="3" t="s">
        <v>380</v>
      </c>
      <c r="C38" s="423" t="s">
        <v>672</v>
      </c>
      <c r="D38" s="3" t="s">
        <v>404</v>
      </c>
      <c r="F38" s="3" t="s">
        <v>380</v>
      </c>
    </row>
    <row r="39" spans="1:6">
      <c r="A39" t="str">
        <f>pos('Input Form'!C36)</f>
        <v>$C$36</v>
      </c>
      <c r="B39" t="s">
        <v>278</v>
      </c>
      <c r="C39" s="423" t="s">
        <v>539</v>
      </c>
      <c r="D39" s="3" t="s">
        <v>404</v>
      </c>
      <c r="F39" t="s">
        <v>278</v>
      </c>
    </row>
    <row r="40" spans="1:6">
      <c r="A40" t="str">
        <f>pos('Input Form'!D37)</f>
        <v>$D$37</v>
      </c>
      <c r="B40" t="s">
        <v>16</v>
      </c>
      <c r="C40" s="423" t="s">
        <v>673</v>
      </c>
      <c r="D40" s="3" t="s">
        <v>404</v>
      </c>
      <c r="F40" t="s">
        <v>16</v>
      </c>
    </row>
    <row r="41" spans="1:6">
      <c r="A41" t="str">
        <f>pos('Input Form'!E37)</f>
        <v>$E$37</v>
      </c>
      <c r="B41" s="3" t="s">
        <v>651</v>
      </c>
      <c r="C41" s="423" t="s">
        <v>540</v>
      </c>
      <c r="D41" s="3" t="s">
        <v>404</v>
      </c>
      <c r="F41" s="3" t="s">
        <v>651</v>
      </c>
    </row>
    <row r="42" spans="1:6">
      <c r="A42" t="str">
        <f>pos('Input Form'!F37)</f>
        <v>$F$37</v>
      </c>
      <c r="B42" s="3" t="s">
        <v>475</v>
      </c>
      <c r="C42" s="423" t="s">
        <v>541</v>
      </c>
      <c r="D42" s="3" t="s">
        <v>404</v>
      </c>
      <c r="F42" s="3" t="s">
        <v>475</v>
      </c>
    </row>
    <row r="43" spans="1:6">
      <c r="A43" t="str">
        <f>pos('Input Form'!H37)</f>
        <v>$H$37</v>
      </c>
      <c r="B43" t="s">
        <v>205</v>
      </c>
      <c r="C43" s="423" t="s">
        <v>542</v>
      </c>
      <c r="D43" s="3" t="s">
        <v>404</v>
      </c>
      <c r="F43" t="s">
        <v>205</v>
      </c>
    </row>
    <row r="44" spans="1:6">
      <c r="A44" t="str">
        <f>pos('Input Form'!E36)</f>
        <v>$E$36</v>
      </c>
      <c r="B44" t="s">
        <v>206</v>
      </c>
      <c r="C44" s="423" t="s">
        <v>543</v>
      </c>
      <c r="D44" s="3" t="s">
        <v>404</v>
      </c>
      <c r="F44" t="s">
        <v>206</v>
      </c>
    </row>
    <row r="45" spans="1:6">
      <c r="A45" t="str">
        <f>pos('Input Form'!C33)</f>
        <v>$C$33</v>
      </c>
      <c r="B45" t="s">
        <v>27</v>
      </c>
      <c r="C45" s="423" t="s">
        <v>389</v>
      </c>
      <c r="D45" s="3" t="s">
        <v>404</v>
      </c>
      <c r="F45" t="s">
        <v>27</v>
      </c>
    </row>
    <row r="46" spans="1:6">
      <c r="A46" t="str">
        <f>pos('Input Form'!D33)</f>
        <v>$D$33</v>
      </c>
      <c r="B46" t="s">
        <v>28</v>
      </c>
      <c r="C46" s="423" t="s">
        <v>390</v>
      </c>
      <c r="D46" s="3" t="s">
        <v>404</v>
      </c>
      <c r="F46" t="s">
        <v>28</v>
      </c>
    </row>
    <row r="47" spans="1:6">
      <c r="A47" t="str">
        <f>pos('Input Form'!E33)</f>
        <v>$E$33</v>
      </c>
      <c r="B47" t="s">
        <v>29</v>
      </c>
      <c r="C47" s="423" t="s">
        <v>391</v>
      </c>
      <c r="D47" s="3" t="s">
        <v>404</v>
      </c>
      <c r="F47" t="s">
        <v>29</v>
      </c>
    </row>
    <row r="48" spans="1:6">
      <c r="A48" t="str">
        <f>pos('Input Form'!F33)</f>
        <v>$F$33</v>
      </c>
      <c r="B48" t="s">
        <v>120</v>
      </c>
      <c r="C48" s="423" t="s">
        <v>392</v>
      </c>
      <c r="D48" s="3" t="s">
        <v>404</v>
      </c>
      <c r="F48" t="s">
        <v>120</v>
      </c>
    </row>
    <row r="49" spans="1:6">
      <c r="A49" t="str">
        <f>pos('Input Form'!C38)</f>
        <v>$C$38</v>
      </c>
      <c r="B49" t="s">
        <v>290</v>
      </c>
      <c r="C49" s="423" t="s">
        <v>393</v>
      </c>
      <c r="D49" s="3" t="s">
        <v>404</v>
      </c>
      <c r="F49" t="s">
        <v>290</v>
      </c>
    </row>
    <row r="50" spans="1:6">
      <c r="A50" t="str">
        <f>pos('Input Form'!C39)</f>
        <v>$C$39</v>
      </c>
      <c r="B50" t="s">
        <v>291</v>
      </c>
      <c r="C50" s="423" t="s">
        <v>394</v>
      </c>
      <c r="D50" s="3" t="s">
        <v>404</v>
      </c>
      <c r="F50" t="s">
        <v>291</v>
      </c>
    </row>
    <row r="51" spans="1:6">
      <c r="A51" t="str">
        <f>pos('Input Form'!C40)</f>
        <v>$C$40</v>
      </c>
      <c r="B51" t="s">
        <v>292</v>
      </c>
      <c r="C51" s="423" t="s">
        <v>395</v>
      </c>
      <c r="D51" s="3" t="s">
        <v>404</v>
      </c>
      <c r="F51" t="s">
        <v>292</v>
      </c>
    </row>
    <row r="52" spans="1:6">
      <c r="A52" t="str">
        <f>pos('Input Form'!C41)</f>
        <v>$C$41</v>
      </c>
      <c r="B52" t="s">
        <v>293</v>
      </c>
      <c r="C52" s="423" t="s">
        <v>402</v>
      </c>
      <c r="D52" s="3" t="s">
        <v>404</v>
      </c>
      <c r="F52" t="s">
        <v>293</v>
      </c>
    </row>
    <row r="53" spans="1:6">
      <c r="A53" t="str">
        <f>pos('Input Form'!C42)</f>
        <v>$C$42</v>
      </c>
      <c r="B53" t="s">
        <v>229</v>
      </c>
      <c r="C53" s="423" t="s">
        <v>396</v>
      </c>
      <c r="D53" s="3" t="s">
        <v>404</v>
      </c>
      <c r="F53" t="s">
        <v>229</v>
      </c>
    </row>
    <row r="54" spans="1:6">
      <c r="A54" t="str">
        <f>pos('Input Form'!C43)</f>
        <v>$C$43</v>
      </c>
      <c r="B54" t="s">
        <v>230</v>
      </c>
      <c r="C54" s="423" t="s">
        <v>397</v>
      </c>
      <c r="D54" s="3" t="s">
        <v>404</v>
      </c>
      <c r="F54" t="s">
        <v>230</v>
      </c>
    </row>
    <row r="55" spans="1:6">
      <c r="A55" t="str">
        <f>pos('Input Form'!C44)</f>
        <v>$C$44</v>
      </c>
      <c r="B55" t="s">
        <v>231</v>
      </c>
      <c r="C55" s="423" t="s">
        <v>398</v>
      </c>
      <c r="D55" s="3" t="s">
        <v>404</v>
      </c>
      <c r="F55" t="s">
        <v>231</v>
      </c>
    </row>
    <row r="56" spans="1:6">
      <c r="A56" t="str">
        <f>pos('Input Form'!C45)</f>
        <v>$C$45</v>
      </c>
      <c r="B56" t="s">
        <v>232</v>
      </c>
      <c r="C56" s="423" t="s">
        <v>399</v>
      </c>
      <c r="D56" s="3" t="s">
        <v>404</v>
      </c>
      <c r="F56" t="s">
        <v>232</v>
      </c>
    </row>
    <row r="57" spans="1:6">
      <c r="A57" t="str">
        <f>pos('Input Form'!C46)</f>
        <v>$C$46</v>
      </c>
      <c r="B57" t="s">
        <v>233</v>
      </c>
      <c r="C57" s="423" t="s">
        <v>400</v>
      </c>
      <c r="D57" s="3" t="s">
        <v>404</v>
      </c>
      <c r="F57" t="s">
        <v>233</v>
      </c>
    </row>
    <row r="58" spans="1:6">
      <c r="A58" t="str">
        <f>pos('Input Form'!C47)</f>
        <v>$C$47</v>
      </c>
      <c r="B58" t="s">
        <v>234</v>
      </c>
      <c r="C58" s="423" t="s">
        <v>401</v>
      </c>
      <c r="D58" s="3" t="s">
        <v>404</v>
      </c>
      <c r="F58" t="s">
        <v>234</v>
      </c>
    </row>
    <row r="59" spans="1:6">
      <c r="A59" t="str">
        <f>pos('Input Form'!B63)</f>
        <v>$B$63</v>
      </c>
      <c r="B59" t="s">
        <v>303</v>
      </c>
      <c r="C59" s="423" t="s">
        <v>544</v>
      </c>
      <c r="D59" s="3" t="s">
        <v>404</v>
      </c>
      <c r="F59" t="s">
        <v>303</v>
      </c>
    </row>
    <row r="60" spans="1:6" ht="25.5">
      <c r="A60" t="str">
        <f>pos('Input Form'!B63)</f>
        <v>$B$63</v>
      </c>
      <c r="B60" s="357" t="s">
        <v>303</v>
      </c>
      <c r="C60" s="842" t="s">
        <v>544</v>
      </c>
      <c r="D60" s="3" t="s">
        <v>404</v>
      </c>
      <c r="F60" s="357" t="s">
        <v>303</v>
      </c>
    </row>
    <row r="61" spans="1:6" ht="25.5">
      <c r="A61" t="str">
        <f>pos('Input Form'!B49)</f>
        <v>$B$49</v>
      </c>
      <c r="B61" s="357" t="s">
        <v>294</v>
      </c>
      <c r="C61" s="842" t="s">
        <v>545</v>
      </c>
      <c r="D61" s="3" t="s">
        <v>404</v>
      </c>
      <c r="F61" s="357" t="s">
        <v>294</v>
      </c>
    </row>
    <row r="62" spans="1:6">
      <c r="A62" t="str">
        <f>pos('Input Form'!B64)</f>
        <v>$B$64</v>
      </c>
      <c r="B62" t="s">
        <v>204</v>
      </c>
      <c r="C62" s="423" t="s">
        <v>546</v>
      </c>
      <c r="D62" s="3" t="s">
        <v>404</v>
      </c>
      <c r="F62" t="s">
        <v>204</v>
      </c>
    </row>
    <row r="63" spans="1:6">
      <c r="A63" t="str">
        <f>pos('Input Form'!B65)</f>
        <v>$B$65</v>
      </c>
      <c r="B63" t="s">
        <v>33</v>
      </c>
      <c r="C63" s="423" t="s">
        <v>467</v>
      </c>
      <c r="D63" s="3" t="s">
        <v>404</v>
      </c>
      <c r="F63" t="s">
        <v>33</v>
      </c>
    </row>
    <row r="64" spans="1:6">
      <c r="A64" t="str">
        <f>pos('Input Form'!B66)</f>
        <v>$B$66</v>
      </c>
      <c r="B64" t="s">
        <v>34</v>
      </c>
      <c r="C64" s="423" t="s">
        <v>468</v>
      </c>
      <c r="D64" s="3" t="s">
        <v>404</v>
      </c>
      <c r="F64" t="s">
        <v>34</v>
      </c>
    </row>
    <row r="65" spans="1:6">
      <c r="A65" t="str">
        <f>pos('Input Form'!B67)</f>
        <v>$B$67</v>
      </c>
      <c r="B65" t="s">
        <v>35</v>
      </c>
      <c r="C65" s="423" t="s">
        <v>469</v>
      </c>
      <c r="D65" s="3" t="s">
        <v>404</v>
      </c>
      <c r="F65" t="s">
        <v>35</v>
      </c>
    </row>
    <row r="66" spans="1:6">
      <c r="A66" t="str">
        <f>pos('Input Form'!B68)</f>
        <v>$B$68</v>
      </c>
      <c r="B66" t="s">
        <v>36</v>
      </c>
      <c r="C66" s="423" t="s">
        <v>470</v>
      </c>
      <c r="D66" s="3" t="s">
        <v>404</v>
      </c>
      <c r="F66" t="s">
        <v>36</v>
      </c>
    </row>
    <row r="67" spans="1:6">
      <c r="A67" t="str">
        <f>pos('Input Form'!B69)</f>
        <v>$B$69</v>
      </c>
      <c r="B67" t="s">
        <v>371</v>
      </c>
      <c r="C67" s="423" t="s">
        <v>476</v>
      </c>
      <c r="D67" s="3" t="s">
        <v>404</v>
      </c>
      <c r="F67" t="s">
        <v>371</v>
      </c>
    </row>
    <row r="68" spans="1:6">
      <c r="A68" t="str">
        <f>pos('Input Form'!B70)</f>
        <v>$B$70</v>
      </c>
      <c r="B68" t="s">
        <v>372</v>
      </c>
      <c r="C68" s="423" t="s">
        <v>477</v>
      </c>
      <c r="D68" s="3" t="s">
        <v>404</v>
      </c>
      <c r="F68" t="s">
        <v>372</v>
      </c>
    </row>
    <row r="69" spans="1:6">
      <c r="A69" t="str">
        <f>pos('Input Form'!B71)</f>
        <v>$B$71</v>
      </c>
      <c r="B69" t="s">
        <v>373</v>
      </c>
      <c r="C69" s="423" t="s">
        <v>478</v>
      </c>
      <c r="D69" s="3" t="s">
        <v>404</v>
      </c>
      <c r="F69" t="s">
        <v>373</v>
      </c>
    </row>
    <row r="70" spans="1:6">
      <c r="A70" t="str">
        <f>pos('Input Form'!B72)</f>
        <v>$B$72</v>
      </c>
      <c r="B70" t="s">
        <v>203</v>
      </c>
      <c r="C70" s="423" t="s">
        <v>485</v>
      </c>
      <c r="D70" s="3" t="s">
        <v>404</v>
      </c>
      <c r="F70" t="s">
        <v>203</v>
      </c>
    </row>
    <row r="71" spans="1:6">
      <c r="A71" t="str">
        <f>pos('Input Form'!E17)</f>
        <v>$E$17</v>
      </c>
      <c r="B71" s="3" t="s">
        <v>446</v>
      </c>
      <c r="C71" s="423" t="s">
        <v>446</v>
      </c>
      <c r="D71" s="3" t="s">
        <v>404</v>
      </c>
      <c r="F71" s="3" t="s">
        <v>446</v>
      </c>
    </row>
    <row r="72" spans="1:6">
      <c r="A72" t="str">
        <f>pos('Input Form'!C51)</f>
        <v>$C$51</v>
      </c>
      <c r="B72" t="s">
        <v>133</v>
      </c>
      <c r="C72" s="423" t="s">
        <v>430</v>
      </c>
      <c r="D72" s="3" t="s">
        <v>404</v>
      </c>
      <c r="F72" t="s">
        <v>133</v>
      </c>
    </row>
    <row r="73" spans="1:6">
      <c r="A73" t="str">
        <f>pos('Input Form'!D51)</f>
        <v>$D$51</v>
      </c>
      <c r="B73" t="s">
        <v>135</v>
      </c>
      <c r="C73" s="423" t="s">
        <v>431</v>
      </c>
      <c r="D73" s="3" t="s">
        <v>404</v>
      </c>
      <c r="F73" t="s">
        <v>135</v>
      </c>
    </row>
    <row r="74" spans="1:6">
      <c r="A74" t="str">
        <f>pos('Input Form'!E51)</f>
        <v>$E$51</v>
      </c>
      <c r="B74" t="s">
        <v>134</v>
      </c>
      <c r="C74" s="423" t="s">
        <v>432</v>
      </c>
      <c r="D74" s="3" t="s">
        <v>404</v>
      </c>
      <c r="F74" t="s">
        <v>134</v>
      </c>
    </row>
    <row r="75" spans="1:6">
      <c r="A75" t="str">
        <f>pos('Input Form'!F51)</f>
        <v>$F$51</v>
      </c>
      <c r="B75" t="s">
        <v>136</v>
      </c>
      <c r="C75" s="423" t="s">
        <v>433</v>
      </c>
      <c r="D75" s="3" t="s">
        <v>404</v>
      </c>
      <c r="F75" t="s">
        <v>136</v>
      </c>
    </row>
    <row r="76" spans="1:6">
      <c r="A76" t="str">
        <f>pos('Input Form'!G14)</f>
        <v>$G$14</v>
      </c>
      <c r="B76" s="3" t="s">
        <v>663</v>
      </c>
      <c r="C76" s="423" t="s">
        <v>713</v>
      </c>
      <c r="D76" s="3" t="s">
        <v>404</v>
      </c>
      <c r="F76" s="3" t="s">
        <v>663</v>
      </c>
    </row>
    <row r="77" spans="1:6">
      <c r="B77" s="3"/>
      <c r="C77" s="423"/>
      <c r="D77" s="3" t="s">
        <v>404</v>
      </c>
      <c r="F77" s="3"/>
    </row>
    <row r="78" spans="1:6">
      <c r="A78" t="str">
        <f>pos('Input Form'!E65)</f>
        <v>$E$65</v>
      </c>
      <c r="B78" s="3" t="s">
        <v>52</v>
      </c>
      <c r="C78" s="423" t="s">
        <v>418</v>
      </c>
      <c r="D78" s="3" t="s">
        <v>404</v>
      </c>
      <c r="F78" s="3" t="s">
        <v>52</v>
      </c>
    </row>
    <row r="79" spans="1:6">
      <c r="A79" t="str">
        <f>pos('Input Form'!E73)</f>
        <v>$E$73</v>
      </c>
      <c r="B79" s="3" t="s">
        <v>406</v>
      </c>
      <c r="C79" s="423" t="s">
        <v>547</v>
      </c>
      <c r="D79" s="3" t="s">
        <v>404</v>
      </c>
      <c r="F79" s="3" t="s">
        <v>406</v>
      </c>
    </row>
    <row r="80" spans="1:6">
      <c r="A80" t="str">
        <f>pos('Input Form'!F45)</f>
        <v>$F$45</v>
      </c>
      <c r="B80" t="s">
        <v>146</v>
      </c>
      <c r="C80" s="423" t="s">
        <v>548</v>
      </c>
      <c r="D80" s="3" t="s">
        <v>404</v>
      </c>
      <c r="F80" t="s">
        <v>146</v>
      </c>
    </row>
    <row r="81" spans="1:6">
      <c r="A81" t="str">
        <f>pos('Input Form'!J1)</f>
        <v>$J$1</v>
      </c>
      <c r="B81" s="3" t="s">
        <v>531</v>
      </c>
      <c r="C81" s="423" t="s">
        <v>636</v>
      </c>
      <c r="D81" s="3" t="s">
        <v>404</v>
      </c>
      <c r="F81" s="3" t="s">
        <v>531</v>
      </c>
    </row>
    <row r="82" spans="1:6">
      <c r="A82" t="str">
        <f>pos('Input Form'!J2)</f>
        <v>$J$2</v>
      </c>
      <c r="B82" s="3" t="s">
        <v>532</v>
      </c>
      <c r="C82" s="423" t="s">
        <v>637</v>
      </c>
      <c r="D82" s="3" t="s">
        <v>404</v>
      </c>
      <c r="F82" s="3" t="s">
        <v>532</v>
      </c>
    </row>
    <row r="83" spans="1:6">
      <c r="A83" t="str">
        <f>pos('Input Form'!B2)</f>
        <v>$B$2</v>
      </c>
      <c r="B83" s="835" t="s">
        <v>655</v>
      </c>
      <c r="C83" s="838" t="s">
        <v>661</v>
      </c>
      <c r="D83" s="3" t="s">
        <v>404</v>
      </c>
      <c r="F83" s="835" t="s">
        <v>655</v>
      </c>
    </row>
    <row r="84" spans="1:6">
      <c r="A84" t="str">
        <f>pos('Input Form'!B3)</f>
        <v>$B$3</v>
      </c>
      <c r="B84" s="836" t="s">
        <v>657</v>
      </c>
      <c r="C84" s="837" t="s">
        <v>658</v>
      </c>
      <c r="D84" s="3" t="s">
        <v>404</v>
      </c>
      <c r="F84" s="836" t="s">
        <v>657</v>
      </c>
    </row>
    <row r="85" spans="1:6">
      <c r="A85" t="str">
        <f>pos('Input Form'!B4)</f>
        <v>$B$4</v>
      </c>
      <c r="B85" s="836" t="s">
        <v>656</v>
      </c>
      <c r="C85" s="837" t="s">
        <v>659</v>
      </c>
      <c r="D85" s="3" t="s">
        <v>404</v>
      </c>
      <c r="F85" s="836" t="s">
        <v>656</v>
      </c>
    </row>
    <row r="86" spans="1:6">
      <c r="A86" t="str">
        <f>pos('Input Form'!B5)</f>
        <v>$B$5</v>
      </c>
      <c r="B86" s="836" t="s">
        <v>733</v>
      </c>
      <c r="C86" s="837" t="s">
        <v>660</v>
      </c>
      <c r="D86" s="3" t="s">
        <v>404</v>
      </c>
      <c r="F86" s="836" t="s">
        <v>733</v>
      </c>
    </row>
    <row r="87" spans="1:6">
      <c r="A87" t="str">
        <f>pos('Input Form'!B6)</f>
        <v>$B$6</v>
      </c>
      <c r="B87" s="836" t="s">
        <v>734</v>
      </c>
      <c r="C87" s="837" t="s">
        <v>662</v>
      </c>
      <c r="D87" s="3" t="s">
        <v>404</v>
      </c>
      <c r="F87" s="836" t="s">
        <v>734</v>
      </c>
    </row>
    <row r="88" spans="1:6">
      <c r="C88" s="423"/>
      <c r="D88" s="3" t="s">
        <v>404</v>
      </c>
    </row>
    <row r="89" spans="1:6">
      <c r="C89" s="423"/>
      <c r="D89" s="3" t="s">
        <v>404</v>
      </c>
    </row>
    <row r="90" spans="1:6">
      <c r="C90" s="423"/>
      <c r="D90" s="3" t="s">
        <v>404</v>
      </c>
    </row>
    <row r="91" spans="1:6">
      <c r="C91" s="423"/>
      <c r="D91" s="3" t="s">
        <v>404</v>
      </c>
    </row>
    <row r="92" spans="1:6">
      <c r="C92" s="423"/>
      <c r="D92" s="3" t="s">
        <v>404</v>
      </c>
    </row>
    <row r="93" spans="1:6">
      <c r="C93" s="423"/>
      <c r="D93" s="3" t="s">
        <v>404</v>
      </c>
    </row>
    <row r="94" spans="1:6">
      <c r="C94" s="423"/>
      <c r="D94" s="3" t="s">
        <v>404</v>
      </c>
    </row>
    <row r="95" spans="1:6">
      <c r="C95" s="423"/>
      <c r="D95" s="3" t="s">
        <v>404</v>
      </c>
    </row>
    <row r="96" spans="1:6">
      <c r="C96" s="423"/>
      <c r="D96" s="3" t="s">
        <v>404</v>
      </c>
    </row>
    <row r="97" spans="1:6">
      <c r="C97" s="423"/>
      <c r="D97" s="3" t="s">
        <v>404</v>
      </c>
    </row>
    <row r="98" spans="1:6">
      <c r="C98" s="423"/>
      <c r="D98" s="3" t="s">
        <v>404</v>
      </c>
    </row>
    <row r="99" spans="1:6" s="358" customFormat="1" ht="13.5" thickBot="1">
      <c r="C99" s="843"/>
      <c r="D99" s="358" t="s">
        <v>404</v>
      </c>
      <c r="E99"/>
    </row>
    <row r="100" spans="1:6" ht="13.5" thickTop="1">
      <c r="A100" t="e">
        <f>pos(#REF!)</f>
        <v>#VALUE!</v>
      </c>
      <c r="B100" s="3" t="s">
        <v>369</v>
      </c>
      <c r="C100" s="423" t="s">
        <v>479</v>
      </c>
      <c r="D100" s="3" t="s">
        <v>123</v>
      </c>
      <c r="F100" s="3" t="s">
        <v>369</v>
      </c>
    </row>
    <row r="101" spans="1:6">
      <c r="A101" t="e">
        <f>pos(#REF!)</f>
        <v>#VALUE!</v>
      </c>
      <c r="B101" t="s">
        <v>366</v>
      </c>
      <c r="C101" s="423" t="s">
        <v>366</v>
      </c>
      <c r="D101" s="3" t="s">
        <v>123</v>
      </c>
      <c r="F101" t="s">
        <v>366</v>
      </c>
    </row>
    <row r="102" spans="1:6">
      <c r="A102" t="e">
        <f>pos(#REF!)</f>
        <v>#VALUE!</v>
      </c>
      <c r="B102" t="s">
        <v>367</v>
      </c>
      <c r="C102" s="423" t="s">
        <v>480</v>
      </c>
      <c r="D102" s="3" t="s">
        <v>123</v>
      </c>
      <c r="F102" t="s">
        <v>367</v>
      </c>
    </row>
    <row r="103" spans="1:6">
      <c r="A103" t="e">
        <f>pos(#REF!)</f>
        <v>#VALUE!</v>
      </c>
      <c r="B103" s="3" t="s">
        <v>368</v>
      </c>
      <c r="C103" s="423" t="s">
        <v>549</v>
      </c>
      <c r="D103" s="3" t="s">
        <v>123</v>
      </c>
      <c r="F103" s="3" t="s">
        <v>368</v>
      </c>
    </row>
    <row r="104" spans="1:6">
      <c r="A104" t="e">
        <f>pos(#REF!)</f>
        <v>#VALUE!</v>
      </c>
      <c r="B104" t="s">
        <v>365</v>
      </c>
      <c r="C104" s="423" t="s">
        <v>481</v>
      </c>
      <c r="D104" s="3" t="s">
        <v>123</v>
      </c>
      <c r="F104" t="s">
        <v>365</v>
      </c>
    </row>
    <row r="105" spans="1:6">
      <c r="C105" s="423"/>
      <c r="D105" s="3" t="s">
        <v>123</v>
      </c>
    </row>
    <row r="106" spans="1:6">
      <c r="C106" s="423"/>
      <c r="D106" s="3" t="s">
        <v>123</v>
      </c>
    </row>
    <row r="107" spans="1:6">
      <c r="C107" s="423"/>
      <c r="D107" s="3" t="s">
        <v>123</v>
      </c>
    </row>
    <row r="108" spans="1:6">
      <c r="C108" s="423"/>
      <c r="D108" s="3" t="s">
        <v>123</v>
      </c>
    </row>
    <row r="109" spans="1:6">
      <c r="C109" s="423"/>
      <c r="D109" s="3" t="s">
        <v>123</v>
      </c>
    </row>
    <row r="110" spans="1:6">
      <c r="C110" s="423"/>
      <c r="D110" s="3" t="s">
        <v>123</v>
      </c>
    </row>
    <row r="111" spans="1:6">
      <c r="C111" s="423"/>
      <c r="D111" s="3" t="s">
        <v>123</v>
      </c>
    </row>
    <row r="112" spans="1:6">
      <c r="C112" s="423"/>
      <c r="D112" s="3" t="s">
        <v>123</v>
      </c>
    </row>
    <row r="113" spans="1:6">
      <c r="C113" s="423"/>
      <c r="D113" s="3" t="s">
        <v>123</v>
      </c>
    </row>
    <row r="114" spans="1:6">
      <c r="C114" s="423"/>
      <c r="D114" s="3" t="s">
        <v>123</v>
      </c>
    </row>
    <row r="115" spans="1:6">
      <c r="C115" s="423"/>
      <c r="D115" s="3" t="s">
        <v>123</v>
      </c>
    </row>
    <row r="116" spans="1:6">
      <c r="C116" s="423"/>
      <c r="D116" s="3" t="s">
        <v>123</v>
      </c>
    </row>
    <row r="117" spans="1:6">
      <c r="C117" s="423"/>
      <c r="D117" s="3" t="s">
        <v>123</v>
      </c>
    </row>
    <row r="118" spans="1:6">
      <c r="C118" s="423"/>
      <c r="D118" s="3" t="s">
        <v>123</v>
      </c>
    </row>
    <row r="119" spans="1:6" s="358" customFormat="1" ht="13.5" thickBot="1">
      <c r="C119" s="843"/>
      <c r="D119" s="358" t="s">
        <v>123</v>
      </c>
      <c r="E119"/>
    </row>
    <row r="120" spans="1:6" ht="13.5" thickTop="1">
      <c r="A120" t="e">
        <f>pos(#REF!)</f>
        <v>#VALUE!</v>
      </c>
      <c r="B120" t="s">
        <v>59</v>
      </c>
      <c r="C120" s="423" t="s">
        <v>550</v>
      </c>
      <c r="D120" s="3" t="s">
        <v>511</v>
      </c>
      <c r="F120" t="s">
        <v>59</v>
      </c>
    </row>
    <row r="121" spans="1:6">
      <c r="A121" t="e">
        <f>pos(#REF!)</f>
        <v>#VALUE!</v>
      </c>
      <c r="B121" t="s">
        <v>60</v>
      </c>
      <c r="C121" s="423" t="s">
        <v>551</v>
      </c>
      <c r="D121" s="3" t="s">
        <v>511</v>
      </c>
      <c r="F121" t="s">
        <v>60</v>
      </c>
    </row>
    <row r="122" spans="1:6">
      <c r="A122" t="e">
        <f>pos(#REF!)</f>
        <v>#VALUE!</v>
      </c>
      <c r="B122" t="s">
        <v>488</v>
      </c>
      <c r="C122" s="423" t="s">
        <v>552</v>
      </c>
      <c r="D122" s="3" t="s">
        <v>511</v>
      </c>
      <c r="F122" t="s">
        <v>488</v>
      </c>
    </row>
    <row r="123" spans="1:6">
      <c r="A123" t="e">
        <f>pos(#REF!)</f>
        <v>#VALUE!</v>
      </c>
      <c r="B123" t="s">
        <v>308</v>
      </c>
      <c r="C123" s="423" t="s">
        <v>553</v>
      </c>
      <c r="D123" s="3" t="s">
        <v>511</v>
      </c>
      <c r="F123" t="s">
        <v>308</v>
      </c>
    </row>
    <row r="124" spans="1:6">
      <c r="A124" t="e">
        <f>pos(#REF!)</f>
        <v>#VALUE!</v>
      </c>
      <c r="B124" t="s">
        <v>309</v>
      </c>
      <c r="C124" s="423" t="s">
        <v>554</v>
      </c>
      <c r="D124" s="3" t="s">
        <v>511</v>
      </c>
      <c r="F124" t="s">
        <v>309</v>
      </c>
    </row>
    <row r="125" spans="1:6">
      <c r="A125" t="e">
        <f>pos(#REF!)</f>
        <v>#VALUE!</v>
      </c>
      <c r="B125" t="s">
        <v>305</v>
      </c>
      <c r="C125" s="423" t="s">
        <v>712</v>
      </c>
      <c r="D125" s="3" t="s">
        <v>511</v>
      </c>
      <c r="F125" t="s">
        <v>305</v>
      </c>
    </row>
    <row r="126" spans="1:6">
      <c r="A126" t="e">
        <f>pos(#REF!)</f>
        <v>#VALUE!</v>
      </c>
      <c r="B126" t="s">
        <v>306</v>
      </c>
      <c r="C126" s="423" t="s">
        <v>711</v>
      </c>
      <c r="D126" s="3" t="s">
        <v>511</v>
      </c>
      <c r="F126" t="s">
        <v>306</v>
      </c>
    </row>
    <row r="127" spans="1:6">
      <c r="A127" t="e">
        <f>pos(#REF!)</f>
        <v>#VALUE!</v>
      </c>
      <c r="B127" t="s">
        <v>444</v>
      </c>
      <c r="C127" s="423" t="s">
        <v>710</v>
      </c>
      <c r="D127" s="3" t="s">
        <v>511</v>
      </c>
      <c r="F127" t="s">
        <v>444</v>
      </c>
    </row>
    <row r="128" spans="1:6">
      <c r="A128" t="e">
        <f>pos(#REF!)</f>
        <v>#VALUE!</v>
      </c>
      <c r="B128" t="s">
        <v>513</v>
      </c>
      <c r="C128" s="423" t="s">
        <v>555</v>
      </c>
      <c r="D128" s="3" t="s">
        <v>511</v>
      </c>
      <c r="F128" t="s">
        <v>513</v>
      </c>
    </row>
    <row r="129" spans="1:6">
      <c r="A129" t="e">
        <f>pos(#REF!)</f>
        <v>#VALUE!</v>
      </c>
      <c r="B129" t="s">
        <v>78</v>
      </c>
      <c r="C129" s="423" t="s">
        <v>556</v>
      </c>
      <c r="D129" s="3" t="s">
        <v>511</v>
      </c>
      <c r="F129" t="s">
        <v>78</v>
      </c>
    </row>
    <row r="130" spans="1:6">
      <c r="A130" t="e">
        <f>pos(#REF!)</f>
        <v>#VALUE!</v>
      </c>
      <c r="B130" t="s">
        <v>79</v>
      </c>
      <c r="C130" s="423" t="s">
        <v>557</v>
      </c>
      <c r="D130" s="3" t="s">
        <v>511</v>
      </c>
      <c r="F130" t="s">
        <v>79</v>
      </c>
    </row>
    <row r="131" spans="1:6">
      <c r="A131" t="e">
        <f>pos(#REF!)</f>
        <v>#VALUE!</v>
      </c>
      <c r="B131" s="3" t="s">
        <v>653</v>
      </c>
      <c r="C131" s="423" t="s">
        <v>558</v>
      </c>
      <c r="D131" s="3" t="s">
        <v>511</v>
      </c>
      <c r="F131" s="3" t="s">
        <v>653</v>
      </c>
    </row>
    <row r="132" spans="1:6">
      <c r="A132" t="e">
        <f>pos(#REF!)</f>
        <v>#VALUE!</v>
      </c>
      <c r="B132" t="s">
        <v>61</v>
      </c>
      <c r="C132" s="423" t="s">
        <v>559</v>
      </c>
      <c r="D132" s="3" t="s">
        <v>511</v>
      </c>
      <c r="F132" t="s">
        <v>61</v>
      </c>
    </row>
    <row r="133" spans="1:6">
      <c r="A133" t="e">
        <f>pos(#REF!)</f>
        <v>#VALUE!</v>
      </c>
      <c r="B133" t="s">
        <v>80</v>
      </c>
      <c r="C133" s="423" t="s">
        <v>560</v>
      </c>
      <c r="D133" s="3" t="s">
        <v>511</v>
      </c>
      <c r="F133" t="s">
        <v>80</v>
      </c>
    </row>
    <row r="134" spans="1:6">
      <c r="A134" t="e">
        <f>pos(#REF!)</f>
        <v>#VALUE!</v>
      </c>
      <c r="B134" t="s">
        <v>201</v>
      </c>
      <c r="C134" s="423" t="s">
        <v>561</v>
      </c>
      <c r="D134" s="3" t="s">
        <v>511</v>
      </c>
      <c r="F134" t="s">
        <v>201</v>
      </c>
    </row>
    <row r="135" spans="1:6">
      <c r="A135" t="e">
        <f>pos(#REF!)</f>
        <v>#VALUE!</v>
      </c>
      <c r="B135" t="s">
        <v>514</v>
      </c>
      <c r="C135" s="423" t="s">
        <v>562</v>
      </c>
      <c r="D135" s="3" t="s">
        <v>511</v>
      </c>
      <c r="F135" t="s">
        <v>514</v>
      </c>
    </row>
    <row r="136" spans="1:6">
      <c r="A136" t="e">
        <f>pos(#REF!)</f>
        <v>#VALUE!</v>
      </c>
      <c r="B136" t="s">
        <v>515</v>
      </c>
      <c r="C136" s="423" t="s">
        <v>563</v>
      </c>
      <c r="D136" s="3" t="s">
        <v>511</v>
      </c>
      <c r="F136" t="s">
        <v>515</v>
      </c>
    </row>
    <row r="137" spans="1:6">
      <c r="A137" t="e">
        <f>pos(#REF!)</f>
        <v>#VALUE!</v>
      </c>
      <c r="B137" t="s">
        <v>499</v>
      </c>
      <c r="C137" s="423" t="s">
        <v>564</v>
      </c>
      <c r="D137" s="3" t="s">
        <v>511</v>
      </c>
      <c r="F137" t="s">
        <v>499</v>
      </c>
    </row>
    <row r="138" spans="1:6" ht="25.5">
      <c r="A138" t="e">
        <f>pos(#REF!)</f>
        <v>#VALUE!</v>
      </c>
      <c r="B138" s="10" t="s">
        <v>516</v>
      </c>
      <c r="C138" s="842" t="s">
        <v>565</v>
      </c>
      <c r="D138" s="3" t="s">
        <v>511</v>
      </c>
      <c r="F138" s="10" t="s">
        <v>516</v>
      </c>
    </row>
    <row r="139" spans="1:6" ht="25.5">
      <c r="A139" t="e">
        <f>pos(#REF!)</f>
        <v>#VALUE!</v>
      </c>
      <c r="B139" s="10" t="s">
        <v>445</v>
      </c>
      <c r="C139" s="842" t="s">
        <v>566</v>
      </c>
      <c r="D139" s="3" t="s">
        <v>511</v>
      </c>
      <c r="F139" s="10" t="s">
        <v>445</v>
      </c>
    </row>
    <row r="140" spans="1:6">
      <c r="A140" t="e">
        <f>pos(#REF!)</f>
        <v>#VALUE!</v>
      </c>
      <c r="B140" t="s">
        <v>253</v>
      </c>
      <c r="C140" s="423" t="s">
        <v>567</v>
      </c>
      <c r="D140" s="3" t="s">
        <v>511</v>
      </c>
      <c r="F140" t="s">
        <v>253</v>
      </c>
    </row>
    <row r="141" spans="1:6">
      <c r="A141" t="e">
        <f>pos(#REF!)</f>
        <v>#VALUE!</v>
      </c>
      <c r="B141" t="s">
        <v>436</v>
      </c>
      <c r="C141" s="423" t="s">
        <v>568</v>
      </c>
      <c r="D141" s="3" t="s">
        <v>511</v>
      </c>
      <c r="F141" t="s">
        <v>436</v>
      </c>
    </row>
    <row r="142" spans="1:6">
      <c r="A142" t="e">
        <f>pos(#REF!)</f>
        <v>#VALUE!</v>
      </c>
      <c r="B142" t="s">
        <v>438</v>
      </c>
      <c r="C142" s="423" t="s">
        <v>569</v>
      </c>
      <c r="D142" s="3" t="s">
        <v>511</v>
      </c>
      <c r="F142" t="s">
        <v>438</v>
      </c>
    </row>
    <row r="143" spans="1:6">
      <c r="A143" t="e">
        <f>pos(#REF!)</f>
        <v>#VALUE!</v>
      </c>
      <c r="B143" s="3" t="s">
        <v>639</v>
      </c>
      <c r="C143" s="423" t="s">
        <v>640</v>
      </c>
      <c r="D143" s="3" t="s">
        <v>511</v>
      </c>
      <c r="F143" s="3" t="s">
        <v>639</v>
      </c>
    </row>
    <row r="144" spans="1:6">
      <c r="A144" t="e">
        <f>pos(#REF!)</f>
        <v>#VALUE!</v>
      </c>
      <c r="B144" t="s">
        <v>440</v>
      </c>
      <c r="C144" s="423" t="s">
        <v>570</v>
      </c>
      <c r="D144" s="3" t="s">
        <v>511</v>
      </c>
      <c r="F144" t="s">
        <v>440</v>
      </c>
    </row>
    <row r="145" spans="1:6">
      <c r="A145" t="e">
        <f>pos(#REF!)</f>
        <v>#VALUE!</v>
      </c>
      <c r="B145" s="3" t="s">
        <v>725</v>
      </c>
      <c r="C145" s="423" t="s">
        <v>571</v>
      </c>
      <c r="D145" s="3" t="s">
        <v>511</v>
      </c>
      <c r="F145" s="3" t="s">
        <v>725</v>
      </c>
    </row>
    <row r="146" spans="1:6">
      <c r="A146" t="e">
        <f>pos(#REF!)</f>
        <v>#VALUE!</v>
      </c>
      <c r="B146" t="s">
        <v>500</v>
      </c>
      <c r="C146" s="423" t="s">
        <v>572</v>
      </c>
      <c r="D146" s="3" t="s">
        <v>511</v>
      </c>
      <c r="F146" t="s">
        <v>500</v>
      </c>
    </row>
    <row r="147" spans="1:6">
      <c r="A147" t="e">
        <f>pos(#REF!)</f>
        <v>#VALUE!</v>
      </c>
      <c r="B147" t="s">
        <v>517</v>
      </c>
      <c r="C147" s="423" t="s">
        <v>573</v>
      </c>
      <c r="D147" s="3" t="s">
        <v>511</v>
      </c>
      <c r="F147" t="s">
        <v>517</v>
      </c>
    </row>
    <row r="148" spans="1:6">
      <c r="A148" t="e">
        <f>pos(#REF!)</f>
        <v>#VALUE!</v>
      </c>
      <c r="B148" t="s">
        <v>81</v>
      </c>
      <c r="C148" s="423" t="s">
        <v>574</v>
      </c>
      <c r="D148" s="3" t="s">
        <v>511</v>
      </c>
      <c r="F148" t="s">
        <v>81</v>
      </c>
    </row>
    <row r="149" spans="1:6">
      <c r="A149" t="e">
        <f>pos(#REF!)</f>
        <v>#VALUE!</v>
      </c>
      <c r="B149" t="s">
        <v>434</v>
      </c>
      <c r="C149" s="423" t="s">
        <v>575</v>
      </c>
      <c r="D149" s="3" t="s">
        <v>511</v>
      </c>
      <c r="F149" t="s">
        <v>434</v>
      </c>
    </row>
    <row r="150" spans="1:6">
      <c r="A150" t="e">
        <f>pos(#REF!)</f>
        <v>#VALUE!</v>
      </c>
      <c r="B150" t="s">
        <v>435</v>
      </c>
      <c r="C150" s="423" t="s">
        <v>576</v>
      </c>
      <c r="D150" s="3" t="s">
        <v>511</v>
      </c>
      <c r="F150" t="s">
        <v>435</v>
      </c>
    </row>
    <row r="151" spans="1:6">
      <c r="A151" t="e">
        <f>pos(#REF!)</f>
        <v>#VALUE!</v>
      </c>
      <c r="B151" t="s">
        <v>437</v>
      </c>
      <c r="C151" s="423" t="s">
        <v>674</v>
      </c>
      <c r="D151" s="3" t="s">
        <v>511</v>
      </c>
      <c r="F151" t="s">
        <v>437</v>
      </c>
    </row>
    <row r="152" spans="1:6">
      <c r="A152" t="e">
        <f>pos(#REF!)</f>
        <v>#VALUE!</v>
      </c>
      <c r="B152" t="s">
        <v>376</v>
      </c>
      <c r="C152" s="423" t="s">
        <v>577</v>
      </c>
      <c r="D152" s="3" t="s">
        <v>511</v>
      </c>
      <c r="F152" t="s">
        <v>376</v>
      </c>
    </row>
    <row r="153" spans="1:6">
      <c r="C153" s="423"/>
      <c r="D153" s="3" t="s">
        <v>511</v>
      </c>
    </row>
    <row r="154" spans="1:6">
      <c r="C154" s="423"/>
      <c r="D154" s="3" t="s">
        <v>511</v>
      </c>
    </row>
    <row r="155" spans="1:6">
      <c r="C155" s="423"/>
      <c r="D155" s="3" t="s">
        <v>511</v>
      </c>
    </row>
    <row r="156" spans="1:6">
      <c r="C156" s="423"/>
      <c r="D156" s="3" t="s">
        <v>511</v>
      </c>
    </row>
    <row r="157" spans="1:6">
      <c r="C157" s="423"/>
      <c r="D157" s="3" t="s">
        <v>511</v>
      </c>
    </row>
    <row r="158" spans="1:6">
      <c r="C158" s="423"/>
      <c r="D158" s="3" t="s">
        <v>511</v>
      </c>
    </row>
    <row r="159" spans="1:6" s="358" customFormat="1" ht="13.5" thickBot="1">
      <c r="C159" s="843" t="s">
        <v>471</v>
      </c>
      <c r="D159" s="358" t="s">
        <v>511</v>
      </c>
      <c r="E159"/>
    </row>
    <row r="160" spans="1:6" ht="13.5" thickTop="1">
      <c r="A160" t="str">
        <f>pos(Report!C12)</f>
        <v>$C$12</v>
      </c>
      <c r="B160" s="3" t="s">
        <v>414</v>
      </c>
      <c r="C160" s="423" t="s">
        <v>578</v>
      </c>
      <c r="D160" s="3" t="s">
        <v>405</v>
      </c>
      <c r="F160" s="3" t="s">
        <v>414</v>
      </c>
    </row>
    <row r="161" spans="1:6">
      <c r="A161" t="str">
        <f>pos(Report!J12)</f>
        <v>$J$12</v>
      </c>
      <c r="B161" s="3" t="s">
        <v>415</v>
      </c>
      <c r="C161" s="423" t="s">
        <v>579</v>
      </c>
      <c r="D161" s="3" t="s">
        <v>405</v>
      </c>
      <c r="F161" s="3" t="s">
        <v>415</v>
      </c>
    </row>
    <row r="162" spans="1:6" ht="38.25">
      <c r="A162" t="str">
        <f>pos(Report!B20)</f>
        <v>$B$20</v>
      </c>
      <c r="B162" s="357" t="s">
        <v>285</v>
      </c>
      <c r="C162" s="842" t="s">
        <v>580</v>
      </c>
      <c r="D162" s="3" t="s">
        <v>405</v>
      </c>
      <c r="F162" s="357" t="s">
        <v>285</v>
      </c>
    </row>
    <row r="163" spans="1:6">
      <c r="A163" t="str">
        <f>pos(Report!S11)</f>
        <v>$S$11</v>
      </c>
      <c r="B163" t="s">
        <v>46</v>
      </c>
      <c r="C163" s="423" t="s">
        <v>472</v>
      </c>
      <c r="D163" s="3" t="s">
        <v>405</v>
      </c>
      <c r="F163" t="s">
        <v>46</v>
      </c>
    </row>
    <row r="164" spans="1:6">
      <c r="A164" t="str">
        <f>pos(Report!S34)</f>
        <v>$S$34</v>
      </c>
      <c r="B164" s="3" t="s">
        <v>649</v>
      </c>
      <c r="C164" s="423" t="s">
        <v>581</v>
      </c>
      <c r="D164" s="3" t="s">
        <v>405</v>
      </c>
      <c r="F164" s="3" t="s">
        <v>649</v>
      </c>
    </row>
    <row r="165" spans="1:6" ht="25.5">
      <c r="A165" t="str">
        <f>pos(Report!S36)</f>
        <v>$S$36</v>
      </c>
      <c r="B165" s="10" t="s">
        <v>264</v>
      </c>
      <c r="C165" s="842" t="s">
        <v>489</v>
      </c>
      <c r="D165" s="3" t="s">
        <v>405</v>
      </c>
      <c r="F165" s="10" t="s">
        <v>264</v>
      </c>
    </row>
    <row r="166" spans="1:6">
      <c r="A166" t="str">
        <f>pos(Report!L30)</f>
        <v>$L$30</v>
      </c>
      <c r="B166" s="3" t="s">
        <v>374</v>
      </c>
      <c r="C166" s="423" t="s">
        <v>502</v>
      </c>
      <c r="D166" s="3" t="s">
        <v>405</v>
      </c>
      <c r="F166" s="3" t="s">
        <v>374</v>
      </c>
    </row>
    <row r="167" spans="1:6">
      <c r="A167" t="str">
        <f>pos(Report!S12)</f>
        <v>$S$12</v>
      </c>
      <c r="B167" t="s">
        <v>408</v>
      </c>
      <c r="C167" s="423" t="s">
        <v>582</v>
      </c>
      <c r="D167" s="3" t="s">
        <v>405</v>
      </c>
      <c r="F167" t="s">
        <v>408</v>
      </c>
    </row>
    <row r="168" spans="1:6">
      <c r="A168" t="str">
        <f>pos(Report!S18)</f>
        <v>$S$18</v>
      </c>
      <c r="B168" t="s">
        <v>409</v>
      </c>
      <c r="C168" s="423" t="s">
        <v>583</v>
      </c>
      <c r="D168" s="3" t="s">
        <v>405</v>
      </c>
      <c r="F168" t="s">
        <v>409</v>
      </c>
    </row>
    <row r="169" spans="1:6">
      <c r="A169" t="str">
        <f>pos(Report!S23)</f>
        <v>$S$23</v>
      </c>
      <c r="B169" t="s">
        <v>410</v>
      </c>
      <c r="C169" s="423" t="s">
        <v>584</v>
      </c>
      <c r="D169" s="3" t="s">
        <v>405</v>
      </c>
      <c r="F169" t="s">
        <v>410</v>
      </c>
    </row>
    <row r="170" spans="1:6">
      <c r="A170" t="str">
        <f>pos(Report!S28)</f>
        <v>$S$28</v>
      </c>
      <c r="B170" t="s">
        <v>411</v>
      </c>
      <c r="C170" s="423" t="s">
        <v>585</v>
      </c>
      <c r="D170" s="3" t="s">
        <v>405</v>
      </c>
      <c r="F170" t="s">
        <v>411</v>
      </c>
    </row>
    <row r="171" spans="1:6">
      <c r="A171" t="str">
        <f>pos(Report!S33)</f>
        <v>$S$33</v>
      </c>
      <c r="B171" s="3" t="s">
        <v>650</v>
      </c>
      <c r="C171" s="423" t="s">
        <v>675</v>
      </c>
      <c r="D171" s="3" t="s">
        <v>405</v>
      </c>
      <c r="F171" s="3" t="s">
        <v>650</v>
      </c>
    </row>
    <row r="172" spans="1:6">
      <c r="A172" t="str">
        <f>pos(Report!S34)</f>
        <v>$S$34</v>
      </c>
      <c r="B172" s="3" t="s">
        <v>649</v>
      </c>
      <c r="C172" s="423" t="s">
        <v>581</v>
      </c>
      <c r="D172" s="3" t="s">
        <v>405</v>
      </c>
      <c r="F172" s="3" t="s">
        <v>649</v>
      </c>
    </row>
    <row r="173" spans="1:6">
      <c r="A173" t="str">
        <f>pos(Report!Z34)</f>
        <v>$Z$34</v>
      </c>
      <c r="B173" t="s">
        <v>407</v>
      </c>
      <c r="C173" s="423" t="s">
        <v>586</v>
      </c>
      <c r="D173" s="3" t="s">
        <v>405</v>
      </c>
      <c r="F173" t="s">
        <v>407</v>
      </c>
    </row>
    <row r="174" spans="1:6">
      <c r="A174" t="str">
        <f>pos(Report!C14)</f>
        <v>$C$14</v>
      </c>
      <c r="B174" t="s">
        <v>413</v>
      </c>
      <c r="C174" s="423" t="s">
        <v>587</v>
      </c>
      <c r="D174" s="3" t="s">
        <v>405</v>
      </c>
      <c r="F174" t="s">
        <v>413</v>
      </c>
    </row>
    <row r="175" spans="1:6">
      <c r="A175" t="str">
        <f>pos(Report!C2)</f>
        <v>$C$2</v>
      </c>
      <c r="B175" s="3" t="s">
        <v>147</v>
      </c>
      <c r="C175" s="423" t="s">
        <v>588</v>
      </c>
      <c r="D175" s="3" t="s">
        <v>405</v>
      </c>
      <c r="F175" s="3" t="s">
        <v>147</v>
      </c>
    </row>
    <row r="176" spans="1:6">
      <c r="A176" t="str">
        <f>pos(Report!C11)</f>
        <v>$C$11</v>
      </c>
      <c r="B176" s="3" t="s">
        <v>412</v>
      </c>
      <c r="C176" s="423" t="s">
        <v>589</v>
      </c>
      <c r="D176" s="3" t="s">
        <v>405</v>
      </c>
      <c r="F176" s="3" t="s">
        <v>412</v>
      </c>
    </row>
    <row r="177" spans="1:6">
      <c r="A177" t="str">
        <f>pos(Report!J14)</f>
        <v>$J$14</v>
      </c>
      <c r="B177" s="3" t="s">
        <v>519</v>
      </c>
      <c r="C177" s="423" t="s">
        <v>590</v>
      </c>
      <c r="D177" s="3" t="s">
        <v>405</v>
      </c>
      <c r="F177" s="3" t="s">
        <v>519</v>
      </c>
    </row>
    <row r="178" spans="1:6">
      <c r="C178" s="423"/>
      <c r="D178" s="3" t="s">
        <v>405</v>
      </c>
    </row>
    <row r="179" spans="1:6" s="358" customFormat="1" ht="13.5" thickBot="1">
      <c r="C179" s="843"/>
      <c r="D179" s="358" t="s">
        <v>405</v>
      </c>
      <c r="E179"/>
    </row>
    <row r="180" spans="1:6" ht="13.5" thickTop="1">
      <c r="A180" t="str">
        <f>pos(Actionplan!B3)</f>
        <v>$B$3</v>
      </c>
      <c r="B180" t="s">
        <v>300</v>
      </c>
      <c r="C180" s="423" t="s">
        <v>591</v>
      </c>
      <c r="D180" s="3" t="s">
        <v>520</v>
      </c>
      <c r="F180" t="s">
        <v>300</v>
      </c>
    </row>
    <row r="181" spans="1:6">
      <c r="A181" t="str">
        <f>pos(Actionplan!F9)</f>
        <v>$F$9</v>
      </c>
      <c r="B181" t="s">
        <v>283</v>
      </c>
      <c r="C181" s="423" t="s">
        <v>592</v>
      </c>
      <c r="D181" t="s">
        <v>520</v>
      </c>
      <c r="F181" t="s">
        <v>283</v>
      </c>
    </row>
    <row r="182" spans="1:6">
      <c r="A182" t="str">
        <f>pos(Actionplan!O9)</f>
        <v>$O$9</v>
      </c>
      <c r="B182" t="s">
        <v>53</v>
      </c>
      <c r="C182" s="423" t="s">
        <v>593</v>
      </c>
      <c r="D182" t="s">
        <v>520</v>
      </c>
      <c r="F182" t="s">
        <v>53</v>
      </c>
    </row>
    <row r="183" spans="1:6">
      <c r="A183" t="str">
        <f>pos(Actionplan!D10)</f>
        <v>$D$10</v>
      </c>
      <c r="B183" t="s">
        <v>289</v>
      </c>
      <c r="C183" s="423" t="s">
        <v>594</v>
      </c>
      <c r="D183" t="s">
        <v>520</v>
      </c>
      <c r="F183" t="s">
        <v>289</v>
      </c>
    </row>
    <row r="184" spans="1:6">
      <c r="A184" t="str">
        <f>pos(Actionplan!H10)</f>
        <v>$H$10</v>
      </c>
      <c r="B184" t="s">
        <v>108</v>
      </c>
      <c r="C184" s="423" t="s">
        <v>490</v>
      </c>
      <c r="D184" t="s">
        <v>520</v>
      </c>
      <c r="F184" t="s">
        <v>108</v>
      </c>
    </row>
    <row r="185" spans="1:6" ht="25.5">
      <c r="A185" t="str">
        <f>pos(Actionplan!I10)</f>
        <v>$I$10</v>
      </c>
      <c r="B185" s="357" t="s">
        <v>284</v>
      </c>
      <c r="C185" s="842" t="s">
        <v>595</v>
      </c>
      <c r="D185" t="s">
        <v>520</v>
      </c>
      <c r="F185" s="357" t="s">
        <v>284</v>
      </c>
    </row>
    <row r="186" spans="1:6">
      <c r="A186" t="str">
        <f>pos(Actionplan!M10)</f>
        <v>$M$10</v>
      </c>
      <c r="B186" s="3" t="s">
        <v>298</v>
      </c>
      <c r="C186" s="423" t="s">
        <v>522</v>
      </c>
      <c r="D186" t="s">
        <v>520</v>
      </c>
      <c r="F186" s="3" t="s">
        <v>298</v>
      </c>
    </row>
    <row r="187" spans="1:6">
      <c r="A187" t="str">
        <f>pos(Actionplan!K10)</f>
        <v>$K$10</v>
      </c>
      <c r="B187" s="3" t="s">
        <v>297</v>
      </c>
      <c r="C187" s="423" t="s">
        <v>521</v>
      </c>
      <c r="D187" t="s">
        <v>520</v>
      </c>
      <c r="F187" s="3" t="s">
        <v>297</v>
      </c>
    </row>
    <row r="188" spans="1:6">
      <c r="A188" t="str">
        <f>pos(Actionplan!O10)</f>
        <v>$O$10</v>
      </c>
      <c r="B188" t="s">
        <v>121</v>
      </c>
      <c r="C188" s="423" t="s">
        <v>676</v>
      </c>
      <c r="D188" t="s">
        <v>520</v>
      </c>
      <c r="F188" t="s">
        <v>121</v>
      </c>
    </row>
    <row r="189" spans="1:6">
      <c r="A189" t="str">
        <f>pos(Actionplan!Q10)</f>
        <v>$Q$10</v>
      </c>
      <c r="B189" t="s">
        <v>54</v>
      </c>
      <c r="C189" s="423" t="s">
        <v>523</v>
      </c>
      <c r="D189" t="s">
        <v>520</v>
      </c>
      <c r="F189" t="s">
        <v>54</v>
      </c>
    </row>
    <row r="190" spans="1:6">
      <c r="A190" t="str">
        <f>pos(Actionplan!S10)</f>
        <v>$S$10</v>
      </c>
      <c r="B190" t="s">
        <v>282</v>
      </c>
      <c r="C190" s="423" t="s">
        <v>524</v>
      </c>
      <c r="D190" t="s">
        <v>520</v>
      </c>
      <c r="F190" t="s">
        <v>282</v>
      </c>
    </row>
    <row r="191" spans="1:6">
      <c r="A191" t="str">
        <f>pos(Actionplan!D10)</f>
        <v>$D$10</v>
      </c>
      <c r="B191" t="s">
        <v>289</v>
      </c>
      <c r="C191" s="423" t="s">
        <v>526</v>
      </c>
      <c r="D191" t="s">
        <v>520</v>
      </c>
      <c r="F191" t="s">
        <v>289</v>
      </c>
    </row>
    <row r="192" spans="1:6">
      <c r="A192" t="str">
        <f>pos(Actionplan!AB3)</f>
        <v>$AB$3</v>
      </c>
      <c r="B192" t="s">
        <v>491</v>
      </c>
      <c r="C192" s="423" t="s">
        <v>492</v>
      </c>
      <c r="D192" t="s">
        <v>520</v>
      </c>
      <c r="F192" t="s">
        <v>491</v>
      </c>
    </row>
    <row r="193" spans="1:6">
      <c r="A193" t="str">
        <f>pos(Actionplan!AB10)</f>
        <v>$AB$10</v>
      </c>
      <c r="B193" t="s">
        <v>527</v>
      </c>
      <c r="C193" s="423" t="s">
        <v>677</v>
      </c>
      <c r="D193" t="s">
        <v>520</v>
      </c>
      <c r="F193" t="s">
        <v>527</v>
      </c>
    </row>
    <row r="194" spans="1:6">
      <c r="C194" s="423"/>
      <c r="D194" t="s">
        <v>520</v>
      </c>
    </row>
    <row r="195" spans="1:6">
      <c r="C195" s="423"/>
      <c r="D195" t="s">
        <v>520</v>
      </c>
    </row>
    <row r="196" spans="1:6">
      <c r="C196" s="423"/>
      <c r="D196" t="s">
        <v>520</v>
      </c>
    </row>
    <row r="197" spans="1:6">
      <c r="C197" s="423"/>
      <c r="D197" t="s">
        <v>520</v>
      </c>
    </row>
    <row r="198" spans="1:6">
      <c r="C198" s="423"/>
      <c r="D198" t="s">
        <v>520</v>
      </c>
    </row>
    <row r="199" spans="1:6" s="358" customFormat="1" ht="13.5" thickBot="1">
      <c r="C199" s="843"/>
      <c r="D199" s="358" t="s">
        <v>520</v>
      </c>
      <c r="E199"/>
    </row>
    <row r="200" spans="1:6" ht="13.5" thickTop="1">
      <c r="A200" t="str">
        <f>pos(Questions!C2)</f>
        <v>$C$2</v>
      </c>
      <c r="B200" t="s">
        <v>118</v>
      </c>
      <c r="C200" s="423" t="s">
        <v>473</v>
      </c>
      <c r="D200" s="3" t="s">
        <v>419</v>
      </c>
      <c r="F200" t="s">
        <v>118</v>
      </c>
    </row>
    <row r="201" spans="1:6">
      <c r="A201" t="str">
        <f>pos(Questions!C3)</f>
        <v>$C$3</v>
      </c>
      <c r="B201" t="s">
        <v>155</v>
      </c>
      <c r="C201" s="423" t="s">
        <v>596</v>
      </c>
      <c r="D201" s="3" t="s">
        <v>419</v>
      </c>
      <c r="F201" t="s">
        <v>155</v>
      </c>
    </row>
    <row r="202" spans="1:6">
      <c r="A202" t="str">
        <f>pos(Questions!A9)</f>
        <v>$A$9</v>
      </c>
      <c r="B202" s="3" t="s">
        <v>109</v>
      </c>
      <c r="C202" s="423" t="s">
        <v>422</v>
      </c>
      <c r="D202" s="3" t="s">
        <v>419</v>
      </c>
      <c r="F202" s="3" t="s">
        <v>109</v>
      </c>
    </row>
    <row r="203" spans="1:6">
      <c r="A203" t="str">
        <f>pos(Questions!B9)</f>
        <v>$B$9</v>
      </c>
      <c r="B203" t="s">
        <v>276</v>
      </c>
      <c r="C203" s="423" t="s">
        <v>423</v>
      </c>
      <c r="D203" s="3" t="s">
        <v>419</v>
      </c>
      <c r="F203" t="s">
        <v>276</v>
      </c>
    </row>
    <row r="204" spans="1:6">
      <c r="A204" t="str">
        <f>pos(Questions!C9)</f>
        <v>$C$9</v>
      </c>
      <c r="B204" t="s">
        <v>110</v>
      </c>
      <c r="C204" s="423" t="s">
        <v>424</v>
      </c>
      <c r="D204" s="3" t="s">
        <v>419</v>
      </c>
      <c r="F204" t="s">
        <v>110</v>
      </c>
    </row>
    <row r="205" spans="1:6">
      <c r="A205" t="str">
        <f>pos(Questions!E9)</f>
        <v>$E$9</v>
      </c>
      <c r="B205" t="s">
        <v>296</v>
      </c>
      <c r="C205" s="423" t="s">
        <v>597</v>
      </c>
      <c r="D205" s="3" t="s">
        <v>419</v>
      </c>
      <c r="F205" t="s">
        <v>296</v>
      </c>
    </row>
    <row r="206" spans="1:6">
      <c r="A206" t="str">
        <f>pos(Questions!D12)</f>
        <v>$D$12</v>
      </c>
      <c r="B206" t="s">
        <v>210</v>
      </c>
      <c r="C206" s="423" t="s">
        <v>598</v>
      </c>
      <c r="D206" s="3" t="s">
        <v>419</v>
      </c>
      <c r="F206" t="s">
        <v>210</v>
      </c>
    </row>
    <row r="207" spans="1:6">
      <c r="A207" t="str">
        <f>pos(Questions!D20)</f>
        <v>$D$20</v>
      </c>
      <c r="B207" t="s">
        <v>286</v>
      </c>
      <c r="C207" s="423" t="s">
        <v>420</v>
      </c>
      <c r="D207" s="3" t="s">
        <v>419</v>
      </c>
      <c r="F207" t="s">
        <v>286</v>
      </c>
    </row>
    <row r="208" spans="1:6">
      <c r="A208" t="str">
        <f>pos(Questions!D21)</f>
        <v>$D$21</v>
      </c>
      <c r="B208" t="s">
        <v>287</v>
      </c>
      <c r="C208" s="423" t="s">
        <v>421</v>
      </c>
      <c r="D208" s="3" t="s">
        <v>419</v>
      </c>
      <c r="F208" t="s">
        <v>287</v>
      </c>
    </row>
    <row r="209" spans="1:6">
      <c r="A209" t="str">
        <f>pos(Questions!L2)</f>
        <v>$L$2</v>
      </c>
      <c r="B209" s="3" t="s">
        <v>441</v>
      </c>
      <c r="C209" s="423" t="s">
        <v>735</v>
      </c>
      <c r="D209" s="3" t="s">
        <v>419</v>
      </c>
      <c r="F209" s="3" t="s">
        <v>441</v>
      </c>
    </row>
    <row r="210" spans="1:6">
      <c r="A210" t="str">
        <f>pos(Questions!D380)</f>
        <v>$D$380</v>
      </c>
      <c r="B210" s="3" t="s">
        <v>117</v>
      </c>
      <c r="C210" s="423" t="s">
        <v>740</v>
      </c>
      <c r="D210" s="3" t="s">
        <v>419</v>
      </c>
      <c r="F210" s="3" t="s">
        <v>117</v>
      </c>
    </row>
    <row r="211" spans="1:6">
      <c r="A211" t="str">
        <f>pos(Questions!L3)</f>
        <v>$L$3</v>
      </c>
      <c r="B211" s="3" t="s">
        <v>442</v>
      </c>
      <c r="C211" s="423" t="s">
        <v>512</v>
      </c>
      <c r="D211" s="3" t="s">
        <v>419</v>
      </c>
      <c r="F211" s="3" t="s">
        <v>442</v>
      </c>
    </row>
    <row r="212" spans="1:6">
      <c r="A212" t="str">
        <f>pos(Questions!L13)</f>
        <v>$L$13</v>
      </c>
      <c r="B212" t="s">
        <v>425</v>
      </c>
      <c r="C212" s="423" t="s">
        <v>493</v>
      </c>
      <c r="D212" s="3" t="s">
        <v>419</v>
      </c>
      <c r="F212" t="s">
        <v>425</v>
      </c>
    </row>
    <row r="213" spans="1:6">
      <c r="A213" t="str">
        <f>pos(Questions!L14)</f>
        <v>$L$14</v>
      </c>
      <c r="B213" t="s">
        <v>426</v>
      </c>
      <c r="C213" s="423" t="s">
        <v>1094</v>
      </c>
      <c r="D213" s="3" t="s">
        <v>419</v>
      </c>
      <c r="F213" t="s">
        <v>426</v>
      </c>
    </row>
    <row r="214" spans="1:6">
      <c r="A214" t="str">
        <f>pos(Questions!L15)</f>
        <v>$L$15</v>
      </c>
      <c r="B214" t="s">
        <v>427</v>
      </c>
      <c r="C214" s="423" t="s">
        <v>760</v>
      </c>
      <c r="D214" s="3" t="s">
        <v>419</v>
      </c>
      <c r="F214" t="s">
        <v>427</v>
      </c>
    </row>
    <row r="215" spans="1:6">
      <c r="A215" t="str">
        <f>pos(Questions!C12)</f>
        <v>$C$12</v>
      </c>
      <c r="B215" s="3" t="s">
        <v>137</v>
      </c>
      <c r="C215" s="423" t="s">
        <v>599</v>
      </c>
      <c r="D215" s="3" t="s">
        <v>419</v>
      </c>
      <c r="F215" s="3" t="s">
        <v>137</v>
      </c>
    </row>
    <row r="216" spans="1:6">
      <c r="A216" t="str">
        <f>pos(Questions!L4)</f>
        <v>$L$4</v>
      </c>
      <c r="B216" s="420" t="s">
        <v>447</v>
      </c>
      <c r="C216" s="844" t="s">
        <v>600</v>
      </c>
      <c r="D216" s="3" t="s">
        <v>419</v>
      </c>
      <c r="F216" s="420" t="s">
        <v>447</v>
      </c>
    </row>
    <row r="217" spans="1:6">
      <c r="A217" t="str">
        <f>pos(Questions!L7)</f>
        <v>$L$7</v>
      </c>
      <c r="B217" s="3" t="s">
        <v>448</v>
      </c>
      <c r="C217" s="423" t="s">
        <v>601</v>
      </c>
      <c r="D217" s="3" t="s">
        <v>419</v>
      </c>
      <c r="F217" s="3" t="s">
        <v>448</v>
      </c>
    </row>
    <row r="218" spans="1:6">
      <c r="A218" s="482" t="str">
        <f>pos(Questions!C12)</f>
        <v>$C$12</v>
      </c>
      <c r="B218" s="483" t="s">
        <v>137</v>
      </c>
      <c r="C218" s="846" t="s">
        <v>602</v>
      </c>
      <c r="D218" s="3" t="s">
        <v>419</v>
      </c>
      <c r="F218" s="483" t="s">
        <v>137</v>
      </c>
    </row>
    <row r="219" spans="1:6" ht="25.5">
      <c r="A219" t="str">
        <f>pos(Questions!C13)</f>
        <v>$C$13</v>
      </c>
      <c r="B219" s="357" t="s">
        <v>312</v>
      </c>
      <c r="C219" s="842" t="s">
        <v>603</v>
      </c>
      <c r="D219" s="3" t="s">
        <v>419</v>
      </c>
      <c r="F219" s="357" t="s">
        <v>312</v>
      </c>
    </row>
    <row r="220" spans="1:6" ht="38.25">
      <c r="A220" t="str">
        <f>pos(Questions!C14)</f>
        <v>$C$14</v>
      </c>
      <c r="B220" s="10" t="s">
        <v>187</v>
      </c>
      <c r="C220" s="842" t="s">
        <v>678</v>
      </c>
      <c r="D220" s="3" t="s">
        <v>419</v>
      </c>
      <c r="F220" s="10" t="s">
        <v>187</v>
      </c>
    </row>
    <row r="221" spans="1:6" ht="25.5">
      <c r="A221" t="str">
        <f>pos(Questions!C15)</f>
        <v>$C$15</v>
      </c>
      <c r="B221" s="10" t="s">
        <v>189</v>
      </c>
      <c r="C221" s="842" t="s">
        <v>679</v>
      </c>
      <c r="D221" s="3" t="s">
        <v>419</v>
      </c>
      <c r="F221" s="10" t="s">
        <v>189</v>
      </c>
    </row>
    <row r="222" spans="1:6" ht="38.25">
      <c r="A222" t="str">
        <f>pos(Questions!C16)</f>
        <v>$C$16</v>
      </c>
      <c r="B222" s="10" t="s">
        <v>356</v>
      </c>
      <c r="C222" s="842" t="s">
        <v>604</v>
      </c>
      <c r="D222" s="3" t="s">
        <v>419</v>
      </c>
      <c r="F222" s="10" t="s">
        <v>356</v>
      </c>
    </row>
    <row r="223" spans="1:6" ht="38.25">
      <c r="A223" t="str">
        <f>pos(Questions!C17)</f>
        <v>$C$17</v>
      </c>
      <c r="B223" s="10" t="s">
        <v>313</v>
      </c>
      <c r="C223" s="842" t="s">
        <v>605</v>
      </c>
      <c r="D223" s="3" t="s">
        <v>419</v>
      </c>
      <c r="F223" s="10" t="s">
        <v>313</v>
      </c>
    </row>
    <row r="224" spans="1:6" ht="25.5">
      <c r="A224" t="str">
        <f>pos(Questions!C18)</f>
        <v>$C$18</v>
      </c>
      <c r="B224" s="10" t="s">
        <v>260</v>
      </c>
      <c r="C224" s="842" t="s">
        <v>606</v>
      </c>
      <c r="D224" s="3" t="s">
        <v>419</v>
      </c>
      <c r="F224" s="10" t="s">
        <v>260</v>
      </c>
    </row>
    <row r="225" spans="1:6" ht="25.5">
      <c r="A225" t="str">
        <f>pos(Questions!C19)</f>
        <v>$C$19</v>
      </c>
      <c r="B225" s="10" t="s">
        <v>314</v>
      </c>
      <c r="C225" s="842" t="s">
        <v>607</v>
      </c>
      <c r="D225" s="3" t="s">
        <v>419</v>
      </c>
      <c r="F225" s="10" t="s">
        <v>314</v>
      </c>
    </row>
    <row r="226" spans="1:6">
      <c r="A226" s="482" t="str">
        <f>pos(Questions!C20)</f>
        <v>$C$20</v>
      </c>
      <c r="B226" s="483" t="s">
        <v>450</v>
      </c>
      <c r="C226" s="846" t="s">
        <v>608</v>
      </c>
      <c r="D226" s="3" t="s">
        <v>419</v>
      </c>
      <c r="F226" s="483" t="s">
        <v>450</v>
      </c>
    </row>
    <row r="227" spans="1:6" ht="25.5">
      <c r="A227" t="str">
        <f>pos(Questions!C22)</f>
        <v>$C$22</v>
      </c>
      <c r="B227" s="10" t="s">
        <v>193</v>
      </c>
      <c r="C227" s="842" t="s">
        <v>609</v>
      </c>
      <c r="D227" s="3" t="s">
        <v>419</v>
      </c>
      <c r="F227" s="10" t="s">
        <v>193</v>
      </c>
    </row>
    <row r="228" spans="1:6" ht="38.25">
      <c r="A228" t="str">
        <f>pos(Questions!C25)</f>
        <v>$C$25</v>
      </c>
      <c r="B228" s="10" t="s">
        <v>261</v>
      </c>
      <c r="C228" s="842" t="s">
        <v>680</v>
      </c>
      <c r="D228" s="3" t="s">
        <v>419</v>
      </c>
      <c r="F228" s="10" t="s">
        <v>261</v>
      </c>
    </row>
    <row r="229" spans="1:6" ht="25.5">
      <c r="A229" t="str">
        <f>pos(Questions!C28)</f>
        <v>$C$28</v>
      </c>
      <c r="B229" s="10" t="s">
        <v>316</v>
      </c>
      <c r="C229" s="842" t="s">
        <v>610</v>
      </c>
      <c r="D229" s="3" t="s">
        <v>419</v>
      </c>
      <c r="F229" s="10" t="s">
        <v>316</v>
      </c>
    </row>
    <row r="230" spans="1:6" ht="38.25">
      <c r="A230" t="str">
        <f>pos(Questions!C31)</f>
        <v>$C$31</v>
      </c>
      <c r="B230" s="10" t="s">
        <v>641</v>
      </c>
      <c r="C230" s="842" t="s">
        <v>681</v>
      </c>
      <c r="D230" s="3" t="s">
        <v>419</v>
      </c>
      <c r="F230" s="10" t="s">
        <v>641</v>
      </c>
    </row>
    <row r="231" spans="1:6" ht="38.25">
      <c r="A231" t="str">
        <f>pos(Questions!C34)</f>
        <v>$C$34</v>
      </c>
      <c r="B231" s="10" t="s">
        <v>317</v>
      </c>
      <c r="C231" s="842" t="s">
        <v>611</v>
      </c>
      <c r="D231" s="3" t="s">
        <v>419</v>
      </c>
      <c r="F231" s="10" t="s">
        <v>317</v>
      </c>
    </row>
    <row r="232" spans="1:6">
      <c r="A232" s="482" t="str">
        <f>pos(Questions!C37)</f>
        <v>$C$37</v>
      </c>
      <c r="B232" s="483" t="s">
        <v>451</v>
      </c>
      <c r="C232" s="846" t="s">
        <v>612</v>
      </c>
      <c r="D232" s="3" t="s">
        <v>419</v>
      </c>
      <c r="F232" s="483" t="s">
        <v>451</v>
      </c>
    </row>
    <row r="233" spans="1:6" ht="25.5">
      <c r="A233" t="str">
        <f>pos(Questions!C39)</f>
        <v>$C$39</v>
      </c>
      <c r="B233" s="10" t="s">
        <v>262</v>
      </c>
      <c r="C233" s="842" t="s">
        <v>682</v>
      </c>
      <c r="D233" s="3" t="s">
        <v>419</v>
      </c>
      <c r="F233" s="10" t="s">
        <v>262</v>
      </c>
    </row>
    <row r="234" spans="1:6" ht="25.5">
      <c r="A234" t="str">
        <f>pos(Questions!C42)</f>
        <v>$C$42</v>
      </c>
      <c r="B234" s="10" t="s">
        <v>320</v>
      </c>
      <c r="C234" s="842" t="s">
        <v>683</v>
      </c>
      <c r="D234" s="3" t="s">
        <v>419</v>
      </c>
      <c r="F234" s="10" t="s">
        <v>320</v>
      </c>
    </row>
    <row r="235" spans="1:6" ht="25.5">
      <c r="A235" t="str">
        <f>pos(Questions!C45)</f>
        <v>$C$45</v>
      </c>
      <c r="B235" s="10" t="s">
        <v>321</v>
      </c>
      <c r="C235" s="842" t="s">
        <v>838</v>
      </c>
      <c r="D235" s="3" t="s">
        <v>419</v>
      </c>
      <c r="F235" s="10" t="s">
        <v>321</v>
      </c>
    </row>
    <row r="236" spans="1:6" ht="38.25">
      <c r="A236" t="str">
        <f>pos(Questions!C48)</f>
        <v>$C$48</v>
      </c>
      <c r="B236" s="10" t="s">
        <v>322</v>
      </c>
      <c r="C236" s="842" t="s">
        <v>684</v>
      </c>
      <c r="D236" s="3" t="s">
        <v>419</v>
      </c>
      <c r="F236" s="10" t="s">
        <v>322</v>
      </c>
    </row>
    <row r="237" spans="1:6" ht="38.25">
      <c r="A237" t="str">
        <f>pos(Questions!C51)</f>
        <v>$C$51</v>
      </c>
      <c r="B237" s="10" t="s">
        <v>323</v>
      </c>
      <c r="C237" s="842" t="s">
        <v>613</v>
      </c>
      <c r="D237" s="3" t="s">
        <v>419</v>
      </c>
      <c r="F237" s="10" t="s">
        <v>323</v>
      </c>
    </row>
    <row r="238" spans="1:6" ht="25.5">
      <c r="A238" t="str">
        <f>pos(Questions!C54)</f>
        <v>$C$54</v>
      </c>
      <c r="B238" s="10" t="s">
        <v>324</v>
      </c>
      <c r="C238" s="842" t="s">
        <v>614</v>
      </c>
      <c r="D238" s="3" t="s">
        <v>419</v>
      </c>
      <c r="F238" s="10" t="s">
        <v>324</v>
      </c>
    </row>
    <row r="239" spans="1:6" ht="51">
      <c r="A239" t="str">
        <f>pos(Questions!C56)</f>
        <v>$C$56</v>
      </c>
      <c r="B239" s="357" t="s">
        <v>643</v>
      </c>
      <c r="C239" s="842" t="s">
        <v>685</v>
      </c>
      <c r="D239" s="3" t="s">
        <v>419</v>
      </c>
      <c r="F239" s="357" t="s">
        <v>643</v>
      </c>
    </row>
    <row r="240" spans="1:6" ht="25.5">
      <c r="A240" t="str">
        <f>pos(Questions!C58)</f>
        <v>$C$58</v>
      </c>
      <c r="B240" s="10" t="s">
        <v>325</v>
      </c>
      <c r="C240" s="842" t="s">
        <v>615</v>
      </c>
      <c r="D240" s="3" t="s">
        <v>419</v>
      </c>
      <c r="F240" s="10" t="s">
        <v>325</v>
      </c>
    </row>
    <row r="241" spans="1:6">
      <c r="A241" s="482" t="str">
        <f>pos(Questions!C61)</f>
        <v>$C$61</v>
      </c>
      <c r="B241" s="483" t="s">
        <v>452</v>
      </c>
      <c r="C241" s="846" t="s">
        <v>486</v>
      </c>
      <c r="D241" s="3" t="s">
        <v>419</v>
      </c>
      <c r="F241" s="483" t="s">
        <v>452</v>
      </c>
    </row>
    <row r="242" spans="1:6" ht="25.5">
      <c r="A242" t="str">
        <f>pos(Questions!C62)</f>
        <v>$C$62</v>
      </c>
      <c r="B242" s="10" t="s">
        <v>156</v>
      </c>
      <c r="C242" s="842" t="s">
        <v>686</v>
      </c>
      <c r="D242" s="3" t="s">
        <v>419</v>
      </c>
      <c r="F242" s="10" t="s">
        <v>156</v>
      </c>
    </row>
    <row r="243" spans="1:6" ht="25.5">
      <c r="A243" t="str">
        <f>pos(Questions!C63)</f>
        <v>$C$63</v>
      </c>
      <c r="B243" s="10" t="s">
        <v>157</v>
      </c>
      <c r="C243" s="842" t="s">
        <v>687</v>
      </c>
      <c r="D243" s="3" t="s">
        <v>419</v>
      </c>
      <c r="F243" s="10" t="s">
        <v>157</v>
      </c>
    </row>
    <row r="244" spans="1:6" ht="25.5">
      <c r="A244" t="str">
        <f>pos(Questions!C64)</f>
        <v>$C$64</v>
      </c>
      <c r="B244" s="10" t="s">
        <v>158</v>
      </c>
      <c r="C244" s="842" t="s">
        <v>688</v>
      </c>
      <c r="D244" s="3" t="s">
        <v>419</v>
      </c>
      <c r="F244" s="10" t="s">
        <v>158</v>
      </c>
    </row>
    <row r="245" spans="1:6" ht="25.5">
      <c r="A245" t="str">
        <f>pos(Questions!C65)</f>
        <v>$C$65</v>
      </c>
      <c r="B245" s="10" t="s">
        <v>163</v>
      </c>
      <c r="C245" s="842" t="s">
        <v>689</v>
      </c>
      <c r="D245" s="3" t="s">
        <v>419</v>
      </c>
      <c r="F245" s="10" t="s">
        <v>163</v>
      </c>
    </row>
    <row r="246" spans="1:6" ht="25.5">
      <c r="A246" t="str">
        <f>pos(Questions!C66)</f>
        <v>$C$66</v>
      </c>
      <c r="B246" s="10" t="s">
        <v>162</v>
      </c>
      <c r="C246" s="842" t="s">
        <v>690</v>
      </c>
      <c r="D246" s="3" t="s">
        <v>419</v>
      </c>
      <c r="F246" s="10" t="s">
        <v>162</v>
      </c>
    </row>
    <row r="247" spans="1:6" ht="25.5">
      <c r="A247" t="str">
        <f>pos(Questions!C67)</f>
        <v>$C$67</v>
      </c>
      <c r="B247" s="10" t="s">
        <v>326</v>
      </c>
      <c r="C247" s="842" t="s">
        <v>691</v>
      </c>
      <c r="D247" s="3" t="s">
        <v>419</v>
      </c>
      <c r="F247" s="10" t="s">
        <v>326</v>
      </c>
    </row>
    <row r="248" spans="1:6" ht="25.5">
      <c r="A248" t="str">
        <f>pos(Questions!C68)</f>
        <v>$C$68</v>
      </c>
      <c r="B248" s="10" t="s">
        <v>263</v>
      </c>
      <c r="C248" s="842" t="s">
        <v>692</v>
      </c>
      <c r="D248" s="3" t="s">
        <v>419</v>
      </c>
      <c r="F248" s="10" t="s">
        <v>263</v>
      </c>
    </row>
    <row r="249" spans="1:6" ht="25.5">
      <c r="A249" s="482" t="str">
        <f>pos(Questions!C69)</f>
        <v>$C$69</v>
      </c>
      <c r="B249" s="483" t="s">
        <v>288</v>
      </c>
      <c r="C249" s="846" t="s">
        <v>525</v>
      </c>
      <c r="D249" s="3" t="s">
        <v>419</v>
      </c>
      <c r="F249" s="483" t="s">
        <v>288</v>
      </c>
    </row>
    <row r="250" spans="1:6" ht="25.5">
      <c r="A250" s="479" t="str">
        <f>pos(Questions!C70)</f>
        <v>$C$70</v>
      </c>
      <c r="B250" s="481" t="s">
        <v>359</v>
      </c>
      <c r="C250" s="845" t="s">
        <v>693</v>
      </c>
      <c r="D250" s="3" t="s">
        <v>419</v>
      </c>
      <c r="F250" s="481" t="s">
        <v>359</v>
      </c>
    </row>
    <row r="251" spans="1:6" ht="38.25">
      <c r="A251" t="str">
        <f>pos(Questions!C71)</f>
        <v>$C$71</v>
      </c>
      <c r="B251" s="10" t="s">
        <v>327</v>
      </c>
      <c r="C251" s="842" t="s">
        <v>694</v>
      </c>
      <c r="D251" s="3" t="s">
        <v>419</v>
      </c>
      <c r="F251" s="10" t="s">
        <v>327</v>
      </c>
    </row>
    <row r="252" spans="1:6" ht="38.25">
      <c r="A252" t="str">
        <f>pos(Questions!C82)</f>
        <v>$C$82</v>
      </c>
      <c r="B252" s="10" t="s">
        <v>328</v>
      </c>
      <c r="C252" s="842" t="s">
        <v>695</v>
      </c>
      <c r="D252" s="3" t="s">
        <v>419</v>
      </c>
      <c r="F252" s="10" t="s">
        <v>328</v>
      </c>
    </row>
    <row r="253" spans="1:6" ht="51">
      <c r="A253" t="str">
        <f>pos(Questions!C93)</f>
        <v>$C$93</v>
      </c>
      <c r="B253" s="10" t="s">
        <v>275</v>
      </c>
      <c r="C253" s="842" t="s">
        <v>474</v>
      </c>
      <c r="D253" s="3" t="s">
        <v>419</v>
      </c>
      <c r="F253" s="10" t="s">
        <v>275</v>
      </c>
    </row>
    <row r="254" spans="1:6" ht="38.25">
      <c r="A254" t="str">
        <f>pos(Questions!C104)</f>
        <v>$C$104</v>
      </c>
      <c r="B254" s="10" t="s">
        <v>329</v>
      </c>
      <c r="C254" s="842" t="s">
        <v>487</v>
      </c>
      <c r="D254" s="3" t="s">
        <v>419</v>
      </c>
      <c r="F254" s="10" t="s">
        <v>329</v>
      </c>
    </row>
    <row r="255" spans="1:6" ht="25.5">
      <c r="A255" t="str">
        <f>pos(Questions!C115)</f>
        <v>$C$115</v>
      </c>
      <c r="B255" s="10" t="s">
        <v>330</v>
      </c>
      <c r="C255" s="842" t="s">
        <v>696</v>
      </c>
      <c r="D255" s="3" t="s">
        <v>419</v>
      </c>
      <c r="F255" s="10" t="s">
        <v>330</v>
      </c>
    </row>
    <row r="256" spans="1:6" ht="25.5">
      <c r="A256" s="479" t="str">
        <f>pos(Questions!C126)</f>
        <v>$C$126</v>
      </c>
      <c r="B256" s="481" t="s">
        <v>360</v>
      </c>
      <c r="C256" s="846" t="s">
        <v>697</v>
      </c>
      <c r="D256" s="3" t="s">
        <v>419</v>
      </c>
      <c r="F256" s="481" t="s">
        <v>360</v>
      </c>
    </row>
    <row r="257" spans="1:6" ht="25.5">
      <c r="A257" t="str">
        <f>pos(Questions!C127)</f>
        <v>$C$127</v>
      </c>
      <c r="B257" s="10" t="s">
        <v>333</v>
      </c>
      <c r="C257" s="842" t="s">
        <v>698</v>
      </c>
      <c r="D257" s="3" t="s">
        <v>419</v>
      </c>
      <c r="F257" s="10" t="s">
        <v>333</v>
      </c>
    </row>
    <row r="258" spans="1:6">
      <c r="A258" t="str">
        <f>pos(Questions!C138)</f>
        <v>$C$138</v>
      </c>
      <c r="B258" s="10" t="s">
        <v>334</v>
      </c>
      <c r="C258" s="842" t="s">
        <v>699</v>
      </c>
      <c r="D258" s="3" t="s">
        <v>419</v>
      </c>
      <c r="F258" s="10" t="s">
        <v>334</v>
      </c>
    </row>
    <row r="259" spans="1:6" ht="25.5">
      <c r="A259" t="str">
        <f>pos(Questions!C149)</f>
        <v>$C$149</v>
      </c>
      <c r="B259" s="10" t="s">
        <v>335</v>
      </c>
      <c r="C259" s="842" t="s">
        <v>616</v>
      </c>
      <c r="D259" s="3" t="s">
        <v>419</v>
      </c>
      <c r="F259" s="10" t="s">
        <v>335</v>
      </c>
    </row>
    <row r="260" spans="1:6" ht="25.5">
      <c r="A260" t="str">
        <f>pos(Questions!C160)</f>
        <v>$C$160</v>
      </c>
      <c r="B260" s="10" t="s">
        <v>336</v>
      </c>
      <c r="C260" s="842" t="s">
        <v>700</v>
      </c>
      <c r="D260" s="3" t="s">
        <v>419</v>
      </c>
      <c r="F260" s="10" t="s">
        <v>336</v>
      </c>
    </row>
    <row r="261" spans="1:6" ht="25.5">
      <c r="A261" t="str">
        <f>pos(Questions!C171)</f>
        <v>$C$171</v>
      </c>
      <c r="B261" s="10" t="s">
        <v>337</v>
      </c>
      <c r="C261" s="842" t="s">
        <v>701</v>
      </c>
      <c r="D261" s="3" t="s">
        <v>419</v>
      </c>
      <c r="F261" s="10" t="s">
        <v>337</v>
      </c>
    </row>
    <row r="262" spans="1:6" ht="25.5">
      <c r="A262" s="479" t="str">
        <f>pos(Questions!C180)</f>
        <v>$C$180</v>
      </c>
      <c r="B262" s="481" t="s">
        <v>361</v>
      </c>
      <c r="C262" s="845" t="s">
        <v>702</v>
      </c>
      <c r="D262" s="3" t="s">
        <v>419</v>
      </c>
      <c r="F262" s="481" t="s">
        <v>361</v>
      </c>
    </row>
    <row r="263" spans="1:6" ht="25.5">
      <c r="A263" t="str">
        <f>pos(Questions!C181)</f>
        <v>$C$181</v>
      </c>
      <c r="B263" s="10" t="s">
        <v>338</v>
      </c>
      <c r="C263" s="842" t="s">
        <v>617</v>
      </c>
      <c r="D263" s="3" t="s">
        <v>419</v>
      </c>
      <c r="F263" s="10" t="s">
        <v>338</v>
      </c>
    </row>
    <row r="264" spans="1:6" ht="38.25">
      <c r="A264" t="str">
        <f>pos(Questions!C192)</f>
        <v>$C$192</v>
      </c>
      <c r="B264" s="10" t="s">
        <v>339</v>
      </c>
      <c r="C264" s="842" t="s">
        <v>618</v>
      </c>
      <c r="D264" s="3" t="s">
        <v>419</v>
      </c>
      <c r="F264" s="10" t="s">
        <v>339</v>
      </c>
    </row>
    <row r="265" spans="1:6" ht="25.5">
      <c r="A265" t="str">
        <f>pos(Questions!C203)</f>
        <v>$C$203</v>
      </c>
      <c r="B265" s="10" t="s">
        <v>340</v>
      </c>
      <c r="C265" s="842" t="s">
        <v>619</v>
      </c>
      <c r="D265" s="3" t="s">
        <v>419</v>
      </c>
      <c r="F265" s="10" t="s">
        <v>340</v>
      </c>
    </row>
    <row r="266" spans="1:6" ht="25.5">
      <c r="A266" s="479" t="str">
        <f>pos(Questions!C214)</f>
        <v>$C$214</v>
      </c>
      <c r="B266" s="481" t="s">
        <v>362</v>
      </c>
      <c r="C266" s="845" t="s">
        <v>703</v>
      </c>
      <c r="D266" s="3" t="s">
        <v>419</v>
      </c>
      <c r="F266" s="481" t="s">
        <v>362</v>
      </c>
    </row>
    <row r="267" spans="1:6" ht="38.25">
      <c r="A267" t="str">
        <f>pos(Questions!C215)</f>
        <v>$C$215</v>
      </c>
      <c r="B267" s="10" t="s">
        <v>341</v>
      </c>
      <c r="C267" s="842" t="s">
        <v>620</v>
      </c>
      <c r="D267" s="3" t="s">
        <v>419</v>
      </c>
      <c r="F267" s="10" t="s">
        <v>341</v>
      </c>
    </row>
    <row r="268" spans="1:6" ht="25.5">
      <c r="A268" t="str">
        <f>pos(Questions!C226)</f>
        <v>$C$226</v>
      </c>
      <c r="B268" s="10" t="s">
        <v>343</v>
      </c>
      <c r="C268" s="842" t="s">
        <v>621</v>
      </c>
      <c r="D268" s="3" t="s">
        <v>419</v>
      </c>
      <c r="F268" s="10" t="s">
        <v>343</v>
      </c>
    </row>
    <row r="269" spans="1:6" ht="38.25">
      <c r="A269" t="str">
        <f>pos(Questions!C237)</f>
        <v>$C$237</v>
      </c>
      <c r="B269" s="10" t="s">
        <v>357</v>
      </c>
      <c r="C269" s="842" t="s">
        <v>704</v>
      </c>
      <c r="D269" s="3" t="s">
        <v>419</v>
      </c>
      <c r="F269" s="10" t="s">
        <v>357</v>
      </c>
    </row>
    <row r="270" spans="1:6" ht="25.5">
      <c r="A270" t="str">
        <f>pos(Questions!C248)</f>
        <v>$C$248</v>
      </c>
      <c r="B270" s="10" t="s">
        <v>172</v>
      </c>
      <c r="C270" s="842" t="s">
        <v>622</v>
      </c>
      <c r="D270" s="3" t="s">
        <v>419</v>
      </c>
      <c r="F270" s="10" t="s">
        <v>172</v>
      </c>
    </row>
    <row r="271" spans="1:6" ht="25.5">
      <c r="A271" t="str">
        <f>pos(Questions!C259)</f>
        <v>$C$259</v>
      </c>
      <c r="B271" s="10" t="s">
        <v>173</v>
      </c>
      <c r="C271" s="842" t="s">
        <v>705</v>
      </c>
      <c r="D271" s="3" t="s">
        <v>419</v>
      </c>
      <c r="F271" s="10" t="s">
        <v>173</v>
      </c>
    </row>
    <row r="272" spans="1:6" ht="38.25">
      <c r="A272" s="479" t="str">
        <f>pos(Questions!C270)</f>
        <v>$C$270</v>
      </c>
      <c r="B272" s="481" t="s">
        <v>346</v>
      </c>
      <c r="C272" s="845" t="s">
        <v>623</v>
      </c>
      <c r="D272" s="3" t="s">
        <v>419</v>
      </c>
      <c r="F272" s="481" t="s">
        <v>346</v>
      </c>
    </row>
    <row r="273" spans="1:6">
      <c r="A273" t="str">
        <f>pos(Questions!C271)</f>
        <v>$C$271</v>
      </c>
      <c r="B273" s="10" t="s">
        <v>347</v>
      </c>
      <c r="C273" s="842" t="s">
        <v>624</v>
      </c>
      <c r="D273" s="3" t="s">
        <v>419</v>
      </c>
      <c r="F273" s="10" t="s">
        <v>347</v>
      </c>
    </row>
    <row r="274" spans="1:6" ht="25.5">
      <c r="A274" t="str">
        <f>pos(Questions!C282)</f>
        <v>$C$282</v>
      </c>
      <c r="B274" s="10" t="s">
        <v>302</v>
      </c>
      <c r="C274" s="842" t="s">
        <v>625</v>
      </c>
      <c r="D274" s="3" t="s">
        <v>419</v>
      </c>
      <c r="F274" s="10" t="s">
        <v>302</v>
      </c>
    </row>
    <row r="275" spans="1:6" ht="38.25">
      <c r="A275" t="str">
        <f>pos(Questions!C293)</f>
        <v>$C$293</v>
      </c>
      <c r="B275" s="10" t="s">
        <v>299</v>
      </c>
      <c r="C275" s="842" t="s">
        <v>626</v>
      </c>
      <c r="D275" s="3" t="s">
        <v>419</v>
      </c>
      <c r="F275" s="10" t="s">
        <v>299</v>
      </c>
    </row>
    <row r="276" spans="1:6" ht="25.5">
      <c r="A276" t="str">
        <f>pos(Questions!C304)</f>
        <v>$C$304</v>
      </c>
      <c r="B276" s="10" t="s">
        <v>177</v>
      </c>
      <c r="C276" s="842" t="s">
        <v>627</v>
      </c>
      <c r="D276" s="3" t="s">
        <v>419</v>
      </c>
      <c r="F276" s="10" t="s">
        <v>177</v>
      </c>
    </row>
    <row r="277" spans="1:6" ht="25.5">
      <c r="A277" s="479" t="str">
        <f>pos(Questions!C315)</f>
        <v>$C$315</v>
      </c>
      <c r="B277" s="481" t="s">
        <v>295</v>
      </c>
      <c r="C277" s="845" t="s">
        <v>628</v>
      </c>
      <c r="D277" s="3" t="s">
        <v>419</v>
      </c>
      <c r="F277" s="481" t="s">
        <v>295</v>
      </c>
    </row>
    <row r="278" spans="1:6" ht="38.25">
      <c r="A278" t="str">
        <f>pos(Questions!C316)</f>
        <v>$C$316</v>
      </c>
      <c r="B278" s="10" t="s">
        <v>349</v>
      </c>
      <c r="C278" s="842" t="s">
        <v>706</v>
      </c>
      <c r="D278" s="3" t="s">
        <v>419</v>
      </c>
      <c r="F278" s="10" t="s">
        <v>349</v>
      </c>
    </row>
    <row r="279" spans="1:6" ht="51">
      <c r="A279" t="str">
        <f>pos(Questions!C327)</f>
        <v>$C$327</v>
      </c>
      <c r="B279" s="10" t="s">
        <v>350</v>
      </c>
      <c r="C279" s="842" t="s">
        <v>629</v>
      </c>
      <c r="D279" s="3" t="s">
        <v>419</v>
      </c>
      <c r="F279" s="10" t="s">
        <v>350</v>
      </c>
    </row>
    <row r="280" spans="1:6" ht="25.5">
      <c r="A280" t="str">
        <f>pos(Questions!C338)</f>
        <v>$C$338</v>
      </c>
      <c r="B280" s="10" t="s">
        <v>351</v>
      </c>
      <c r="C280" s="842" t="s">
        <v>707</v>
      </c>
      <c r="D280" s="3" t="s">
        <v>419</v>
      </c>
      <c r="F280" s="10" t="s">
        <v>351</v>
      </c>
    </row>
    <row r="281" spans="1:6" ht="25.5">
      <c r="A281" t="str">
        <f>pos(Questions!C349)</f>
        <v>$C$349</v>
      </c>
      <c r="B281" s="10" t="s">
        <v>352</v>
      </c>
      <c r="C281" s="842" t="s">
        <v>630</v>
      </c>
      <c r="D281" s="3" t="s">
        <v>419</v>
      </c>
      <c r="F281" s="10" t="s">
        <v>352</v>
      </c>
    </row>
    <row r="282" spans="1:6">
      <c r="A282" s="479" t="str">
        <f>pos(Questions!C360)</f>
        <v>$C$360</v>
      </c>
      <c r="B282" s="480" t="s">
        <v>453</v>
      </c>
      <c r="C282" s="845" t="s">
        <v>631</v>
      </c>
      <c r="D282" s="3" t="s">
        <v>419</v>
      </c>
      <c r="F282" s="480" t="s">
        <v>453</v>
      </c>
    </row>
    <row r="283" spans="1:6" ht="25.5">
      <c r="A283" t="str">
        <f>pos(Questions!C361)</f>
        <v>$C$361</v>
      </c>
      <c r="B283" s="10" t="s">
        <v>354</v>
      </c>
      <c r="C283" s="842" t="s">
        <v>632</v>
      </c>
      <c r="D283" s="3" t="s">
        <v>419</v>
      </c>
      <c r="F283" s="10" t="s">
        <v>354</v>
      </c>
    </row>
    <row r="284" spans="1:6">
      <c r="A284" t="str">
        <f>pos(Questions!C362)</f>
        <v>$C$362</v>
      </c>
      <c r="B284" s="10" t="s">
        <v>182</v>
      </c>
      <c r="C284" s="842" t="s">
        <v>633</v>
      </c>
      <c r="D284" s="3" t="s">
        <v>419</v>
      </c>
      <c r="F284" s="10" t="s">
        <v>182</v>
      </c>
    </row>
    <row r="285" spans="1:6">
      <c r="A285" t="str">
        <f>pos(Questions!C363)</f>
        <v>$C$363</v>
      </c>
      <c r="B285" s="10" t="s">
        <v>259</v>
      </c>
      <c r="C285" s="842" t="s">
        <v>634</v>
      </c>
      <c r="D285" s="3" t="s">
        <v>419</v>
      </c>
      <c r="F285" s="10" t="s">
        <v>259</v>
      </c>
    </row>
    <row r="286" spans="1:6" ht="38.25">
      <c r="A286" t="str">
        <f>pos(Questions!C364)</f>
        <v>$C$364</v>
      </c>
      <c r="B286" s="10" t="s">
        <v>355</v>
      </c>
      <c r="C286" s="842" t="s">
        <v>708</v>
      </c>
      <c r="D286" s="3" t="s">
        <v>419</v>
      </c>
      <c r="F286" s="10" t="s">
        <v>355</v>
      </c>
    </row>
    <row r="287" spans="1:6" ht="25.5">
      <c r="A287" t="str">
        <f>pos(Questions!C365)</f>
        <v>$C$365</v>
      </c>
      <c r="B287" s="10" t="s">
        <v>263</v>
      </c>
      <c r="C287" s="842" t="s">
        <v>709</v>
      </c>
      <c r="D287" s="3" t="s">
        <v>419</v>
      </c>
      <c r="F287" s="10" t="s">
        <v>263</v>
      </c>
    </row>
    <row r="288" spans="1:6" ht="60">
      <c r="A288" t="str">
        <f>pos(Questions!L69)</f>
        <v>$L$69</v>
      </c>
      <c r="B288" s="485" t="s">
        <v>454</v>
      </c>
      <c r="C288" s="847" t="s">
        <v>635</v>
      </c>
      <c r="D288" s="3" t="s">
        <v>419</v>
      </c>
      <c r="F288" s="485" t="s">
        <v>454</v>
      </c>
    </row>
    <row r="289" spans="1:6" ht="15">
      <c r="B289" s="484"/>
      <c r="C289" s="484"/>
      <c r="D289" s="3" t="s">
        <v>419</v>
      </c>
      <c r="F289" s="484"/>
    </row>
    <row r="290" spans="1:6">
      <c r="D290" s="3" t="s">
        <v>419</v>
      </c>
    </row>
    <row r="291" spans="1:6">
      <c r="D291" s="3" t="s">
        <v>419</v>
      </c>
    </row>
    <row r="292" spans="1:6">
      <c r="D292" s="3" t="s">
        <v>419</v>
      </c>
    </row>
    <row r="293" spans="1:6">
      <c r="D293" s="3" t="s">
        <v>419</v>
      </c>
    </row>
    <row r="294" spans="1:6">
      <c r="D294" s="3" t="s">
        <v>419</v>
      </c>
    </row>
    <row r="295" spans="1:6">
      <c r="D295" s="3" t="s">
        <v>419</v>
      </c>
    </row>
    <row r="296" spans="1:6">
      <c r="D296" s="3" t="s">
        <v>419</v>
      </c>
    </row>
    <row r="297" spans="1:6">
      <c r="D297" s="3" t="s">
        <v>419</v>
      </c>
    </row>
    <row r="298" spans="1:6">
      <c r="D298" s="3" t="s">
        <v>419</v>
      </c>
    </row>
    <row r="299" spans="1:6">
      <c r="D299" s="3" t="s">
        <v>419</v>
      </c>
    </row>
    <row r="300" spans="1:6" ht="13.5" thickBot="1">
      <c r="A300" s="358"/>
      <c r="B300" s="358"/>
      <c r="C300" s="358"/>
      <c r="D300" s="628" t="s">
        <v>419</v>
      </c>
      <c r="F300" s="358"/>
    </row>
    <row r="301" spans="1:6" ht="242.25" customHeight="1" thickTop="1">
      <c r="A301" t="str">
        <f>pos(Disclaimer!A1)</f>
        <v>$A$1</v>
      </c>
      <c r="B301" s="357" t="s">
        <v>723</v>
      </c>
      <c r="C301" s="357" t="s">
        <v>724</v>
      </c>
      <c r="D301" s="3" t="s">
        <v>727</v>
      </c>
      <c r="F301" s="357" t="s">
        <v>723</v>
      </c>
    </row>
  </sheetData>
  <printOptions headings="1"/>
  <pageMargins left="0.7" right="0.7" top="0.57999999999999996" bottom="0.6" header="0.3" footer="0.3"/>
  <pageSetup paperSize="9" scale="26" fitToHeight="0" orientation="landscape" horizontalDpi="1200" verticalDpi="12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Tabelle10"/>
  <dimension ref="A1:C1116"/>
  <sheetViews>
    <sheetView workbookViewId="0">
      <pane ySplit="1" topLeftCell="A149" activePane="bottomLeft" state="frozen"/>
      <selection pane="bottomLeft" activeCell="A115" sqref="A115"/>
    </sheetView>
  </sheetViews>
  <sheetFormatPr baseColWidth="10" defaultColWidth="11.42578125" defaultRowHeight="12.75"/>
  <cols>
    <col min="1" max="1" width="25.140625" bestFit="1" customWidth="1"/>
    <col min="2" max="2" width="7.28515625" bestFit="1" customWidth="1"/>
    <col min="3" max="3" width="20.7109375" bestFit="1" customWidth="1"/>
  </cols>
  <sheetData>
    <row r="1" spans="1:3" s="279" customFormat="1">
      <c r="A1" s="279" t="s">
        <v>528</v>
      </c>
      <c r="B1" s="279" t="s">
        <v>529</v>
      </c>
      <c r="C1" s="279" t="s">
        <v>530</v>
      </c>
    </row>
    <row r="2" spans="1:3">
      <c r="A2" s="3" t="s">
        <v>715</v>
      </c>
      <c r="B2" t="str">
        <f>pos('Input Form'!C9)</f>
        <v>$C$9</v>
      </c>
      <c r="C2" t="e">
        <f ca="1">IF(INDIRECT("'"&amp;A2&amp;"'!"&amp;B2)=0,"",INDIRECT("'"&amp;A2&amp;"'!"&amp;B2))</f>
        <v>#REF!</v>
      </c>
    </row>
    <row r="3" spans="1:3">
      <c r="A3" s="3" t="str">
        <f>$A$2</f>
        <v>Input Form - EingabeMaske</v>
      </c>
      <c r="B3" t="str">
        <f>pos('Input Form'!C10)</f>
        <v>$C$10</v>
      </c>
      <c r="C3" t="e">
        <f t="shared" ref="C3:C67" ca="1" si="0">IF(INDIRECT("'"&amp;A3&amp;"'!"&amp;B3)=0,"",INDIRECT("'"&amp;A3&amp;"'!"&amp;B3))</f>
        <v>#REF!</v>
      </c>
    </row>
    <row r="4" spans="1:3">
      <c r="A4" s="3" t="str">
        <f t="shared" ref="A4:A58" si="1">$A$2</f>
        <v>Input Form - EingabeMaske</v>
      </c>
      <c r="B4" t="str">
        <f>pos('Input Form'!C12)</f>
        <v>$C$12</v>
      </c>
      <c r="C4" t="e">
        <f t="shared" ca="1" si="0"/>
        <v>#REF!</v>
      </c>
    </row>
    <row r="5" spans="1:3">
      <c r="A5" s="3" t="str">
        <f t="shared" si="1"/>
        <v>Input Form - EingabeMaske</v>
      </c>
      <c r="B5" t="str">
        <f>pos('Input Form'!C13)</f>
        <v>$C$13</v>
      </c>
      <c r="C5" t="e">
        <f t="shared" ca="1" si="0"/>
        <v>#REF!</v>
      </c>
    </row>
    <row r="6" spans="1:3">
      <c r="A6" s="3" t="str">
        <f t="shared" si="1"/>
        <v>Input Form - EingabeMaske</v>
      </c>
      <c r="B6" t="str">
        <f>pos('Input Form'!C14)</f>
        <v>$C$14</v>
      </c>
      <c r="C6" t="e">
        <f t="shared" ca="1" si="0"/>
        <v>#REF!</v>
      </c>
    </row>
    <row r="7" spans="1:3">
      <c r="A7" s="3" t="str">
        <f t="shared" si="1"/>
        <v>Input Form - EingabeMaske</v>
      </c>
      <c r="B7" t="str">
        <f>pos('Input Form'!C15)</f>
        <v>$C$15</v>
      </c>
      <c r="C7" t="e">
        <f t="shared" ca="1" si="0"/>
        <v>#REF!</v>
      </c>
    </row>
    <row r="8" spans="1:3">
      <c r="A8" s="3" t="str">
        <f t="shared" si="1"/>
        <v>Input Form - EingabeMaske</v>
      </c>
      <c r="B8" t="str">
        <f>pos('Input Form'!C17)</f>
        <v>$C$17</v>
      </c>
      <c r="C8" t="e">
        <f t="shared" ca="1" si="0"/>
        <v>#REF!</v>
      </c>
    </row>
    <row r="9" spans="1:3">
      <c r="A9" s="3" t="str">
        <f t="shared" si="1"/>
        <v>Input Form - EingabeMaske</v>
      </c>
      <c r="B9" t="str">
        <f>pos('Input Form'!C18)</f>
        <v>$C$18</v>
      </c>
      <c r="C9" t="e">
        <f t="shared" ca="1" si="0"/>
        <v>#REF!</v>
      </c>
    </row>
    <row r="10" spans="1:3">
      <c r="A10" s="3" t="str">
        <f t="shared" si="1"/>
        <v>Input Form - EingabeMaske</v>
      </c>
      <c r="B10" t="str">
        <f>pos('Input Form'!C19)</f>
        <v>$C$19</v>
      </c>
      <c r="C10" t="e">
        <f t="shared" ca="1" si="0"/>
        <v>#REF!</v>
      </c>
    </row>
    <row r="11" spans="1:3">
      <c r="A11" s="3" t="str">
        <f t="shared" si="1"/>
        <v>Input Form - EingabeMaske</v>
      </c>
      <c r="B11" t="str">
        <f>pos('Input Form'!C20)</f>
        <v>$C$20</v>
      </c>
      <c r="C11" t="e">
        <f t="shared" ca="1" si="0"/>
        <v>#REF!</v>
      </c>
    </row>
    <row r="12" spans="1:3">
      <c r="A12" s="3" t="str">
        <f t="shared" si="1"/>
        <v>Input Form - EingabeMaske</v>
      </c>
      <c r="B12" t="str">
        <f>pos('Input Form'!C21)</f>
        <v>$C$21</v>
      </c>
      <c r="C12" t="e">
        <f t="shared" ca="1" si="0"/>
        <v>#REF!</v>
      </c>
    </row>
    <row r="13" spans="1:3">
      <c r="A13" s="3" t="str">
        <f t="shared" si="1"/>
        <v>Input Form - EingabeMaske</v>
      </c>
      <c r="B13" t="str">
        <f>pos('Input Form'!C22)</f>
        <v>$C$22</v>
      </c>
      <c r="C13" t="e">
        <f t="shared" ca="1" si="0"/>
        <v>#REF!</v>
      </c>
    </row>
    <row r="14" spans="1:3">
      <c r="A14" s="3" t="str">
        <f t="shared" si="1"/>
        <v>Input Form - EingabeMaske</v>
      </c>
      <c r="B14" t="str">
        <f>pos('Input Form'!C23)</f>
        <v>$C$23</v>
      </c>
      <c r="C14" t="e">
        <f t="shared" ca="1" si="0"/>
        <v>#REF!</v>
      </c>
    </row>
    <row r="15" spans="1:3">
      <c r="A15" s="3" t="str">
        <f t="shared" si="1"/>
        <v>Input Form - EingabeMaske</v>
      </c>
      <c r="B15" t="str">
        <f>pos('Input Form'!C24)</f>
        <v>$C$24</v>
      </c>
      <c r="C15" t="e">
        <f t="shared" ca="1" si="0"/>
        <v>#REF!</v>
      </c>
    </row>
    <row r="16" spans="1:3">
      <c r="A16" s="3" t="str">
        <f t="shared" si="1"/>
        <v>Input Form - EingabeMaske</v>
      </c>
      <c r="B16" t="str">
        <f>pos('Input Form'!C25)</f>
        <v>$C$25</v>
      </c>
      <c r="C16" t="e">
        <f t="shared" ca="1" si="0"/>
        <v>#REF!</v>
      </c>
    </row>
    <row r="17" spans="1:3">
      <c r="A17" s="3" t="str">
        <f t="shared" si="1"/>
        <v>Input Form - EingabeMaske</v>
      </c>
      <c r="B17" t="str">
        <f>pos('Input Form'!C26)</f>
        <v>$C$26</v>
      </c>
      <c r="C17" t="e">
        <f t="shared" ca="1" si="0"/>
        <v>#REF!</v>
      </c>
    </row>
    <row r="18" spans="1:3">
      <c r="A18" s="3" t="str">
        <f t="shared" si="1"/>
        <v>Input Form - EingabeMaske</v>
      </c>
      <c r="B18" t="str">
        <f>pos('Input Form'!E10)</f>
        <v>$E$10</v>
      </c>
      <c r="C18" t="e">
        <f t="shared" ca="1" si="0"/>
        <v>#REF!</v>
      </c>
    </row>
    <row r="19" spans="1:3">
      <c r="A19" s="3" t="str">
        <f t="shared" si="1"/>
        <v>Input Form - EingabeMaske</v>
      </c>
      <c r="B19" t="str">
        <f>pos('Input Form'!E13)</f>
        <v>$E$13</v>
      </c>
      <c r="C19" t="e">
        <f t="shared" ca="1" si="0"/>
        <v>#REF!</v>
      </c>
    </row>
    <row r="20" spans="1:3">
      <c r="A20" s="3" t="str">
        <f t="shared" si="1"/>
        <v>Input Form - EingabeMaske</v>
      </c>
      <c r="B20" t="str">
        <f>pos('Input Form'!E14)</f>
        <v>$E$14</v>
      </c>
      <c r="C20" t="e">
        <f t="shared" ca="1" si="0"/>
        <v>#REF!</v>
      </c>
    </row>
    <row r="21" spans="1:3">
      <c r="A21" s="3" t="str">
        <f t="shared" si="1"/>
        <v>Input Form - EingabeMaske</v>
      </c>
      <c r="B21" t="str">
        <f>pos('Input Form'!E15)</f>
        <v>$E$15</v>
      </c>
      <c r="C21" t="e">
        <f t="shared" ca="1" si="0"/>
        <v>#REF!</v>
      </c>
    </row>
    <row r="22" spans="1:3">
      <c r="A22" s="3" t="str">
        <f t="shared" si="1"/>
        <v>Input Form - EingabeMaske</v>
      </c>
      <c r="B22" t="str">
        <f>pos('Input Form'!E18)</f>
        <v>$E$18</v>
      </c>
      <c r="C22" t="e">
        <f t="shared" ca="1" si="0"/>
        <v>#REF!</v>
      </c>
    </row>
    <row r="23" spans="1:3">
      <c r="A23" s="3" t="str">
        <f t="shared" si="1"/>
        <v>Input Form - EingabeMaske</v>
      </c>
      <c r="B23" t="str">
        <f>pos('Input Form'!E19)</f>
        <v>$E$19</v>
      </c>
      <c r="C23" t="e">
        <f t="shared" ca="1" si="0"/>
        <v>#REF!</v>
      </c>
    </row>
    <row r="24" spans="1:3">
      <c r="A24" s="3" t="str">
        <f t="shared" si="1"/>
        <v>Input Form - EingabeMaske</v>
      </c>
      <c r="B24" t="str">
        <f>pos('Input Form'!E20)</f>
        <v>$E$20</v>
      </c>
      <c r="C24" t="e">
        <f t="shared" ca="1" si="0"/>
        <v>#REF!</v>
      </c>
    </row>
    <row r="25" spans="1:3">
      <c r="A25" s="3" t="str">
        <f t="shared" si="1"/>
        <v>Input Form - EingabeMaske</v>
      </c>
      <c r="B25" t="str">
        <f>pos('Input Form'!E21)</f>
        <v>$E$21</v>
      </c>
      <c r="C25" t="e">
        <f t="shared" ca="1" si="0"/>
        <v>#REF!</v>
      </c>
    </row>
    <row r="26" spans="1:3">
      <c r="A26" s="3" t="str">
        <f t="shared" si="1"/>
        <v>Input Form - EingabeMaske</v>
      </c>
      <c r="B26" t="str">
        <f>pos('Input Form'!E22)</f>
        <v>$E$22</v>
      </c>
      <c r="C26" t="e">
        <f t="shared" ca="1" si="0"/>
        <v>#REF!</v>
      </c>
    </row>
    <row r="27" spans="1:3">
      <c r="A27" s="3" t="str">
        <f t="shared" si="1"/>
        <v>Input Form - EingabeMaske</v>
      </c>
      <c r="B27" t="str">
        <f>pos('Input Form'!F18)</f>
        <v>$F$18</v>
      </c>
      <c r="C27" t="e">
        <f t="shared" ca="1" si="0"/>
        <v>#REF!</v>
      </c>
    </row>
    <row r="28" spans="1:3">
      <c r="A28" s="3" t="str">
        <f t="shared" si="1"/>
        <v>Input Form - EingabeMaske</v>
      </c>
      <c r="B28" t="str">
        <f>pos('Input Form'!F19)</f>
        <v>$F$19</v>
      </c>
      <c r="C28" t="e">
        <f t="shared" ca="1" si="0"/>
        <v>#REF!</v>
      </c>
    </row>
    <row r="29" spans="1:3">
      <c r="A29" s="3" t="str">
        <f t="shared" si="1"/>
        <v>Input Form - EingabeMaske</v>
      </c>
      <c r="B29" t="str">
        <f>pos('Input Form'!F20)</f>
        <v>$F$20</v>
      </c>
      <c r="C29" t="e">
        <f t="shared" ca="1" si="0"/>
        <v>#REF!</v>
      </c>
    </row>
    <row r="30" spans="1:3">
      <c r="A30" s="3" t="str">
        <f t="shared" si="1"/>
        <v>Input Form - EingabeMaske</v>
      </c>
      <c r="B30" t="str">
        <f>pos('Input Form'!F21)</f>
        <v>$F$21</v>
      </c>
      <c r="C30" t="e">
        <f t="shared" ca="1" si="0"/>
        <v>#REF!</v>
      </c>
    </row>
    <row r="31" spans="1:3">
      <c r="A31" s="3" t="str">
        <f t="shared" si="1"/>
        <v>Input Form - EingabeMaske</v>
      </c>
      <c r="B31" t="str">
        <f>pos('Input Form'!F22)</f>
        <v>$F$22</v>
      </c>
      <c r="C31" t="e">
        <f t="shared" ca="1" si="0"/>
        <v>#REF!</v>
      </c>
    </row>
    <row r="32" spans="1:3">
      <c r="A32" s="3" t="str">
        <f t="shared" si="1"/>
        <v>Input Form - EingabeMaske</v>
      </c>
      <c r="B32" t="str">
        <f>pos('Input Form'!C28)</f>
        <v>$C$28</v>
      </c>
      <c r="C32" t="e">
        <f t="shared" ca="1" si="0"/>
        <v>#REF!</v>
      </c>
    </row>
    <row r="33" spans="1:3">
      <c r="A33" s="3" t="str">
        <f t="shared" si="1"/>
        <v>Input Form - EingabeMaske</v>
      </c>
      <c r="B33" t="str">
        <f>pos('Input Form'!C29)</f>
        <v>$C$29</v>
      </c>
      <c r="C33" t="e">
        <f t="shared" ca="1" si="0"/>
        <v>#REF!</v>
      </c>
    </row>
    <row r="34" spans="1:3">
      <c r="A34" s="3" t="str">
        <f t="shared" si="1"/>
        <v>Input Form - EingabeMaske</v>
      </c>
      <c r="B34" t="str">
        <f>pos('Input Form'!C30)</f>
        <v>$C$30</v>
      </c>
      <c r="C34" t="e">
        <f t="shared" ca="1" si="0"/>
        <v>#REF!</v>
      </c>
    </row>
    <row r="35" spans="1:3">
      <c r="A35" s="3" t="str">
        <f t="shared" si="1"/>
        <v>Input Form - EingabeMaske</v>
      </c>
      <c r="B35" t="str">
        <f>pos('Input Form'!C31)</f>
        <v>$C$31</v>
      </c>
      <c r="C35" t="e">
        <f t="shared" ca="1" si="0"/>
        <v>#REF!</v>
      </c>
    </row>
    <row r="36" spans="1:3">
      <c r="A36" s="3" t="str">
        <f t="shared" si="1"/>
        <v>Input Form - EingabeMaske</v>
      </c>
      <c r="B36" t="str">
        <f>pos('Input Form'!D28)</f>
        <v>$D$28</v>
      </c>
      <c r="C36" t="e">
        <f t="shared" ca="1" si="0"/>
        <v>#REF!</v>
      </c>
    </row>
    <row r="37" spans="1:3">
      <c r="A37" s="3" t="str">
        <f t="shared" si="1"/>
        <v>Input Form - EingabeMaske</v>
      </c>
      <c r="B37" t="str">
        <f>pos('Input Form'!D29)</f>
        <v>$D$29</v>
      </c>
      <c r="C37" t="e">
        <f t="shared" ca="1" si="0"/>
        <v>#REF!</v>
      </c>
    </row>
    <row r="38" spans="1:3">
      <c r="A38" s="3" t="str">
        <f t="shared" si="1"/>
        <v>Input Form - EingabeMaske</v>
      </c>
      <c r="B38" t="str">
        <f>pos('Input Form'!D30)</f>
        <v>$D$30</v>
      </c>
      <c r="C38" t="e">
        <f t="shared" ca="1" si="0"/>
        <v>#REF!</v>
      </c>
    </row>
    <row r="39" spans="1:3">
      <c r="A39" s="3" t="str">
        <f t="shared" si="1"/>
        <v>Input Form - EingabeMaske</v>
      </c>
      <c r="B39" t="str">
        <f>pos('Input Form'!D31)</f>
        <v>$D$31</v>
      </c>
      <c r="C39" t="e">
        <f t="shared" ca="1" si="0"/>
        <v>#REF!</v>
      </c>
    </row>
    <row r="40" spans="1:3">
      <c r="A40" s="3" t="str">
        <f t="shared" si="1"/>
        <v>Input Form - EingabeMaske</v>
      </c>
      <c r="B40" t="str">
        <f>pos('Input Form'!E28)</f>
        <v>$E$28</v>
      </c>
      <c r="C40" t="e">
        <f t="shared" ca="1" si="0"/>
        <v>#REF!</v>
      </c>
    </row>
    <row r="41" spans="1:3">
      <c r="A41" s="3" t="str">
        <f t="shared" si="1"/>
        <v>Input Form - EingabeMaske</v>
      </c>
      <c r="B41" t="str">
        <f>pos('Input Form'!E29)</f>
        <v>$E$29</v>
      </c>
      <c r="C41" t="e">
        <f t="shared" ca="1" si="0"/>
        <v>#REF!</v>
      </c>
    </row>
    <row r="42" spans="1:3">
      <c r="A42" s="3" t="str">
        <f t="shared" si="1"/>
        <v>Input Form - EingabeMaske</v>
      </c>
      <c r="B42" t="str">
        <f>pos('Input Form'!E30)</f>
        <v>$E$30</v>
      </c>
      <c r="C42" t="e">
        <f t="shared" ca="1" si="0"/>
        <v>#REF!</v>
      </c>
    </row>
    <row r="43" spans="1:3">
      <c r="A43" s="3" t="str">
        <f t="shared" si="1"/>
        <v>Input Form - EingabeMaske</v>
      </c>
      <c r="B43" t="str">
        <f>pos('Input Form'!E31)</f>
        <v>$E$31</v>
      </c>
      <c r="C43" t="e">
        <f t="shared" ca="1" si="0"/>
        <v>#REF!</v>
      </c>
    </row>
    <row r="44" spans="1:3">
      <c r="A44" s="3" t="str">
        <f t="shared" si="1"/>
        <v>Input Form - EingabeMaske</v>
      </c>
      <c r="B44" t="str">
        <f>pos('Input Form'!F28)</f>
        <v>$F$28</v>
      </c>
      <c r="C44" t="e">
        <f t="shared" ca="1" si="0"/>
        <v>#REF!</v>
      </c>
    </row>
    <row r="45" spans="1:3">
      <c r="A45" s="3" t="str">
        <f t="shared" si="1"/>
        <v>Input Form - EingabeMaske</v>
      </c>
      <c r="B45" t="str">
        <f>pos('Input Form'!F29)</f>
        <v>$F$29</v>
      </c>
      <c r="C45" t="e">
        <f t="shared" ca="1" si="0"/>
        <v>#REF!</v>
      </c>
    </row>
    <row r="46" spans="1:3">
      <c r="A46" s="3" t="str">
        <f t="shared" si="1"/>
        <v>Input Form - EingabeMaske</v>
      </c>
      <c r="B46" t="str">
        <f>pos('Input Form'!F30)</f>
        <v>$F$30</v>
      </c>
      <c r="C46" t="e">
        <f t="shared" ca="1" si="0"/>
        <v>#REF!</v>
      </c>
    </row>
    <row r="47" spans="1:3">
      <c r="A47" s="3" t="str">
        <f t="shared" si="1"/>
        <v>Input Form - EingabeMaske</v>
      </c>
      <c r="B47" t="str">
        <f>pos('Input Form'!F31)</f>
        <v>$F$31</v>
      </c>
      <c r="C47" t="e">
        <f t="shared" ca="1" si="0"/>
        <v>#REF!</v>
      </c>
    </row>
    <row r="48" spans="1:3">
      <c r="A48" s="3" t="str">
        <f t="shared" si="1"/>
        <v>Input Form - EingabeMaske</v>
      </c>
      <c r="B48" t="str">
        <f>pos('Input Form'!C34)</f>
        <v>$C$34</v>
      </c>
      <c r="C48" t="e">
        <f t="shared" ca="1" si="0"/>
        <v>#REF!</v>
      </c>
    </row>
    <row r="49" spans="1:3">
      <c r="A49" s="3" t="str">
        <f t="shared" si="1"/>
        <v>Input Form - EingabeMaske</v>
      </c>
      <c r="B49" t="str">
        <f>pos('Input Form'!D34)</f>
        <v>$D$34</v>
      </c>
      <c r="C49" t="e">
        <f t="shared" ca="1" si="0"/>
        <v>#REF!</v>
      </c>
    </row>
    <row r="50" spans="1:3">
      <c r="A50" s="3" t="str">
        <f t="shared" si="1"/>
        <v>Input Form - EingabeMaske</v>
      </c>
      <c r="B50" t="str">
        <f>pos('Input Form'!E34)</f>
        <v>$E$34</v>
      </c>
      <c r="C50" t="e">
        <f t="shared" ca="1" si="0"/>
        <v>#REF!</v>
      </c>
    </row>
    <row r="51" spans="1:3">
      <c r="A51" s="3" t="str">
        <f t="shared" si="1"/>
        <v>Input Form - EingabeMaske</v>
      </c>
      <c r="B51" t="str">
        <f>pos('Input Form'!F34)</f>
        <v>$F$34</v>
      </c>
      <c r="C51" t="e">
        <f t="shared" ca="1" si="0"/>
        <v>#REF!</v>
      </c>
    </row>
    <row r="52" spans="1:3">
      <c r="A52" s="3" t="str">
        <f t="shared" si="1"/>
        <v>Input Form - EingabeMaske</v>
      </c>
      <c r="B52" t="str">
        <f>pos('Input Form'!D36)</f>
        <v>$D$36</v>
      </c>
      <c r="C52" t="e">
        <f t="shared" ca="1" si="0"/>
        <v>#REF!</v>
      </c>
    </row>
    <row r="53" spans="1:3">
      <c r="A53" s="3" t="str">
        <f t="shared" si="1"/>
        <v>Input Form - EingabeMaske</v>
      </c>
      <c r="B53" t="str">
        <f>pos('Input Form'!C38)</f>
        <v>$C$38</v>
      </c>
      <c r="C53" t="e">
        <f t="shared" ca="1" si="0"/>
        <v>#REF!</v>
      </c>
    </row>
    <row r="54" spans="1:3">
      <c r="A54" s="3" t="str">
        <f t="shared" si="1"/>
        <v>Input Form - EingabeMaske</v>
      </c>
      <c r="B54" t="str">
        <f>pos('Input Form'!C39)</f>
        <v>$C$39</v>
      </c>
      <c r="C54" t="e">
        <f t="shared" ca="1" si="0"/>
        <v>#REF!</v>
      </c>
    </row>
    <row r="55" spans="1:3">
      <c r="A55" s="3" t="str">
        <f t="shared" si="1"/>
        <v>Input Form - EingabeMaske</v>
      </c>
      <c r="B55" t="str">
        <f>pos('Input Form'!C40)</f>
        <v>$C$40</v>
      </c>
      <c r="C55" t="e">
        <f t="shared" ca="1" si="0"/>
        <v>#REF!</v>
      </c>
    </row>
    <row r="56" spans="1:3">
      <c r="A56" s="3" t="str">
        <f t="shared" si="1"/>
        <v>Input Form - EingabeMaske</v>
      </c>
      <c r="B56" t="str">
        <f>pos('Input Form'!D38)</f>
        <v>$D$38</v>
      </c>
      <c r="C56" t="e">
        <f t="shared" ca="1" si="0"/>
        <v>#REF!</v>
      </c>
    </row>
    <row r="57" spans="1:3">
      <c r="A57" s="3" t="str">
        <f t="shared" si="1"/>
        <v>Input Form - EingabeMaske</v>
      </c>
      <c r="B57" t="str">
        <f>pos('Input Form'!D39)</f>
        <v>$D$39</v>
      </c>
      <c r="C57" t="e">
        <f t="shared" ca="1" si="0"/>
        <v>#REF!</v>
      </c>
    </row>
    <row r="58" spans="1:3">
      <c r="A58" s="3" t="str">
        <f t="shared" si="1"/>
        <v>Input Form - EingabeMaske</v>
      </c>
      <c r="B58" t="str">
        <f>pos('Input Form'!D40)</f>
        <v>$D$40</v>
      </c>
      <c r="C58" t="e">
        <f t="shared" ca="1" si="0"/>
        <v>#REF!</v>
      </c>
    </row>
    <row r="59" spans="1:3">
      <c r="A59" s="3" t="str">
        <f t="shared" ref="A59:A90" si="2">$A$2</f>
        <v>Input Form - EingabeMaske</v>
      </c>
      <c r="B59" t="str">
        <f>pos('Input Form'!C53)</f>
        <v>$C$53</v>
      </c>
      <c r="C59" t="e">
        <f t="shared" ca="1" si="0"/>
        <v>#REF!</v>
      </c>
    </row>
    <row r="60" spans="1:3">
      <c r="A60" s="3" t="str">
        <f t="shared" si="2"/>
        <v>Input Form - EingabeMaske</v>
      </c>
      <c r="B60" t="str">
        <f>pos('Input Form'!C54)</f>
        <v>$C$54</v>
      </c>
      <c r="C60" t="e">
        <f t="shared" ca="1" si="0"/>
        <v>#REF!</v>
      </c>
    </row>
    <row r="61" spans="1:3">
      <c r="A61" s="3" t="str">
        <f t="shared" si="2"/>
        <v>Input Form - EingabeMaske</v>
      </c>
      <c r="B61" t="str">
        <f>pos('Input Form'!C55)</f>
        <v>$C$55</v>
      </c>
      <c r="C61" t="e">
        <f t="shared" ca="1" si="0"/>
        <v>#REF!</v>
      </c>
    </row>
    <row r="62" spans="1:3">
      <c r="A62" s="3" t="str">
        <f t="shared" si="2"/>
        <v>Input Form - EingabeMaske</v>
      </c>
      <c r="B62" t="str">
        <f>pos('Input Form'!C56)</f>
        <v>$C$56</v>
      </c>
      <c r="C62" t="e">
        <f t="shared" ca="1" si="0"/>
        <v>#REF!</v>
      </c>
    </row>
    <row r="63" spans="1:3">
      <c r="A63" s="3" t="str">
        <f t="shared" si="2"/>
        <v>Input Form - EingabeMaske</v>
      </c>
      <c r="B63" t="str">
        <f>pos('Input Form'!D53)</f>
        <v>$D$53</v>
      </c>
      <c r="C63" t="e">
        <f t="shared" ca="1" si="0"/>
        <v>#REF!</v>
      </c>
    </row>
    <row r="64" spans="1:3">
      <c r="A64" s="3" t="str">
        <f t="shared" si="2"/>
        <v>Input Form - EingabeMaske</v>
      </c>
      <c r="B64" t="str">
        <f>pos('Input Form'!D54)</f>
        <v>$D$54</v>
      </c>
      <c r="C64" t="e">
        <f t="shared" ca="1" si="0"/>
        <v>#REF!</v>
      </c>
    </row>
    <row r="65" spans="1:3">
      <c r="A65" s="3" t="str">
        <f t="shared" si="2"/>
        <v>Input Form - EingabeMaske</v>
      </c>
      <c r="B65" t="str">
        <f>pos('Input Form'!D55)</f>
        <v>$D$55</v>
      </c>
      <c r="C65" t="e">
        <f t="shared" ca="1" si="0"/>
        <v>#REF!</v>
      </c>
    </row>
    <row r="66" spans="1:3">
      <c r="A66" s="3" t="str">
        <f t="shared" si="2"/>
        <v>Input Form - EingabeMaske</v>
      </c>
      <c r="B66" t="str">
        <f>pos('Input Form'!D56)</f>
        <v>$D$56</v>
      </c>
      <c r="C66" t="e">
        <f t="shared" ca="1" si="0"/>
        <v>#REF!</v>
      </c>
    </row>
    <row r="67" spans="1:3">
      <c r="A67" s="3" t="str">
        <f t="shared" si="2"/>
        <v>Input Form - EingabeMaske</v>
      </c>
      <c r="B67" t="str">
        <f>pos('Input Form'!E53)</f>
        <v>$E$53</v>
      </c>
      <c r="C67" t="e">
        <f t="shared" ca="1" si="0"/>
        <v>#REF!</v>
      </c>
    </row>
    <row r="68" spans="1:3">
      <c r="A68" s="3" t="str">
        <f t="shared" si="2"/>
        <v>Input Form - EingabeMaske</v>
      </c>
      <c r="B68" t="str">
        <f>pos('Input Form'!E54)</f>
        <v>$E$54</v>
      </c>
      <c r="C68" t="e">
        <f ca="1">IF(INDIRECT("'"&amp;A68&amp;"'!"&amp;B68)=0,"",INDIRECT("'"&amp;A68&amp;"'!"&amp;B68))</f>
        <v>#REF!</v>
      </c>
    </row>
    <row r="69" spans="1:3">
      <c r="A69" s="3" t="str">
        <f t="shared" si="2"/>
        <v>Input Form - EingabeMaske</v>
      </c>
      <c r="B69" t="str">
        <f>pos('Input Form'!E55)</f>
        <v>$E$55</v>
      </c>
      <c r="C69" t="e">
        <f ca="1">IF(INDIRECT("'"&amp;A69&amp;"'!"&amp;B69)=0,"",INDIRECT("'"&amp;A69&amp;"'!"&amp;B69))</f>
        <v>#REF!</v>
      </c>
    </row>
    <row r="70" spans="1:3">
      <c r="A70" s="3" t="str">
        <f t="shared" si="2"/>
        <v>Input Form - EingabeMaske</v>
      </c>
      <c r="B70" t="str">
        <f>pos('Input Form'!E56)</f>
        <v>$E$56</v>
      </c>
      <c r="C70" t="e">
        <f ca="1">IF(INDIRECT("'"&amp;A70&amp;"'!"&amp;B70)=0,"",INDIRECT("'"&amp;A70&amp;"'!"&amp;B70))</f>
        <v>#REF!</v>
      </c>
    </row>
    <row r="71" spans="1:3">
      <c r="A71" s="3" t="str">
        <f t="shared" si="2"/>
        <v>Input Form - EingabeMaske</v>
      </c>
      <c r="B71" t="str">
        <f>pos('Input Form'!F53)</f>
        <v>$F$53</v>
      </c>
      <c r="C71" t="e">
        <f ca="1">IF(INDIRECT("'"&amp;A71&amp;"'!"&amp;B71)=0,"",INDIRECT("'"&amp;A71&amp;"'!"&amp;B71))</f>
        <v>#REF!</v>
      </c>
    </row>
    <row r="72" spans="1:3">
      <c r="A72" s="3" t="str">
        <f t="shared" si="2"/>
        <v>Input Form - EingabeMaske</v>
      </c>
      <c r="B72" t="str">
        <f>pos('Input Form'!F54)</f>
        <v>$F$54</v>
      </c>
      <c r="C72" t="e">
        <f t="shared" ref="C72:C89" ca="1" si="3">IF(INDIRECT("'"&amp;A72&amp;"'!"&amp;B72)=0,"",INDIRECT("'"&amp;A72&amp;"'!"&amp;B72))</f>
        <v>#REF!</v>
      </c>
    </row>
    <row r="73" spans="1:3">
      <c r="A73" s="3" t="str">
        <f t="shared" si="2"/>
        <v>Input Form - EingabeMaske</v>
      </c>
      <c r="B73" t="str">
        <f>pos('Input Form'!F55)</f>
        <v>$F$55</v>
      </c>
      <c r="C73" t="e">
        <f t="shared" ca="1" si="3"/>
        <v>#REF!</v>
      </c>
    </row>
    <row r="74" spans="1:3">
      <c r="A74" s="3" t="str">
        <f t="shared" si="2"/>
        <v>Input Form - EingabeMaske</v>
      </c>
      <c r="B74" t="str">
        <f>pos('Input Form'!F56)</f>
        <v>$F$56</v>
      </c>
      <c r="C74" t="e">
        <f t="shared" ca="1" si="3"/>
        <v>#REF!</v>
      </c>
    </row>
    <row r="75" spans="1:3">
      <c r="A75" s="3" t="str">
        <f t="shared" si="2"/>
        <v>Input Form - EingabeMaske</v>
      </c>
      <c r="B75" t="str">
        <f>pos('Input Form'!C65)</f>
        <v>$C$65</v>
      </c>
      <c r="C75" t="e">
        <f t="shared" ca="1" si="3"/>
        <v>#REF!</v>
      </c>
    </row>
    <row r="76" spans="1:3">
      <c r="A76" s="3" t="str">
        <f t="shared" si="2"/>
        <v>Input Form - EingabeMaske</v>
      </c>
      <c r="B76" t="str">
        <f>pos('Input Form'!C66)</f>
        <v>$C$66</v>
      </c>
      <c r="C76" t="e">
        <f t="shared" ca="1" si="3"/>
        <v>#REF!</v>
      </c>
    </row>
    <row r="77" spans="1:3">
      <c r="A77" s="3" t="str">
        <f t="shared" si="2"/>
        <v>Input Form - EingabeMaske</v>
      </c>
      <c r="B77" t="str">
        <f>pos('Input Form'!C67)</f>
        <v>$C$67</v>
      </c>
      <c r="C77" t="e">
        <f t="shared" ca="1" si="3"/>
        <v>#REF!</v>
      </c>
    </row>
    <row r="78" spans="1:3">
      <c r="A78" s="3" t="str">
        <f t="shared" si="2"/>
        <v>Input Form - EingabeMaske</v>
      </c>
      <c r="B78" t="str">
        <f>pos('Input Form'!C68)</f>
        <v>$C$68</v>
      </c>
      <c r="C78" t="e">
        <f t="shared" ca="1" si="3"/>
        <v>#REF!</v>
      </c>
    </row>
    <row r="79" spans="1:3">
      <c r="A79" s="3" t="str">
        <f t="shared" si="2"/>
        <v>Input Form - EingabeMaske</v>
      </c>
      <c r="B79" t="str">
        <f>pos('Input Form'!C69)</f>
        <v>$C$69</v>
      </c>
      <c r="C79" t="e">
        <f t="shared" ca="1" si="3"/>
        <v>#REF!</v>
      </c>
    </row>
    <row r="80" spans="1:3">
      <c r="A80" s="3" t="str">
        <f t="shared" si="2"/>
        <v>Input Form - EingabeMaske</v>
      </c>
      <c r="B80" t="str">
        <f>pos('Input Form'!C70)</f>
        <v>$C$70</v>
      </c>
      <c r="C80" t="e">
        <f t="shared" ca="1" si="3"/>
        <v>#REF!</v>
      </c>
    </row>
    <row r="81" spans="1:3">
      <c r="A81" s="3" t="str">
        <f t="shared" si="2"/>
        <v>Input Form - EingabeMaske</v>
      </c>
      <c r="B81" t="str">
        <f>pos('Input Form'!C71)</f>
        <v>$C$71</v>
      </c>
      <c r="C81" t="e">
        <f t="shared" ca="1" si="3"/>
        <v>#REF!</v>
      </c>
    </row>
    <row r="82" spans="1:3">
      <c r="A82" s="3" t="str">
        <f t="shared" si="2"/>
        <v>Input Form - EingabeMaske</v>
      </c>
      <c r="B82" t="str">
        <f>pos('Input Form'!D66)</f>
        <v>$D$66</v>
      </c>
      <c r="C82" t="e">
        <f t="shared" ca="1" si="3"/>
        <v>#REF!</v>
      </c>
    </row>
    <row r="83" spans="1:3">
      <c r="A83" s="3" t="str">
        <f t="shared" si="2"/>
        <v>Input Form - EingabeMaske</v>
      </c>
      <c r="B83" t="str">
        <f>pos('Input Form'!D67)</f>
        <v>$D$67</v>
      </c>
      <c r="C83" t="e">
        <f t="shared" ca="1" si="3"/>
        <v>#REF!</v>
      </c>
    </row>
    <row r="84" spans="1:3">
      <c r="A84" s="3" t="str">
        <f t="shared" si="2"/>
        <v>Input Form - EingabeMaske</v>
      </c>
      <c r="B84" t="str">
        <f>pos('Input Form'!D68)</f>
        <v>$D$68</v>
      </c>
      <c r="C84" t="e">
        <f t="shared" ca="1" si="3"/>
        <v>#REF!</v>
      </c>
    </row>
    <row r="85" spans="1:3">
      <c r="A85" s="3" t="str">
        <f t="shared" si="2"/>
        <v>Input Form - EingabeMaske</v>
      </c>
      <c r="B85" t="str">
        <f>pos('Input Form'!D69)</f>
        <v>$D$69</v>
      </c>
      <c r="C85" t="e">
        <f t="shared" ca="1" si="3"/>
        <v>#REF!</v>
      </c>
    </row>
    <row r="86" spans="1:3">
      <c r="A86" s="3" t="str">
        <f t="shared" si="2"/>
        <v>Input Form - EingabeMaske</v>
      </c>
      <c r="B86" t="str">
        <f>pos('Input Form'!D70)</f>
        <v>$D$70</v>
      </c>
      <c r="C86" t="e">
        <f t="shared" ca="1" si="3"/>
        <v>#REF!</v>
      </c>
    </row>
    <row r="87" spans="1:3">
      <c r="A87" s="3" t="str">
        <f t="shared" si="2"/>
        <v>Input Form - EingabeMaske</v>
      </c>
      <c r="B87" t="str">
        <f>pos('Input Form'!D71)</f>
        <v>$D$71</v>
      </c>
      <c r="C87" t="e">
        <f t="shared" ca="1" si="3"/>
        <v>#REF!</v>
      </c>
    </row>
    <row r="88" spans="1:3">
      <c r="A88" s="3" t="str">
        <f t="shared" si="2"/>
        <v>Input Form - EingabeMaske</v>
      </c>
      <c r="B88" t="str">
        <f>pos('Input Form'!C73)</f>
        <v>$C$73</v>
      </c>
      <c r="C88" t="e">
        <f t="shared" ca="1" si="3"/>
        <v>#REF!</v>
      </c>
    </row>
    <row r="89" spans="1:3">
      <c r="A89" s="3" t="str">
        <f t="shared" si="2"/>
        <v>Input Form - EingabeMaske</v>
      </c>
      <c r="B89" t="str">
        <f>pos('Input Form'!C74)</f>
        <v>$C$74</v>
      </c>
      <c r="C89" t="e">
        <f t="shared" ca="1" si="3"/>
        <v>#REF!</v>
      </c>
    </row>
    <row r="90" spans="1:3">
      <c r="A90" s="3" t="str">
        <f t="shared" si="2"/>
        <v>Input Form - EingabeMaske</v>
      </c>
      <c r="B90" t="str">
        <f>pos('Input Form'!C75)</f>
        <v>$C$75</v>
      </c>
      <c r="C90" t="e">
        <f t="shared" ref="C90:C155" ca="1" si="4">IF(INDIRECT("'"&amp;A90&amp;"'!"&amp;B90)=0,"",INDIRECT("'"&amp;A90&amp;"'!"&amp;B90))</f>
        <v>#REF!</v>
      </c>
    </row>
    <row r="91" spans="1:3">
      <c r="A91" s="3" t="str">
        <f t="shared" ref="A91:A114" si="5">$A$2</f>
        <v>Input Form - EingabeMaske</v>
      </c>
      <c r="B91" t="str">
        <f>pos('Input Form'!C76)</f>
        <v>$C$76</v>
      </c>
      <c r="C91" t="e">
        <f t="shared" ca="1" si="4"/>
        <v>#REF!</v>
      </c>
    </row>
    <row r="92" spans="1:3">
      <c r="A92" s="3" t="str">
        <f t="shared" si="5"/>
        <v>Input Form - EingabeMaske</v>
      </c>
      <c r="B92" t="str">
        <f>pos('Input Form'!C77)</f>
        <v>$C$77</v>
      </c>
      <c r="C92" t="e">
        <f t="shared" ca="1" si="4"/>
        <v>#REF!</v>
      </c>
    </row>
    <row r="93" spans="1:3">
      <c r="A93" s="3" t="str">
        <f t="shared" si="5"/>
        <v>Input Form - EingabeMaske</v>
      </c>
      <c r="B93" t="str">
        <f>pos('Input Form'!C78)</f>
        <v>$C$78</v>
      </c>
      <c r="C93" t="e">
        <f t="shared" ca="1" si="4"/>
        <v>#REF!</v>
      </c>
    </row>
    <row r="94" spans="1:3">
      <c r="A94" s="3" t="str">
        <f t="shared" si="5"/>
        <v>Input Form - EingabeMaske</v>
      </c>
      <c r="B94" t="str">
        <f>pos('Input Form'!C79)</f>
        <v>$C$79</v>
      </c>
      <c r="C94" t="e">
        <f t="shared" ca="1" si="4"/>
        <v>#REF!</v>
      </c>
    </row>
    <row r="95" spans="1:3">
      <c r="A95" s="3" t="str">
        <f t="shared" si="5"/>
        <v>Input Form - EingabeMaske</v>
      </c>
      <c r="B95" t="str">
        <f>pos('Input Form'!D73)</f>
        <v>$D$73</v>
      </c>
      <c r="C95" t="e">
        <f t="shared" ca="1" si="4"/>
        <v>#REF!</v>
      </c>
    </row>
    <row r="96" spans="1:3">
      <c r="A96" s="3" t="str">
        <f t="shared" si="5"/>
        <v>Input Form - EingabeMaske</v>
      </c>
      <c r="B96" t="str">
        <f>pos('Input Form'!D74)</f>
        <v>$D$74</v>
      </c>
      <c r="C96" t="e">
        <f t="shared" ca="1" si="4"/>
        <v>#REF!</v>
      </c>
    </row>
    <row r="97" spans="1:3">
      <c r="A97" s="3" t="str">
        <f t="shared" si="5"/>
        <v>Input Form - EingabeMaske</v>
      </c>
      <c r="B97" t="str">
        <f>pos('Input Form'!D75)</f>
        <v>$D$75</v>
      </c>
      <c r="C97" t="e">
        <f t="shared" ca="1" si="4"/>
        <v>#REF!</v>
      </c>
    </row>
    <row r="98" spans="1:3">
      <c r="A98" s="3" t="str">
        <f t="shared" si="5"/>
        <v>Input Form - EingabeMaske</v>
      </c>
      <c r="B98" t="str">
        <f>pos('Input Form'!D76)</f>
        <v>$D$76</v>
      </c>
      <c r="C98" t="e">
        <f t="shared" ca="1" si="4"/>
        <v>#REF!</v>
      </c>
    </row>
    <row r="99" spans="1:3">
      <c r="A99" s="3" t="str">
        <f t="shared" si="5"/>
        <v>Input Form - EingabeMaske</v>
      </c>
      <c r="B99" t="str">
        <f>pos('Input Form'!D77)</f>
        <v>$D$77</v>
      </c>
      <c r="C99" t="e">
        <f t="shared" ca="1" si="4"/>
        <v>#REF!</v>
      </c>
    </row>
    <row r="100" spans="1:3">
      <c r="A100" s="3" t="str">
        <f t="shared" si="5"/>
        <v>Input Form - EingabeMaske</v>
      </c>
      <c r="B100" t="str">
        <f>pos('Input Form'!D78)</f>
        <v>$D$78</v>
      </c>
      <c r="C100" t="e">
        <f t="shared" ca="1" si="4"/>
        <v>#REF!</v>
      </c>
    </row>
    <row r="101" spans="1:3">
      <c r="A101" s="3" t="str">
        <f t="shared" si="5"/>
        <v>Input Form - EingabeMaske</v>
      </c>
      <c r="B101" t="str">
        <f>pos('Input Form'!D79)</f>
        <v>$D$79</v>
      </c>
      <c r="C101" t="e">
        <f t="shared" ca="1" si="4"/>
        <v>#REF!</v>
      </c>
    </row>
    <row r="102" spans="1:3">
      <c r="A102" s="3" t="str">
        <f t="shared" si="5"/>
        <v>Input Form - EingabeMaske</v>
      </c>
      <c r="B102" t="str">
        <f>pos('Input Form'!F65)</f>
        <v>$F$65</v>
      </c>
      <c r="C102" t="e">
        <f t="shared" ca="1" si="4"/>
        <v>#REF!</v>
      </c>
    </row>
    <row r="103" spans="1:3">
      <c r="A103" s="3" t="str">
        <f t="shared" si="5"/>
        <v>Input Form - EingabeMaske</v>
      </c>
      <c r="B103" t="str">
        <f>pos('Input Form'!F66)</f>
        <v>$F$66</v>
      </c>
      <c r="C103" t="e">
        <f t="shared" ca="1" si="4"/>
        <v>#REF!</v>
      </c>
    </row>
    <row r="104" spans="1:3">
      <c r="A104" s="3" t="str">
        <f t="shared" si="5"/>
        <v>Input Form - EingabeMaske</v>
      </c>
      <c r="B104" t="str">
        <f>pos('Input Form'!F67)</f>
        <v>$F$67</v>
      </c>
      <c r="C104" t="e">
        <f t="shared" ca="1" si="4"/>
        <v>#REF!</v>
      </c>
    </row>
    <row r="105" spans="1:3">
      <c r="A105" s="3" t="str">
        <f t="shared" si="5"/>
        <v>Input Form - EingabeMaske</v>
      </c>
      <c r="B105" t="str">
        <f>pos('Input Form'!G65)</f>
        <v>$G$65</v>
      </c>
      <c r="C105" t="e">
        <f t="shared" ca="1" si="4"/>
        <v>#REF!</v>
      </c>
    </row>
    <row r="106" spans="1:3">
      <c r="A106" s="3" t="str">
        <f t="shared" si="5"/>
        <v>Input Form - EingabeMaske</v>
      </c>
      <c r="B106" t="str">
        <f>pos('Input Form'!G66)</f>
        <v>$G$66</v>
      </c>
      <c r="C106" t="e">
        <f t="shared" ca="1" si="4"/>
        <v>#REF!</v>
      </c>
    </row>
    <row r="107" spans="1:3">
      <c r="A107" s="3" t="str">
        <f t="shared" si="5"/>
        <v>Input Form - EingabeMaske</v>
      </c>
      <c r="B107" t="str">
        <f>pos('Input Form'!G67)</f>
        <v>$G$67</v>
      </c>
      <c r="C107" t="e">
        <f t="shared" ca="1" si="4"/>
        <v>#REF!</v>
      </c>
    </row>
    <row r="108" spans="1:3">
      <c r="A108" s="3" t="str">
        <f t="shared" si="5"/>
        <v>Input Form - EingabeMaske</v>
      </c>
      <c r="B108" t="str">
        <f>pos('Input Form'!F73)</f>
        <v>$F$73</v>
      </c>
      <c r="C108" t="e">
        <f t="shared" ca="1" si="4"/>
        <v>#REF!</v>
      </c>
    </row>
    <row r="109" spans="1:3">
      <c r="A109" s="3" t="str">
        <f t="shared" si="5"/>
        <v>Input Form - EingabeMaske</v>
      </c>
      <c r="B109" t="str">
        <f>pos('Input Form'!F74)</f>
        <v>$F$74</v>
      </c>
      <c r="C109" t="e">
        <f t="shared" ca="1" si="4"/>
        <v>#REF!</v>
      </c>
    </row>
    <row r="110" spans="1:3">
      <c r="A110" s="3" t="str">
        <f t="shared" si="5"/>
        <v>Input Form - EingabeMaske</v>
      </c>
      <c r="B110" t="str">
        <f>pos('Input Form'!F75)</f>
        <v>$F$75</v>
      </c>
      <c r="C110" t="e">
        <f t="shared" ca="1" si="4"/>
        <v>#REF!</v>
      </c>
    </row>
    <row r="111" spans="1:3">
      <c r="A111" s="3" t="str">
        <f t="shared" si="5"/>
        <v>Input Form - EingabeMaske</v>
      </c>
      <c r="B111" t="str">
        <f>pos('Input Form'!G73)</f>
        <v>$G$73</v>
      </c>
      <c r="C111" t="e">
        <f t="shared" ca="1" si="4"/>
        <v>#REF!</v>
      </c>
    </row>
    <row r="112" spans="1:3">
      <c r="A112" s="3" t="str">
        <f t="shared" si="5"/>
        <v>Input Form - EingabeMaske</v>
      </c>
      <c r="B112" t="str">
        <f>pos('Input Form'!G74)</f>
        <v>$G$74</v>
      </c>
      <c r="C112" t="e">
        <f t="shared" ca="1" si="4"/>
        <v>#REF!</v>
      </c>
    </row>
    <row r="113" spans="1:3">
      <c r="A113" s="3" t="str">
        <f t="shared" si="5"/>
        <v>Input Form - EingabeMaske</v>
      </c>
      <c r="B113" t="str">
        <f>pos('Input Form'!G75)</f>
        <v>$G$75</v>
      </c>
      <c r="C113" t="e">
        <f t="shared" ca="1" si="4"/>
        <v>#REF!</v>
      </c>
    </row>
    <row r="114" spans="1:3">
      <c r="A114" s="3" t="str">
        <f t="shared" si="5"/>
        <v>Input Form - EingabeMaske</v>
      </c>
      <c r="B114" t="str">
        <f>pos('Input Form'!I14)</f>
        <v>$I$14</v>
      </c>
      <c r="C114" t="e">
        <f t="shared" ca="1" si="4"/>
        <v>#REF!</v>
      </c>
    </row>
    <row r="115" spans="1:3">
      <c r="A115" s="3" t="s">
        <v>716</v>
      </c>
      <c r="B115" t="str">
        <f>pos(Questions!D13)</f>
        <v>$D$13</v>
      </c>
      <c r="C115" t="e">
        <f t="shared" ca="1" si="4"/>
        <v>#REF!</v>
      </c>
    </row>
    <row r="116" spans="1:3">
      <c r="A116" s="3" t="str">
        <f>$A$115</f>
        <v>Questions - Fragen</v>
      </c>
      <c r="B116" t="str">
        <f>pos(Questions!D14)</f>
        <v>$D$14</v>
      </c>
      <c r="C116" t="e">
        <f t="shared" ca="1" si="4"/>
        <v>#REF!</v>
      </c>
    </row>
    <row r="117" spans="1:3">
      <c r="A117" s="3" t="str">
        <f t="shared" ref="A117:A161" si="6">$A$115</f>
        <v>Questions - Fragen</v>
      </c>
      <c r="B117" t="str">
        <f>pos(Questions!D15)</f>
        <v>$D$15</v>
      </c>
      <c r="C117" t="e">
        <f t="shared" ca="1" si="4"/>
        <v>#REF!</v>
      </c>
    </row>
    <row r="118" spans="1:3">
      <c r="A118" s="3" t="str">
        <f t="shared" si="6"/>
        <v>Questions - Fragen</v>
      </c>
      <c r="B118" t="str">
        <f>pos(Questions!D16)</f>
        <v>$D$16</v>
      </c>
      <c r="C118" t="e">
        <f t="shared" ca="1" si="4"/>
        <v>#REF!</v>
      </c>
    </row>
    <row r="119" spans="1:3">
      <c r="A119" s="3" t="str">
        <f t="shared" si="6"/>
        <v>Questions - Fragen</v>
      </c>
      <c r="B119" t="str">
        <f>pos(Questions!D17)</f>
        <v>$D$17</v>
      </c>
      <c r="C119" t="e">
        <f t="shared" ca="1" si="4"/>
        <v>#REF!</v>
      </c>
    </row>
    <row r="120" spans="1:3">
      <c r="A120" s="3" t="str">
        <f t="shared" si="6"/>
        <v>Questions - Fragen</v>
      </c>
      <c r="B120" t="str">
        <f>pos(Questions!D18)</f>
        <v>$D$18</v>
      </c>
      <c r="C120" t="e">
        <f t="shared" ca="1" si="4"/>
        <v>#REF!</v>
      </c>
    </row>
    <row r="121" spans="1:3">
      <c r="A121" s="3" t="str">
        <f t="shared" si="6"/>
        <v>Questions - Fragen</v>
      </c>
      <c r="B121" t="str">
        <f>pos(Questions!D19)</f>
        <v>$D$19</v>
      </c>
      <c r="C121" t="e">
        <f t="shared" ca="1" si="4"/>
        <v>#REF!</v>
      </c>
    </row>
    <row r="122" spans="1:3">
      <c r="A122" s="3" t="str">
        <f t="shared" si="6"/>
        <v>Questions - Fragen</v>
      </c>
      <c r="B122" t="str">
        <f>pos(Questions!D23)</f>
        <v>$D$23</v>
      </c>
      <c r="C122" t="e">
        <f t="shared" ca="1" si="4"/>
        <v>#REF!</v>
      </c>
    </row>
    <row r="123" spans="1:3">
      <c r="A123" s="3" t="str">
        <f t="shared" si="6"/>
        <v>Questions - Fragen</v>
      </c>
      <c r="B123" t="str">
        <f>pos(Questions!D24)</f>
        <v>$D$24</v>
      </c>
      <c r="C123" t="e">
        <f t="shared" ca="1" si="4"/>
        <v>#REF!</v>
      </c>
    </row>
    <row r="124" spans="1:3">
      <c r="A124" s="3" t="str">
        <f t="shared" si="6"/>
        <v>Questions - Fragen</v>
      </c>
      <c r="B124" t="str">
        <f>pos(Questions!D26)</f>
        <v>$D$26</v>
      </c>
      <c r="C124" t="e">
        <f t="shared" ca="1" si="4"/>
        <v>#REF!</v>
      </c>
    </row>
    <row r="125" spans="1:3">
      <c r="A125" s="3" t="str">
        <f t="shared" si="6"/>
        <v>Questions - Fragen</v>
      </c>
      <c r="B125" t="str">
        <f>pos(Questions!D27)</f>
        <v>$D$27</v>
      </c>
      <c r="C125" t="e">
        <f t="shared" ca="1" si="4"/>
        <v>#REF!</v>
      </c>
    </row>
    <row r="126" spans="1:3">
      <c r="A126" s="3" t="str">
        <f t="shared" si="6"/>
        <v>Questions - Fragen</v>
      </c>
      <c r="B126" t="str">
        <f>pos(Questions!D29)</f>
        <v>$D$29</v>
      </c>
      <c r="C126" t="e">
        <f t="shared" ca="1" si="4"/>
        <v>#REF!</v>
      </c>
    </row>
    <row r="127" spans="1:3">
      <c r="A127" s="3" t="str">
        <f t="shared" si="6"/>
        <v>Questions - Fragen</v>
      </c>
      <c r="B127" t="str">
        <f>pos(Questions!D30)</f>
        <v>$D$30</v>
      </c>
      <c r="C127" t="e">
        <f t="shared" ca="1" si="4"/>
        <v>#REF!</v>
      </c>
    </row>
    <row r="128" spans="1:3">
      <c r="A128" s="3" t="str">
        <f t="shared" si="6"/>
        <v>Questions - Fragen</v>
      </c>
      <c r="B128" t="str">
        <f>pos(Questions!D32)</f>
        <v>$D$32</v>
      </c>
      <c r="C128" t="e">
        <f t="shared" ca="1" si="4"/>
        <v>#REF!</v>
      </c>
    </row>
    <row r="129" spans="1:3">
      <c r="A129" s="3" t="str">
        <f t="shared" si="6"/>
        <v>Questions - Fragen</v>
      </c>
      <c r="B129" t="str">
        <f>pos(Questions!D33)</f>
        <v>$D$33</v>
      </c>
      <c r="C129" t="e">
        <f t="shared" ca="1" si="4"/>
        <v>#REF!</v>
      </c>
    </row>
    <row r="130" spans="1:3">
      <c r="A130" s="3" t="str">
        <f t="shared" si="6"/>
        <v>Questions - Fragen</v>
      </c>
      <c r="B130" t="str">
        <f>pos(Questions!D35)</f>
        <v>$D$35</v>
      </c>
      <c r="C130" t="e">
        <f t="shared" ca="1" si="4"/>
        <v>#REF!</v>
      </c>
    </row>
    <row r="131" spans="1:3">
      <c r="A131" s="3" t="str">
        <f t="shared" si="6"/>
        <v>Questions - Fragen</v>
      </c>
      <c r="B131" t="str">
        <f>pos(Questions!D36)</f>
        <v>$D$36</v>
      </c>
      <c r="C131" t="e">
        <f t="shared" ca="1" si="4"/>
        <v>#REF!</v>
      </c>
    </row>
    <row r="132" spans="1:3">
      <c r="A132" s="3" t="str">
        <f t="shared" si="6"/>
        <v>Questions - Fragen</v>
      </c>
      <c r="B132" t="str">
        <f>pos(Questions!D40)</f>
        <v>$D$40</v>
      </c>
      <c r="C132" t="e">
        <f t="shared" ca="1" si="4"/>
        <v>#REF!</v>
      </c>
    </row>
    <row r="133" spans="1:3">
      <c r="A133" s="3" t="str">
        <f t="shared" si="6"/>
        <v>Questions - Fragen</v>
      </c>
      <c r="B133" t="str">
        <f>pos(Questions!D41)</f>
        <v>$D$41</v>
      </c>
      <c r="C133" t="e">
        <f t="shared" ca="1" si="4"/>
        <v>#REF!</v>
      </c>
    </row>
    <row r="134" spans="1:3">
      <c r="A134" s="3" t="str">
        <f t="shared" si="6"/>
        <v>Questions - Fragen</v>
      </c>
      <c r="B134" t="str">
        <f>pos(Questions!D43)</f>
        <v>$D$43</v>
      </c>
      <c r="C134" t="e">
        <f t="shared" ca="1" si="4"/>
        <v>#REF!</v>
      </c>
    </row>
    <row r="135" spans="1:3">
      <c r="A135" s="3" t="str">
        <f t="shared" si="6"/>
        <v>Questions - Fragen</v>
      </c>
      <c r="B135" t="str">
        <f>pos(Questions!D44)</f>
        <v>$D$44</v>
      </c>
      <c r="C135" t="e">
        <f t="shared" ca="1" si="4"/>
        <v>#REF!</v>
      </c>
    </row>
    <row r="136" spans="1:3">
      <c r="A136" s="3" t="str">
        <f t="shared" si="6"/>
        <v>Questions - Fragen</v>
      </c>
      <c r="B136" t="str">
        <f>pos(Questions!D46)</f>
        <v>$D$46</v>
      </c>
      <c r="C136" t="e">
        <f t="shared" ca="1" si="4"/>
        <v>#REF!</v>
      </c>
    </row>
    <row r="137" spans="1:3">
      <c r="A137" s="3" t="str">
        <f t="shared" si="6"/>
        <v>Questions - Fragen</v>
      </c>
      <c r="B137" t="str">
        <f>pos(Questions!D47)</f>
        <v>$D$47</v>
      </c>
      <c r="C137" t="e">
        <f t="shared" ca="1" si="4"/>
        <v>#REF!</v>
      </c>
    </row>
    <row r="138" spans="1:3">
      <c r="A138" s="3" t="str">
        <f t="shared" si="6"/>
        <v>Questions - Fragen</v>
      </c>
      <c r="B138" t="str">
        <f>pos(Questions!D49)</f>
        <v>$D$49</v>
      </c>
      <c r="C138" t="e">
        <f t="shared" ca="1" si="4"/>
        <v>#REF!</v>
      </c>
    </row>
    <row r="139" spans="1:3">
      <c r="A139" s="3" t="str">
        <f t="shared" si="6"/>
        <v>Questions - Fragen</v>
      </c>
      <c r="B139" t="str">
        <f>pos(Questions!D50)</f>
        <v>$D$50</v>
      </c>
      <c r="C139" t="e">
        <f t="shared" ca="1" si="4"/>
        <v>#REF!</v>
      </c>
    </row>
    <row r="140" spans="1:3">
      <c r="A140" s="3" t="str">
        <f t="shared" si="6"/>
        <v>Questions - Fragen</v>
      </c>
      <c r="B140" t="str">
        <f>pos(Questions!D52)</f>
        <v>$D$52</v>
      </c>
      <c r="C140" t="e">
        <f t="shared" ca="1" si="4"/>
        <v>#REF!</v>
      </c>
    </row>
    <row r="141" spans="1:3">
      <c r="A141" s="3" t="str">
        <f t="shared" si="6"/>
        <v>Questions - Fragen</v>
      </c>
      <c r="B141" t="str">
        <f>pos(Questions!D53)</f>
        <v>$D$53</v>
      </c>
      <c r="C141" t="e">
        <f t="shared" ca="1" si="4"/>
        <v>#REF!</v>
      </c>
    </row>
    <row r="142" spans="1:3">
      <c r="A142" s="3" t="str">
        <f t="shared" si="6"/>
        <v>Questions - Fragen</v>
      </c>
      <c r="B142" t="str">
        <f>pos(Questions!D55)</f>
        <v>$D$55</v>
      </c>
      <c r="C142" t="e">
        <f t="shared" ca="1" si="4"/>
        <v>#REF!</v>
      </c>
    </row>
    <row r="143" spans="1:3">
      <c r="A143" s="3" t="str">
        <f t="shared" si="6"/>
        <v>Questions - Fragen</v>
      </c>
      <c r="B143" t="str">
        <f>pos(Questions!D57)</f>
        <v>$D$57</v>
      </c>
      <c r="C143" t="e">
        <f t="shared" ca="1" si="4"/>
        <v>#REF!</v>
      </c>
    </row>
    <row r="144" spans="1:3">
      <c r="A144" s="3" t="str">
        <f t="shared" si="6"/>
        <v>Questions - Fragen</v>
      </c>
      <c r="B144" t="str">
        <f>pos(Questions!D59)</f>
        <v>$D$59</v>
      </c>
      <c r="C144" t="e">
        <f t="shared" ca="1" si="4"/>
        <v>#REF!</v>
      </c>
    </row>
    <row r="145" spans="1:3">
      <c r="A145" s="3" t="str">
        <f t="shared" si="6"/>
        <v>Questions - Fragen</v>
      </c>
      <c r="B145" t="str">
        <f>pos(Questions!D60)</f>
        <v>$D$60</v>
      </c>
      <c r="C145" t="e">
        <f t="shared" ca="1" si="4"/>
        <v>#REF!</v>
      </c>
    </row>
    <row r="146" spans="1:3">
      <c r="A146" s="3" t="str">
        <f t="shared" si="6"/>
        <v>Questions - Fragen</v>
      </c>
      <c r="B146" t="str">
        <f>pos(Questions!D62)</f>
        <v>$D$62</v>
      </c>
      <c r="C146" t="e">
        <f t="shared" ca="1" si="4"/>
        <v>#REF!</v>
      </c>
    </row>
    <row r="147" spans="1:3">
      <c r="A147" s="3" t="str">
        <f t="shared" si="6"/>
        <v>Questions - Fragen</v>
      </c>
      <c r="B147" t="str">
        <f>pos(Questions!D63)</f>
        <v>$D$63</v>
      </c>
      <c r="C147" t="e">
        <f t="shared" ca="1" si="4"/>
        <v>#REF!</v>
      </c>
    </row>
    <row r="148" spans="1:3">
      <c r="A148" s="3" t="str">
        <f t="shared" si="6"/>
        <v>Questions - Fragen</v>
      </c>
      <c r="B148" t="str">
        <f>pos(Questions!D64)</f>
        <v>$D$64</v>
      </c>
      <c r="C148" t="e">
        <f t="shared" ca="1" si="4"/>
        <v>#REF!</v>
      </c>
    </row>
    <row r="149" spans="1:3">
      <c r="A149" s="3" t="str">
        <f t="shared" si="6"/>
        <v>Questions - Fragen</v>
      </c>
      <c r="B149" t="str">
        <f>pos(Questions!D65)</f>
        <v>$D$65</v>
      </c>
      <c r="C149" t="e">
        <f t="shared" ca="1" si="4"/>
        <v>#REF!</v>
      </c>
    </row>
    <row r="150" spans="1:3">
      <c r="A150" s="3" t="str">
        <f t="shared" si="6"/>
        <v>Questions - Fragen</v>
      </c>
      <c r="B150" t="str">
        <f>pos(Questions!D66)</f>
        <v>$D$66</v>
      </c>
      <c r="C150" t="e">
        <f t="shared" ca="1" si="4"/>
        <v>#REF!</v>
      </c>
    </row>
    <row r="151" spans="1:3">
      <c r="A151" s="3" t="str">
        <f t="shared" si="6"/>
        <v>Questions - Fragen</v>
      </c>
      <c r="B151" t="str">
        <f>pos(Questions!D67)</f>
        <v>$D$67</v>
      </c>
      <c r="C151" t="e">
        <f t="shared" ca="1" si="4"/>
        <v>#REF!</v>
      </c>
    </row>
    <row r="152" spans="1:3">
      <c r="A152" s="3" t="str">
        <f t="shared" si="6"/>
        <v>Questions - Fragen</v>
      </c>
      <c r="B152" t="str">
        <f>pos(Questions!D68)</f>
        <v>$D$68</v>
      </c>
      <c r="C152" t="e">
        <f t="shared" ca="1" si="4"/>
        <v>#REF!</v>
      </c>
    </row>
    <row r="153" spans="1:3">
      <c r="A153" s="3" t="str">
        <f t="shared" si="6"/>
        <v>Questions - Fragen</v>
      </c>
      <c r="B153" t="str">
        <f>pos(Questions!D72)</f>
        <v>$D$72</v>
      </c>
      <c r="C153" t="e">
        <f t="shared" ca="1" si="4"/>
        <v>#REF!</v>
      </c>
    </row>
    <row r="154" spans="1:3">
      <c r="A154" s="3" t="str">
        <f t="shared" si="6"/>
        <v>Questions - Fragen</v>
      </c>
      <c r="B154" t="str">
        <f>pos(Questions!D73)</f>
        <v>$D$73</v>
      </c>
      <c r="C154" t="e">
        <f t="shared" ca="1" si="4"/>
        <v>#REF!</v>
      </c>
    </row>
    <row r="155" spans="1:3">
      <c r="A155" s="3" t="str">
        <f t="shared" si="6"/>
        <v>Questions - Fragen</v>
      </c>
      <c r="B155" t="str">
        <f>pos(Questions!D74)</f>
        <v>$D$74</v>
      </c>
      <c r="C155" t="e">
        <f t="shared" ca="1" si="4"/>
        <v>#REF!</v>
      </c>
    </row>
    <row r="156" spans="1:3">
      <c r="A156" s="3" t="str">
        <f t="shared" si="6"/>
        <v>Questions - Fragen</v>
      </c>
      <c r="B156" t="str">
        <f>pos(Questions!D83)</f>
        <v>$D$83</v>
      </c>
      <c r="C156" t="e">
        <f t="shared" ref="C156:C173" ca="1" si="7">IF(INDIRECT("'"&amp;A156&amp;"'!"&amp;B156)=0,"",INDIRECT("'"&amp;A156&amp;"'!"&amp;B156))</f>
        <v>#REF!</v>
      </c>
    </row>
    <row r="157" spans="1:3">
      <c r="A157" s="3" t="str">
        <f t="shared" si="6"/>
        <v>Questions - Fragen</v>
      </c>
      <c r="B157" t="str">
        <f>pos(Questions!D84)</f>
        <v>$D$84</v>
      </c>
      <c r="C157" t="e">
        <f t="shared" ca="1" si="7"/>
        <v>#REF!</v>
      </c>
    </row>
    <row r="158" spans="1:3">
      <c r="A158" s="3" t="str">
        <f t="shared" si="6"/>
        <v>Questions - Fragen</v>
      </c>
      <c r="B158" t="str">
        <f>pos(Questions!D85)</f>
        <v>$D$85</v>
      </c>
      <c r="C158" t="e">
        <f t="shared" ca="1" si="7"/>
        <v>#REF!</v>
      </c>
    </row>
    <row r="159" spans="1:3">
      <c r="A159" s="3" t="str">
        <f t="shared" si="6"/>
        <v>Questions - Fragen</v>
      </c>
      <c r="B159" t="str">
        <f>pos(Questions!D94)</f>
        <v>$D$94</v>
      </c>
      <c r="C159" t="e">
        <f t="shared" ca="1" si="7"/>
        <v>#REF!</v>
      </c>
    </row>
    <row r="160" spans="1:3">
      <c r="A160" s="3" t="str">
        <f t="shared" si="6"/>
        <v>Questions - Fragen</v>
      </c>
      <c r="B160" t="str">
        <f>pos(Questions!D95)</f>
        <v>$D$95</v>
      </c>
      <c r="C160" t="e">
        <f t="shared" ca="1" si="7"/>
        <v>#REF!</v>
      </c>
    </row>
    <row r="161" spans="1:3">
      <c r="A161" s="3" t="str">
        <f t="shared" si="6"/>
        <v>Questions - Fragen</v>
      </c>
      <c r="B161" t="str">
        <f>pos(Questions!D98)</f>
        <v>$D$98</v>
      </c>
      <c r="C161" t="e">
        <f t="shared" ca="1" si="7"/>
        <v>#REF!</v>
      </c>
    </row>
    <row r="162" spans="1:3">
      <c r="A162" s="3" t="str">
        <f t="shared" ref="A162:A182" si="8">$A$115</f>
        <v>Questions - Fragen</v>
      </c>
      <c r="B162" t="str">
        <f>pos(Questions!D105)</f>
        <v>$D$105</v>
      </c>
      <c r="C162" t="e">
        <f t="shared" ca="1" si="7"/>
        <v>#REF!</v>
      </c>
    </row>
    <row r="163" spans="1:3">
      <c r="A163" s="3" t="str">
        <f t="shared" si="8"/>
        <v>Questions - Fragen</v>
      </c>
      <c r="B163" t="str">
        <f>pos(Questions!D106)</f>
        <v>$D$106</v>
      </c>
      <c r="C163" t="e">
        <f t="shared" ca="1" si="7"/>
        <v>#REF!</v>
      </c>
    </row>
    <row r="164" spans="1:3">
      <c r="A164" s="3" t="str">
        <f t="shared" si="8"/>
        <v>Questions - Fragen</v>
      </c>
      <c r="B164" t="str">
        <f>pos(Questions!D107)</f>
        <v>$D$107</v>
      </c>
      <c r="C164" t="e">
        <f t="shared" ca="1" si="7"/>
        <v>#REF!</v>
      </c>
    </row>
    <row r="165" spans="1:3">
      <c r="A165" s="3" t="str">
        <f t="shared" si="8"/>
        <v>Questions - Fragen</v>
      </c>
      <c r="B165" t="str">
        <f>pos(Questions!D116)</f>
        <v>$D$116</v>
      </c>
      <c r="C165" t="e">
        <f t="shared" ca="1" si="7"/>
        <v>#REF!</v>
      </c>
    </row>
    <row r="166" spans="1:3">
      <c r="A166" s="3" t="str">
        <f t="shared" si="8"/>
        <v>Questions - Fragen</v>
      </c>
      <c r="B166" t="str">
        <f>pos(Questions!D117)</f>
        <v>$D$117</v>
      </c>
      <c r="C166" t="e">
        <f t="shared" ca="1" si="7"/>
        <v>#REF!</v>
      </c>
    </row>
    <row r="167" spans="1:3">
      <c r="A167" s="3" t="str">
        <f t="shared" si="8"/>
        <v>Questions - Fragen</v>
      </c>
      <c r="B167" t="str">
        <f>pos(Questions!D118)</f>
        <v>$D$118</v>
      </c>
      <c r="C167" t="e">
        <f t="shared" ca="1" si="7"/>
        <v>#REF!</v>
      </c>
    </row>
    <row r="168" spans="1:3">
      <c r="A168" s="3" t="str">
        <f t="shared" si="8"/>
        <v>Questions - Fragen</v>
      </c>
      <c r="B168" t="str">
        <f>pos(Questions!D128)</f>
        <v>$D$128</v>
      </c>
      <c r="C168" t="e">
        <f t="shared" ca="1" si="7"/>
        <v>#REF!</v>
      </c>
    </row>
    <row r="169" spans="1:3">
      <c r="A169" s="3" t="str">
        <f t="shared" si="8"/>
        <v>Questions - Fragen</v>
      </c>
      <c r="B169" t="str">
        <f>pos(Questions!D129)</f>
        <v>$D$129</v>
      </c>
      <c r="C169" t="e">
        <f t="shared" ca="1" si="7"/>
        <v>#REF!</v>
      </c>
    </row>
    <row r="170" spans="1:3">
      <c r="A170" s="3" t="str">
        <f t="shared" si="8"/>
        <v>Questions - Fragen</v>
      </c>
      <c r="B170" t="str">
        <f>pos(Questions!D130)</f>
        <v>$D$130</v>
      </c>
      <c r="C170" t="e">
        <f t="shared" ca="1" si="7"/>
        <v>#REF!</v>
      </c>
    </row>
    <row r="171" spans="1:3">
      <c r="A171" s="3" t="str">
        <f t="shared" si="8"/>
        <v>Questions - Fragen</v>
      </c>
      <c r="B171" t="str">
        <f>pos(Questions!D139)</f>
        <v>$D$139</v>
      </c>
      <c r="C171" t="e">
        <f t="shared" ca="1" si="7"/>
        <v>#REF!</v>
      </c>
    </row>
    <row r="172" spans="1:3">
      <c r="A172" s="3" t="str">
        <f t="shared" si="8"/>
        <v>Questions - Fragen</v>
      </c>
      <c r="B172" t="str">
        <f>pos(Questions!D140)</f>
        <v>$D$140</v>
      </c>
      <c r="C172" t="e">
        <f t="shared" ca="1" si="7"/>
        <v>#REF!</v>
      </c>
    </row>
    <row r="173" spans="1:3">
      <c r="A173" s="3" t="str">
        <f t="shared" si="8"/>
        <v>Questions - Fragen</v>
      </c>
      <c r="B173" t="str">
        <f>pos(Questions!D141)</f>
        <v>$D$141</v>
      </c>
      <c r="C173" t="e">
        <f t="shared" ca="1" si="7"/>
        <v>#REF!</v>
      </c>
    </row>
    <row r="174" spans="1:3">
      <c r="A174" s="3" t="str">
        <f t="shared" si="8"/>
        <v>Questions - Fragen</v>
      </c>
      <c r="B174" t="str">
        <f>pos(Questions!D150)</f>
        <v>$D$150</v>
      </c>
      <c r="C174" t="e">
        <f t="shared" ref="C174:C192" ca="1" si="9">IF(INDIRECT("'"&amp;A174&amp;"'!"&amp;B174)=0,"",INDIRECT("'"&amp;A174&amp;"'!"&amp;B174))</f>
        <v>#REF!</v>
      </c>
    </row>
    <row r="175" spans="1:3">
      <c r="A175" s="3" t="str">
        <f t="shared" si="8"/>
        <v>Questions - Fragen</v>
      </c>
      <c r="B175" t="str">
        <f>pos(Questions!D151)</f>
        <v>$D$151</v>
      </c>
      <c r="C175" t="e">
        <f t="shared" ca="1" si="9"/>
        <v>#REF!</v>
      </c>
    </row>
    <row r="176" spans="1:3">
      <c r="A176" s="3" t="str">
        <f t="shared" si="8"/>
        <v>Questions - Fragen</v>
      </c>
      <c r="B176" t="str">
        <f>pos(Questions!D152)</f>
        <v>$D$152</v>
      </c>
      <c r="C176" t="e">
        <f t="shared" ca="1" si="9"/>
        <v>#REF!</v>
      </c>
    </row>
    <row r="177" spans="1:3">
      <c r="A177" s="3" t="str">
        <f t="shared" si="8"/>
        <v>Questions - Fragen</v>
      </c>
      <c r="B177" t="str">
        <f>pos(Questions!D161)</f>
        <v>$D$161</v>
      </c>
      <c r="C177" t="e">
        <f t="shared" ca="1" si="9"/>
        <v>#REF!</v>
      </c>
    </row>
    <row r="178" spans="1:3">
      <c r="A178" s="3" t="str">
        <f t="shared" si="8"/>
        <v>Questions - Fragen</v>
      </c>
      <c r="B178" t="str">
        <f>pos(Questions!D162)</f>
        <v>$D$162</v>
      </c>
      <c r="C178" t="e">
        <f t="shared" ca="1" si="9"/>
        <v>#REF!</v>
      </c>
    </row>
    <row r="179" spans="1:3">
      <c r="A179" s="3" t="str">
        <f t="shared" si="8"/>
        <v>Questions - Fragen</v>
      </c>
      <c r="B179" t="str">
        <f>pos(Questions!D163)</f>
        <v>$D$163</v>
      </c>
      <c r="C179" t="e">
        <f t="shared" ca="1" si="9"/>
        <v>#REF!</v>
      </c>
    </row>
    <row r="180" spans="1:3">
      <c r="A180" s="3" t="str">
        <f t="shared" si="8"/>
        <v>Questions - Fragen</v>
      </c>
      <c r="B180" t="str">
        <f>pos(Questions!D172)</f>
        <v>$D$172</v>
      </c>
      <c r="C180" t="e">
        <f t="shared" ca="1" si="9"/>
        <v>#REF!</v>
      </c>
    </row>
    <row r="181" spans="1:3">
      <c r="A181" s="3" t="str">
        <f t="shared" si="8"/>
        <v>Questions - Fragen</v>
      </c>
      <c r="B181" t="str">
        <f>pos(Questions!D173)</f>
        <v>$D$173</v>
      </c>
      <c r="C181" t="e">
        <f t="shared" ca="1" si="9"/>
        <v>#REF!</v>
      </c>
    </row>
    <row r="182" spans="1:3">
      <c r="A182" s="3" t="str">
        <f t="shared" si="8"/>
        <v>Questions - Fragen</v>
      </c>
      <c r="B182" t="str">
        <f>pos(Questions!D174)</f>
        <v>$D$174</v>
      </c>
      <c r="C182" t="e">
        <f t="shared" ca="1" si="9"/>
        <v>#REF!</v>
      </c>
    </row>
    <row r="183" spans="1:3">
      <c r="A183" s="3" t="str">
        <f t="shared" ref="A183:A200" si="10">$A$115</f>
        <v>Questions - Fragen</v>
      </c>
      <c r="B183" t="str">
        <f>pos(Questions!D182)</f>
        <v>$D$182</v>
      </c>
      <c r="C183" t="e">
        <f t="shared" ca="1" si="9"/>
        <v>#REF!</v>
      </c>
    </row>
    <row r="184" spans="1:3">
      <c r="A184" s="3" t="str">
        <f t="shared" si="10"/>
        <v>Questions - Fragen</v>
      </c>
      <c r="B184" t="str">
        <f>pos(Questions!D183)</f>
        <v>$D$183</v>
      </c>
      <c r="C184" t="e">
        <f t="shared" ca="1" si="9"/>
        <v>#REF!</v>
      </c>
    </row>
    <row r="185" spans="1:3">
      <c r="A185" s="3" t="str">
        <f t="shared" si="10"/>
        <v>Questions - Fragen</v>
      </c>
      <c r="B185" t="str">
        <f>pos(Questions!D184)</f>
        <v>$D$184</v>
      </c>
      <c r="C185" t="e">
        <f t="shared" ca="1" si="9"/>
        <v>#REF!</v>
      </c>
    </row>
    <row r="186" spans="1:3">
      <c r="A186" s="3" t="str">
        <f t="shared" si="10"/>
        <v>Questions - Fragen</v>
      </c>
      <c r="B186" t="str">
        <f>pos(Questions!D193)</f>
        <v>$D$193</v>
      </c>
      <c r="C186" t="e">
        <f t="shared" ca="1" si="9"/>
        <v>#REF!</v>
      </c>
    </row>
    <row r="187" spans="1:3">
      <c r="A187" s="3" t="str">
        <f t="shared" si="10"/>
        <v>Questions - Fragen</v>
      </c>
      <c r="B187" t="str">
        <f>pos(Questions!D194)</f>
        <v>$D$194</v>
      </c>
      <c r="C187" t="e">
        <f t="shared" ca="1" si="9"/>
        <v>#REF!</v>
      </c>
    </row>
    <row r="188" spans="1:3">
      <c r="A188" s="3" t="str">
        <f t="shared" si="10"/>
        <v>Questions - Fragen</v>
      </c>
      <c r="B188" t="str">
        <f>pos(Questions!D195)</f>
        <v>$D$195</v>
      </c>
      <c r="C188" t="e">
        <f t="shared" ca="1" si="9"/>
        <v>#REF!</v>
      </c>
    </row>
    <row r="189" spans="1:3">
      <c r="A189" s="3" t="str">
        <f t="shared" si="10"/>
        <v>Questions - Fragen</v>
      </c>
      <c r="B189" t="str">
        <f>pos(Questions!D204)</f>
        <v>$D$204</v>
      </c>
      <c r="C189" t="e">
        <f t="shared" ca="1" si="9"/>
        <v>#REF!</v>
      </c>
    </row>
    <row r="190" spans="1:3">
      <c r="A190" s="3" t="str">
        <f t="shared" si="10"/>
        <v>Questions - Fragen</v>
      </c>
      <c r="B190" t="str">
        <f>pos(Questions!D205)</f>
        <v>$D$205</v>
      </c>
      <c r="C190" t="e">
        <f t="shared" ca="1" si="9"/>
        <v>#REF!</v>
      </c>
    </row>
    <row r="191" spans="1:3">
      <c r="A191" s="3" t="str">
        <f t="shared" si="10"/>
        <v>Questions - Fragen</v>
      </c>
      <c r="B191" t="str">
        <f>pos(Questions!D206)</f>
        <v>$D$206</v>
      </c>
      <c r="C191" t="e">
        <f t="shared" ca="1" si="9"/>
        <v>#REF!</v>
      </c>
    </row>
    <row r="192" spans="1:3">
      <c r="A192" s="3" t="str">
        <f t="shared" si="10"/>
        <v>Questions - Fragen</v>
      </c>
      <c r="B192" t="str">
        <f>pos(Questions!D216)</f>
        <v>$D$216</v>
      </c>
      <c r="C192" t="e">
        <f t="shared" ca="1" si="9"/>
        <v>#REF!</v>
      </c>
    </row>
    <row r="193" spans="1:3">
      <c r="A193" s="3" t="str">
        <f t="shared" si="10"/>
        <v>Questions - Fragen</v>
      </c>
      <c r="B193" t="str">
        <f>pos(Questions!D217)</f>
        <v>$D$217</v>
      </c>
      <c r="C193" t="e">
        <f t="shared" ref="C193:C212" ca="1" si="11">IF(INDIRECT("'"&amp;A193&amp;"'!"&amp;B193)=0,"",INDIRECT("'"&amp;A193&amp;"'!"&amp;B193))</f>
        <v>#REF!</v>
      </c>
    </row>
    <row r="194" spans="1:3">
      <c r="A194" s="3" t="str">
        <f t="shared" si="10"/>
        <v>Questions - Fragen</v>
      </c>
      <c r="B194" t="str">
        <f>pos(Questions!D218)</f>
        <v>$D$218</v>
      </c>
      <c r="C194" t="e">
        <f t="shared" ca="1" si="11"/>
        <v>#REF!</v>
      </c>
    </row>
    <row r="195" spans="1:3">
      <c r="A195" s="3" t="str">
        <f t="shared" si="10"/>
        <v>Questions - Fragen</v>
      </c>
      <c r="B195" t="str">
        <f>pos(Questions!D227)</f>
        <v>$D$227</v>
      </c>
      <c r="C195" t="e">
        <f t="shared" ca="1" si="11"/>
        <v>#REF!</v>
      </c>
    </row>
    <row r="196" spans="1:3">
      <c r="A196" s="3" t="str">
        <f t="shared" si="10"/>
        <v>Questions - Fragen</v>
      </c>
      <c r="B196" t="str">
        <f>pos(Questions!D228)</f>
        <v>$D$228</v>
      </c>
      <c r="C196" t="e">
        <f t="shared" ca="1" si="11"/>
        <v>#REF!</v>
      </c>
    </row>
    <row r="197" spans="1:3">
      <c r="A197" s="3" t="str">
        <f t="shared" si="10"/>
        <v>Questions - Fragen</v>
      </c>
      <c r="B197" t="str">
        <f>pos(Questions!D229)</f>
        <v>$D$229</v>
      </c>
      <c r="C197" t="e">
        <f t="shared" ca="1" si="11"/>
        <v>#REF!</v>
      </c>
    </row>
    <row r="198" spans="1:3">
      <c r="A198" s="3" t="str">
        <f t="shared" si="10"/>
        <v>Questions - Fragen</v>
      </c>
      <c r="B198" t="str">
        <f>pos(Questions!D238)</f>
        <v>$D$238</v>
      </c>
      <c r="C198" t="e">
        <f t="shared" ca="1" si="11"/>
        <v>#REF!</v>
      </c>
    </row>
    <row r="199" spans="1:3">
      <c r="A199" s="3" t="str">
        <f t="shared" si="10"/>
        <v>Questions - Fragen</v>
      </c>
      <c r="B199" t="str">
        <f>pos(Questions!D239)</f>
        <v>$D$239</v>
      </c>
      <c r="C199" t="e">
        <f t="shared" ca="1" si="11"/>
        <v>#REF!</v>
      </c>
    </row>
    <row r="200" spans="1:3">
      <c r="A200" s="3" t="str">
        <f t="shared" si="10"/>
        <v>Questions - Fragen</v>
      </c>
      <c r="B200" t="str">
        <f>pos(Questions!D240)</f>
        <v>$D$240</v>
      </c>
      <c r="C200" t="e">
        <f t="shared" ca="1" si="11"/>
        <v>#REF!</v>
      </c>
    </row>
    <row r="201" spans="1:3">
      <c r="A201" s="3" t="str">
        <f t="shared" ref="A201:A219" si="12">$A$115</f>
        <v>Questions - Fragen</v>
      </c>
      <c r="B201" t="str">
        <f>pos(Questions!D249)</f>
        <v>$D$249</v>
      </c>
      <c r="C201" t="e">
        <f t="shared" ca="1" si="11"/>
        <v>#REF!</v>
      </c>
    </row>
    <row r="202" spans="1:3">
      <c r="A202" s="3" t="str">
        <f t="shared" si="12"/>
        <v>Questions - Fragen</v>
      </c>
      <c r="B202" t="str">
        <f>pos(Questions!D250)</f>
        <v>$D$250</v>
      </c>
      <c r="C202" t="e">
        <f t="shared" ca="1" si="11"/>
        <v>#REF!</v>
      </c>
    </row>
    <row r="203" spans="1:3">
      <c r="A203" s="3" t="str">
        <f t="shared" si="12"/>
        <v>Questions - Fragen</v>
      </c>
      <c r="B203" t="str">
        <f>pos(Questions!D251)</f>
        <v>$D$251</v>
      </c>
      <c r="C203" t="e">
        <f t="shared" ca="1" si="11"/>
        <v>#REF!</v>
      </c>
    </row>
    <row r="204" spans="1:3">
      <c r="A204" s="3" t="str">
        <f t="shared" si="12"/>
        <v>Questions - Fragen</v>
      </c>
      <c r="B204" t="str">
        <f>pos(Questions!D260)</f>
        <v>$D$260</v>
      </c>
      <c r="C204" t="e">
        <f t="shared" ca="1" si="11"/>
        <v>#REF!</v>
      </c>
    </row>
    <row r="205" spans="1:3">
      <c r="A205" s="3" t="str">
        <f t="shared" si="12"/>
        <v>Questions - Fragen</v>
      </c>
      <c r="B205" t="str">
        <f>pos(Questions!D261)</f>
        <v>$D$261</v>
      </c>
      <c r="C205" t="e">
        <f t="shared" ca="1" si="11"/>
        <v>#REF!</v>
      </c>
    </row>
    <row r="206" spans="1:3">
      <c r="A206" s="3" t="str">
        <f t="shared" si="12"/>
        <v>Questions - Fragen</v>
      </c>
      <c r="B206" t="str">
        <f>pos(Questions!D262)</f>
        <v>$D$262</v>
      </c>
      <c r="C206" t="e">
        <f t="shared" ca="1" si="11"/>
        <v>#REF!</v>
      </c>
    </row>
    <row r="207" spans="1:3">
      <c r="A207" s="3" t="str">
        <f t="shared" si="12"/>
        <v>Questions - Fragen</v>
      </c>
      <c r="B207" t="str">
        <f>pos(Questions!D272)</f>
        <v>$D$272</v>
      </c>
      <c r="C207" t="e">
        <f t="shared" ca="1" si="11"/>
        <v>#REF!</v>
      </c>
    </row>
    <row r="208" spans="1:3">
      <c r="A208" s="3" t="str">
        <f t="shared" si="12"/>
        <v>Questions - Fragen</v>
      </c>
      <c r="B208" t="str">
        <f>pos(Questions!D273)</f>
        <v>$D$273</v>
      </c>
      <c r="C208" t="e">
        <f t="shared" ca="1" si="11"/>
        <v>#REF!</v>
      </c>
    </row>
    <row r="209" spans="1:3">
      <c r="A209" s="3" t="str">
        <f t="shared" si="12"/>
        <v>Questions - Fragen</v>
      </c>
      <c r="B209" t="str">
        <f>pos(Questions!D274)</f>
        <v>$D$274</v>
      </c>
      <c r="C209" t="e">
        <f t="shared" ca="1" si="11"/>
        <v>#REF!</v>
      </c>
    </row>
    <row r="210" spans="1:3">
      <c r="A210" s="3" t="str">
        <f t="shared" si="12"/>
        <v>Questions - Fragen</v>
      </c>
      <c r="B210" t="str">
        <f>pos(Questions!D283)</f>
        <v>$D$283</v>
      </c>
      <c r="C210" t="e">
        <f t="shared" ca="1" si="11"/>
        <v>#REF!</v>
      </c>
    </row>
    <row r="211" spans="1:3">
      <c r="A211" s="3" t="str">
        <f t="shared" si="12"/>
        <v>Questions - Fragen</v>
      </c>
      <c r="B211" t="str">
        <f>pos(Questions!D284)</f>
        <v>$D$284</v>
      </c>
      <c r="C211" t="e">
        <f t="shared" ca="1" si="11"/>
        <v>#REF!</v>
      </c>
    </row>
    <row r="212" spans="1:3">
      <c r="A212" s="3" t="str">
        <f t="shared" si="12"/>
        <v>Questions - Fragen</v>
      </c>
      <c r="B212" t="str">
        <f>pos(Questions!D285)</f>
        <v>$D$285</v>
      </c>
      <c r="C212" t="e">
        <f t="shared" ca="1" si="11"/>
        <v>#REF!</v>
      </c>
    </row>
    <row r="213" spans="1:3">
      <c r="A213" s="3" t="str">
        <f t="shared" si="12"/>
        <v>Questions - Fragen</v>
      </c>
      <c r="B213" t="str">
        <f>pos(Questions!D294)</f>
        <v>$D$294</v>
      </c>
      <c r="C213" t="e">
        <f t="shared" ref="C213:C230" ca="1" si="13">IF(INDIRECT("'"&amp;A213&amp;"'!"&amp;B213)=0,"",INDIRECT("'"&amp;A213&amp;"'!"&amp;B213))</f>
        <v>#REF!</v>
      </c>
    </row>
    <row r="214" spans="1:3">
      <c r="A214" s="3" t="str">
        <f t="shared" si="12"/>
        <v>Questions - Fragen</v>
      </c>
      <c r="B214" t="str">
        <f>pos(Questions!D295)</f>
        <v>$D$295</v>
      </c>
      <c r="C214" t="e">
        <f t="shared" ca="1" si="13"/>
        <v>#REF!</v>
      </c>
    </row>
    <row r="215" spans="1:3">
      <c r="A215" s="3" t="str">
        <f t="shared" si="12"/>
        <v>Questions - Fragen</v>
      </c>
      <c r="B215" t="str">
        <f>pos(Questions!D296)</f>
        <v>$D$296</v>
      </c>
      <c r="C215" t="e">
        <f t="shared" ca="1" si="13"/>
        <v>#REF!</v>
      </c>
    </row>
    <row r="216" spans="1:3">
      <c r="A216" s="3" t="str">
        <f t="shared" si="12"/>
        <v>Questions - Fragen</v>
      </c>
      <c r="B216" t="str">
        <f>pos(Questions!D305)</f>
        <v>$D$305</v>
      </c>
      <c r="C216" t="e">
        <f t="shared" ca="1" si="13"/>
        <v>#REF!</v>
      </c>
    </row>
    <row r="217" spans="1:3">
      <c r="A217" s="3" t="str">
        <f t="shared" si="12"/>
        <v>Questions - Fragen</v>
      </c>
      <c r="B217" t="str">
        <f>pos(Questions!D306)</f>
        <v>$D$306</v>
      </c>
      <c r="C217" t="e">
        <f t="shared" ca="1" si="13"/>
        <v>#REF!</v>
      </c>
    </row>
    <row r="218" spans="1:3">
      <c r="A218" s="3" t="str">
        <f t="shared" si="12"/>
        <v>Questions - Fragen</v>
      </c>
      <c r="B218" t="str">
        <f>pos(Questions!D307)</f>
        <v>$D$307</v>
      </c>
      <c r="C218" t="e">
        <f t="shared" ca="1" si="13"/>
        <v>#REF!</v>
      </c>
    </row>
    <row r="219" spans="1:3">
      <c r="A219" s="3" t="str">
        <f t="shared" si="12"/>
        <v>Questions - Fragen</v>
      </c>
      <c r="B219" t="str">
        <f>pos(Questions!D317)</f>
        <v>$D$317</v>
      </c>
      <c r="C219" t="e">
        <f t="shared" ca="1" si="13"/>
        <v>#REF!</v>
      </c>
    </row>
    <row r="220" spans="1:3">
      <c r="A220" s="3" t="str">
        <f t="shared" ref="A220:A376" si="14">$A$115</f>
        <v>Questions - Fragen</v>
      </c>
      <c r="B220" t="str">
        <f>pos(Questions!D318)</f>
        <v>$D$318</v>
      </c>
      <c r="C220" t="e">
        <f t="shared" ca="1" si="13"/>
        <v>#REF!</v>
      </c>
    </row>
    <row r="221" spans="1:3">
      <c r="A221" s="3" t="str">
        <f t="shared" si="14"/>
        <v>Questions - Fragen</v>
      </c>
      <c r="B221" t="str">
        <f>pos(Questions!D319)</f>
        <v>$D$319</v>
      </c>
      <c r="C221" t="e">
        <f t="shared" ca="1" si="13"/>
        <v>#REF!</v>
      </c>
    </row>
    <row r="222" spans="1:3">
      <c r="A222" s="3" t="str">
        <f t="shared" si="14"/>
        <v>Questions - Fragen</v>
      </c>
      <c r="B222" t="str">
        <f>pos(Questions!D328)</f>
        <v>$D$328</v>
      </c>
      <c r="C222" t="e">
        <f t="shared" ca="1" si="13"/>
        <v>#REF!</v>
      </c>
    </row>
    <row r="223" spans="1:3">
      <c r="A223" s="3" t="str">
        <f t="shared" si="14"/>
        <v>Questions - Fragen</v>
      </c>
      <c r="B223" t="str">
        <f>pos(Questions!D329)</f>
        <v>$D$329</v>
      </c>
      <c r="C223" t="e">
        <f t="shared" ca="1" si="13"/>
        <v>#REF!</v>
      </c>
    </row>
    <row r="224" spans="1:3">
      <c r="A224" s="3" t="str">
        <f t="shared" si="14"/>
        <v>Questions - Fragen</v>
      </c>
      <c r="B224" t="str">
        <f>pos(Questions!D330)</f>
        <v>$D$330</v>
      </c>
      <c r="C224" t="e">
        <f t="shared" ca="1" si="13"/>
        <v>#REF!</v>
      </c>
    </row>
    <row r="225" spans="1:3">
      <c r="A225" s="3" t="str">
        <f t="shared" si="14"/>
        <v>Questions - Fragen</v>
      </c>
      <c r="B225" t="str">
        <f>pos(Questions!D339)</f>
        <v>$D$339</v>
      </c>
      <c r="C225" t="e">
        <f t="shared" ca="1" si="13"/>
        <v>#REF!</v>
      </c>
    </row>
    <row r="226" spans="1:3">
      <c r="A226" s="3" t="str">
        <f t="shared" si="14"/>
        <v>Questions - Fragen</v>
      </c>
      <c r="B226" t="str">
        <f>pos(Questions!D340)</f>
        <v>$D$340</v>
      </c>
      <c r="C226" t="e">
        <f t="shared" ca="1" si="13"/>
        <v>#REF!</v>
      </c>
    </row>
    <row r="227" spans="1:3">
      <c r="A227" s="3" t="str">
        <f t="shared" si="14"/>
        <v>Questions - Fragen</v>
      </c>
      <c r="B227" t="str">
        <f>pos(Questions!D341)</f>
        <v>$D$341</v>
      </c>
      <c r="C227" t="e">
        <f t="shared" ca="1" si="13"/>
        <v>#REF!</v>
      </c>
    </row>
    <row r="228" spans="1:3">
      <c r="A228" s="3" t="str">
        <f t="shared" si="14"/>
        <v>Questions - Fragen</v>
      </c>
      <c r="B228" t="str">
        <f>pos(Questions!D350)</f>
        <v>$D$350</v>
      </c>
      <c r="C228" t="e">
        <f t="shared" ca="1" si="13"/>
        <v>#REF!</v>
      </c>
    </row>
    <row r="229" spans="1:3">
      <c r="A229" s="3" t="str">
        <f t="shared" si="14"/>
        <v>Questions - Fragen</v>
      </c>
      <c r="B229" t="str">
        <f>pos(Questions!D351)</f>
        <v>$D$351</v>
      </c>
      <c r="C229" t="e">
        <f t="shared" ca="1" si="13"/>
        <v>#REF!</v>
      </c>
    </row>
    <row r="230" spans="1:3">
      <c r="A230" s="3" t="str">
        <f t="shared" si="14"/>
        <v>Questions - Fragen</v>
      </c>
      <c r="B230" t="str">
        <f>pos(Questions!D352)</f>
        <v>$D$352</v>
      </c>
      <c r="C230" t="e">
        <f t="shared" ca="1" si="13"/>
        <v>#REF!</v>
      </c>
    </row>
    <row r="231" spans="1:3">
      <c r="A231" s="3" t="str">
        <f t="shared" si="14"/>
        <v>Questions - Fragen</v>
      </c>
      <c r="B231" t="str">
        <f>pos(Questions!D361)</f>
        <v>$D$361</v>
      </c>
      <c r="C231" t="e">
        <f t="shared" ref="C231:C481" ca="1" si="15">IF(INDIRECT("'"&amp;A231&amp;"'!"&amp;B231)=0,"",INDIRECT("'"&amp;A231&amp;"'!"&amp;B231))</f>
        <v>#REF!</v>
      </c>
    </row>
    <row r="232" spans="1:3">
      <c r="A232" s="3" t="str">
        <f t="shared" si="14"/>
        <v>Questions - Fragen</v>
      </c>
      <c r="B232" t="str">
        <f>pos(Questions!D362)</f>
        <v>$D$362</v>
      </c>
      <c r="C232" t="e">
        <f t="shared" ca="1" si="15"/>
        <v>#REF!</v>
      </c>
    </row>
    <row r="233" spans="1:3">
      <c r="A233" s="3" t="str">
        <f t="shared" si="14"/>
        <v>Questions - Fragen</v>
      </c>
      <c r="B233" t="str">
        <f>pos(Questions!D363)</f>
        <v>$D$363</v>
      </c>
      <c r="C233" t="e">
        <f t="shared" ca="1" si="15"/>
        <v>#REF!</v>
      </c>
    </row>
    <row r="234" spans="1:3">
      <c r="A234" s="3" t="str">
        <f t="shared" si="14"/>
        <v>Questions - Fragen</v>
      </c>
      <c r="B234" t="str">
        <f>pos(Questions!D364)</f>
        <v>$D$364</v>
      </c>
      <c r="C234" t="e">
        <f t="shared" ca="1" si="15"/>
        <v>#REF!</v>
      </c>
    </row>
    <row r="235" spans="1:3">
      <c r="A235" s="3" t="str">
        <f t="shared" si="14"/>
        <v>Questions - Fragen</v>
      </c>
      <c r="B235" t="str">
        <f>pos(Questions!D365)</f>
        <v>$D$365</v>
      </c>
      <c r="C235" t="e">
        <f t="shared" ca="1" si="15"/>
        <v>#REF!</v>
      </c>
    </row>
    <row r="236" spans="1:3">
      <c r="A236" s="3" t="str">
        <f t="shared" si="14"/>
        <v>Questions - Fragen</v>
      </c>
      <c r="B236" t="str">
        <f>pos(Questions!E13)</f>
        <v>$E$13</v>
      </c>
      <c r="C236" t="e">
        <f t="shared" ca="1" si="15"/>
        <v>#REF!</v>
      </c>
    </row>
    <row r="237" spans="1:3">
      <c r="A237" s="3" t="str">
        <f t="shared" si="14"/>
        <v>Questions - Fragen</v>
      </c>
      <c r="B237" t="str">
        <f>pos(Questions!E14)</f>
        <v>$E$14</v>
      </c>
      <c r="C237" t="e">
        <f t="shared" ca="1" si="15"/>
        <v>#REF!</v>
      </c>
    </row>
    <row r="238" spans="1:3">
      <c r="A238" s="3" t="str">
        <f t="shared" si="14"/>
        <v>Questions - Fragen</v>
      </c>
      <c r="B238" t="str">
        <f>pos(Questions!E15)</f>
        <v>$E$15</v>
      </c>
      <c r="C238" t="e">
        <f t="shared" ca="1" si="15"/>
        <v>#REF!</v>
      </c>
    </row>
    <row r="239" spans="1:3">
      <c r="A239" s="3" t="str">
        <f t="shared" si="14"/>
        <v>Questions - Fragen</v>
      </c>
      <c r="B239" t="str">
        <f>pos(Questions!E16)</f>
        <v>$E$16</v>
      </c>
      <c r="C239" t="e">
        <f t="shared" ca="1" si="15"/>
        <v>#REF!</v>
      </c>
    </row>
    <row r="240" spans="1:3">
      <c r="A240" s="3" t="str">
        <f t="shared" si="14"/>
        <v>Questions - Fragen</v>
      </c>
      <c r="B240" t="str">
        <f>pos(Questions!E17)</f>
        <v>$E$17</v>
      </c>
      <c r="C240" t="e">
        <f t="shared" ca="1" si="15"/>
        <v>#REF!</v>
      </c>
    </row>
    <row r="241" spans="1:3">
      <c r="A241" s="3" t="str">
        <f t="shared" si="14"/>
        <v>Questions - Fragen</v>
      </c>
      <c r="B241" t="str">
        <f>pos(Questions!E18)</f>
        <v>$E$18</v>
      </c>
      <c r="C241" t="e">
        <f t="shared" ca="1" si="15"/>
        <v>#REF!</v>
      </c>
    </row>
    <row r="242" spans="1:3">
      <c r="A242" s="3" t="str">
        <f t="shared" si="14"/>
        <v>Questions - Fragen</v>
      </c>
      <c r="B242" t="str">
        <f>pos(Questions!E19)</f>
        <v>$E$19</v>
      </c>
      <c r="C242" t="e">
        <f t="shared" ca="1" si="15"/>
        <v>#REF!</v>
      </c>
    </row>
    <row r="243" spans="1:3">
      <c r="A243" s="3" t="str">
        <f t="shared" si="14"/>
        <v>Questions - Fragen</v>
      </c>
      <c r="B243" t="str">
        <f>pos(Questions!E23)</f>
        <v>$E$23</v>
      </c>
      <c r="C243" t="e">
        <f t="shared" ca="1" si="15"/>
        <v>#REF!</v>
      </c>
    </row>
    <row r="244" spans="1:3">
      <c r="A244" s="3" t="str">
        <f t="shared" si="14"/>
        <v>Questions - Fragen</v>
      </c>
      <c r="B244" t="str">
        <f>pos(Questions!E24)</f>
        <v>$E$24</v>
      </c>
      <c r="C244" t="e">
        <f t="shared" ca="1" si="15"/>
        <v>#REF!</v>
      </c>
    </row>
    <row r="245" spans="1:3">
      <c r="A245" s="3" t="str">
        <f t="shared" si="14"/>
        <v>Questions - Fragen</v>
      </c>
      <c r="B245" t="str">
        <f>pos(Questions!E26)</f>
        <v>$E$26</v>
      </c>
      <c r="C245" t="e">
        <f t="shared" ca="1" si="15"/>
        <v>#REF!</v>
      </c>
    </row>
    <row r="246" spans="1:3">
      <c r="A246" s="3" t="str">
        <f t="shared" si="14"/>
        <v>Questions - Fragen</v>
      </c>
      <c r="B246" t="str">
        <f>pos(Questions!E27)</f>
        <v>$E$27</v>
      </c>
      <c r="C246" t="e">
        <f t="shared" ca="1" si="15"/>
        <v>#REF!</v>
      </c>
    </row>
    <row r="247" spans="1:3">
      <c r="A247" s="3" t="str">
        <f t="shared" si="14"/>
        <v>Questions - Fragen</v>
      </c>
      <c r="B247" t="str">
        <f>pos(Questions!E29)</f>
        <v>$E$29</v>
      </c>
      <c r="C247" t="e">
        <f t="shared" ca="1" si="15"/>
        <v>#REF!</v>
      </c>
    </row>
    <row r="248" spans="1:3">
      <c r="A248" s="3" t="str">
        <f t="shared" si="14"/>
        <v>Questions - Fragen</v>
      </c>
      <c r="B248" t="str">
        <f>pos(Questions!E30)</f>
        <v>$E$30</v>
      </c>
      <c r="C248" t="e">
        <f t="shared" ca="1" si="15"/>
        <v>#REF!</v>
      </c>
    </row>
    <row r="249" spans="1:3">
      <c r="A249" s="3" t="str">
        <f t="shared" si="14"/>
        <v>Questions - Fragen</v>
      </c>
      <c r="B249" t="str">
        <f>pos(Questions!E32)</f>
        <v>$E$32</v>
      </c>
      <c r="C249" t="e">
        <f t="shared" ca="1" si="15"/>
        <v>#REF!</v>
      </c>
    </row>
    <row r="250" spans="1:3">
      <c r="A250" s="3" t="str">
        <f t="shared" si="14"/>
        <v>Questions - Fragen</v>
      </c>
      <c r="B250" t="str">
        <f>pos(Questions!E33)</f>
        <v>$E$33</v>
      </c>
      <c r="C250" t="e">
        <f t="shared" ca="1" si="15"/>
        <v>#REF!</v>
      </c>
    </row>
    <row r="251" spans="1:3">
      <c r="A251" s="3" t="str">
        <f t="shared" si="14"/>
        <v>Questions - Fragen</v>
      </c>
      <c r="B251" t="str">
        <f>pos(Questions!E35)</f>
        <v>$E$35</v>
      </c>
      <c r="C251" t="e">
        <f t="shared" ca="1" si="15"/>
        <v>#REF!</v>
      </c>
    </row>
    <row r="252" spans="1:3">
      <c r="A252" s="3" t="str">
        <f t="shared" si="14"/>
        <v>Questions - Fragen</v>
      </c>
      <c r="B252" t="str">
        <f>pos(Questions!E36)</f>
        <v>$E$36</v>
      </c>
      <c r="C252" t="e">
        <f t="shared" ca="1" si="15"/>
        <v>#REF!</v>
      </c>
    </row>
    <row r="253" spans="1:3">
      <c r="A253" s="3" t="str">
        <f t="shared" si="14"/>
        <v>Questions - Fragen</v>
      </c>
      <c r="B253" t="str">
        <f>pos(Questions!E40)</f>
        <v>$E$40</v>
      </c>
      <c r="C253" t="e">
        <f t="shared" ca="1" si="15"/>
        <v>#REF!</v>
      </c>
    </row>
    <row r="254" spans="1:3">
      <c r="A254" s="3" t="str">
        <f t="shared" si="14"/>
        <v>Questions - Fragen</v>
      </c>
      <c r="B254" t="str">
        <f>pos(Questions!E41)</f>
        <v>$E$41</v>
      </c>
      <c r="C254" t="e">
        <f t="shared" ca="1" si="15"/>
        <v>#REF!</v>
      </c>
    </row>
    <row r="255" spans="1:3">
      <c r="A255" s="3" t="str">
        <f t="shared" si="14"/>
        <v>Questions - Fragen</v>
      </c>
      <c r="B255" t="str">
        <f>pos(Questions!E43)</f>
        <v>$E$43</v>
      </c>
      <c r="C255" t="e">
        <f t="shared" ca="1" si="15"/>
        <v>#REF!</v>
      </c>
    </row>
    <row r="256" spans="1:3">
      <c r="A256" s="3" t="str">
        <f t="shared" si="14"/>
        <v>Questions - Fragen</v>
      </c>
      <c r="B256" t="str">
        <f>pos(Questions!E44)</f>
        <v>$E$44</v>
      </c>
      <c r="C256" t="e">
        <f t="shared" ca="1" si="15"/>
        <v>#REF!</v>
      </c>
    </row>
    <row r="257" spans="1:3">
      <c r="A257" s="3" t="str">
        <f t="shared" si="14"/>
        <v>Questions - Fragen</v>
      </c>
      <c r="B257" t="str">
        <f>pos(Questions!E46)</f>
        <v>$E$46</v>
      </c>
      <c r="C257" t="e">
        <f t="shared" ca="1" si="15"/>
        <v>#REF!</v>
      </c>
    </row>
    <row r="258" spans="1:3">
      <c r="A258" s="3" t="str">
        <f t="shared" si="14"/>
        <v>Questions - Fragen</v>
      </c>
      <c r="B258" t="str">
        <f>pos(Questions!E47)</f>
        <v>$E$47</v>
      </c>
      <c r="C258" t="e">
        <f t="shared" ca="1" si="15"/>
        <v>#REF!</v>
      </c>
    </row>
    <row r="259" spans="1:3">
      <c r="A259" s="3" t="str">
        <f t="shared" si="14"/>
        <v>Questions - Fragen</v>
      </c>
      <c r="B259" t="str">
        <f>pos(Questions!E49)</f>
        <v>$E$49</v>
      </c>
      <c r="C259" t="e">
        <f t="shared" ca="1" si="15"/>
        <v>#REF!</v>
      </c>
    </row>
    <row r="260" spans="1:3">
      <c r="A260" s="3" t="str">
        <f t="shared" si="14"/>
        <v>Questions - Fragen</v>
      </c>
      <c r="B260" t="str">
        <f>pos(Questions!E50)</f>
        <v>$E$50</v>
      </c>
      <c r="C260" t="e">
        <f t="shared" ca="1" si="15"/>
        <v>#REF!</v>
      </c>
    </row>
    <row r="261" spans="1:3">
      <c r="A261" s="3" t="str">
        <f t="shared" si="14"/>
        <v>Questions - Fragen</v>
      </c>
      <c r="B261" t="str">
        <f>pos(Questions!E52)</f>
        <v>$E$52</v>
      </c>
      <c r="C261" t="e">
        <f t="shared" ca="1" si="15"/>
        <v>#REF!</v>
      </c>
    </row>
    <row r="262" spans="1:3">
      <c r="A262" s="3" t="str">
        <f t="shared" si="14"/>
        <v>Questions - Fragen</v>
      </c>
      <c r="B262" t="str">
        <f>pos(Questions!E53)</f>
        <v>$E$53</v>
      </c>
      <c r="C262" t="e">
        <f t="shared" ca="1" si="15"/>
        <v>#REF!</v>
      </c>
    </row>
    <row r="263" spans="1:3">
      <c r="A263" s="3" t="str">
        <f t="shared" si="14"/>
        <v>Questions - Fragen</v>
      </c>
      <c r="B263" t="str">
        <f>pos(Questions!E55)</f>
        <v>$E$55</v>
      </c>
      <c r="C263" t="e">
        <f t="shared" ca="1" si="15"/>
        <v>#REF!</v>
      </c>
    </row>
    <row r="264" spans="1:3">
      <c r="A264" s="3" t="str">
        <f t="shared" si="14"/>
        <v>Questions - Fragen</v>
      </c>
      <c r="B264" t="str">
        <f>pos(Questions!E57)</f>
        <v>$E$57</v>
      </c>
      <c r="C264" t="e">
        <f ca="1">IF(INDIRECT("'"&amp;A264&amp;"'!"&amp;B264)=0,"",INDIRECT("'"&amp;A264&amp;"'!"&amp;B264))</f>
        <v>#REF!</v>
      </c>
    </row>
    <row r="265" spans="1:3">
      <c r="A265" s="3" t="str">
        <f t="shared" si="14"/>
        <v>Questions - Fragen</v>
      </c>
      <c r="B265" t="str">
        <f>pos(Questions!E59)</f>
        <v>$E$59</v>
      </c>
      <c r="C265" t="e">
        <f t="shared" ca="1" si="15"/>
        <v>#REF!</v>
      </c>
    </row>
    <row r="266" spans="1:3">
      <c r="A266" s="3" t="str">
        <f t="shared" si="14"/>
        <v>Questions - Fragen</v>
      </c>
      <c r="B266" t="str">
        <f>pos(Questions!E60)</f>
        <v>$E$60</v>
      </c>
      <c r="C266" t="e">
        <f t="shared" ca="1" si="15"/>
        <v>#REF!</v>
      </c>
    </row>
    <row r="267" spans="1:3">
      <c r="A267" s="3" t="str">
        <f t="shared" si="14"/>
        <v>Questions - Fragen</v>
      </c>
      <c r="B267" t="str">
        <f>pos(Questions!E62)</f>
        <v>$E$62</v>
      </c>
      <c r="C267" t="e">
        <f t="shared" ca="1" si="15"/>
        <v>#REF!</v>
      </c>
    </row>
    <row r="268" spans="1:3">
      <c r="A268" s="3" t="str">
        <f t="shared" si="14"/>
        <v>Questions - Fragen</v>
      </c>
      <c r="B268" t="str">
        <f>pos(Questions!E63)</f>
        <v>$E$63</v>
      </c>
      <c r="C268" t="e">
        <f t="shared" ca="1" si="15"/>
        <v>#REF!</v>
      </c>
    </row>
    <row r="269" spans="1:3">
      <c r="A269" s="3" t="str">
        <f t="shared" si="14"/>
        <v>Questions - Fragen</v>
      </c>
      <c r="B269" t="str">
        <f>pos(Questions!E64)</f>
        <v>$E$64</v>
      </c>
      <c r="C269" t="e">
        <f t="shared" ca="1" si="15"/>
        <v>#REF!</v>
      </c>
    </row>
    <row r="270" spans="1:3">
      <c r="A270" s="3" t="str">
        <f t="shared" si="14"/>
        <v>Questions - Fragen</v>
      </c>
      <c r="B270" t="str">
        <f>pos(Questions!E65)</f>
        <v>$E$65</v>
      </c>
      <c r="C270" t="e">
        <f t="shared" ca="1" si="15"/>
        <v>#REF!</v>
      </c>
    </row>
    <row r="271" spans="1:3">
      <c r="A271" s="3" t="str">
        <f t="shared" si="14"/>
        <v>Questions - Fragen</v>
      </c>
      <c r="B271" t="str">
        <f>pos(Questions!E66)</f>
        <v>$E$66</v>
      </c>
      <c r="C271" t="e">
        <f t="shared" ca="1" si="15"/>
        <v>#REF!</v>
      </c>
    </row>
    <row r="272" spans="1:3">
      <c r="A272" s="3" t="str">
        <f t="shared" si="14"/>
        <v>Questions - Fragen</v>
      </c>
      <c r="B272" t="str">
        <f>pos(Questions!E67)</f>
        <v>$E$67</v>
      </c>
      <c r="C272" t="e">
        <f t="shared" ca="1" si="15"/>
        <v>#REF!</v>
      </c>
    </row>
    <row r="273" spans="1:3">
      <c r="A273" s="3" t="str">
        <f t="shared" si="14"/>
        <v>Questions - Fragen</v>
      </c>
      <c r="B273" t="str">
        <f>pos(Questions!E68)</f>
        <v>$E$68</v>
      </c>
      <c r="C273" t="e">
        <f t="shared" ca="1" si="15"/>
        <v>#REF!</v>
      </c>
    </row>
    <row r="274" spans="1:3">
      <c r="A274" s="3" t="str">
        <f t="shared" si="14"/>
        <v>Questions - Fragen</v>
      </c>
      <c r="B274" t="str">
        <f>pos(Questions!E72)</f>
        <v>$E$72</v>
      </c>
      <c r="C274" t="e">
        <f t="shared" ca="1" si="15"/>
        <v>#REF!</v>
      </c>
    </row>
    <row r="275" spans="1:3">
      <c r="A275" s="3" t="str">
        <f t="shared" si="14"/>
        <v>Questions - Fragen</v>
      </c>
      <c r="B275" t="str">
        <f>pos(Questions!E73)</f>
        <v>$E$73</v>
      </c>
      <c r="C275" t="e">
        <f t="shared" ca="1" si="15"/>
        <v>#REF!</v>
      </c>
    </row>
    <row r="276" spans="1:3">
      <c r="A276" s="3" t="str">
        <f t="shared" si="14"/>
        <v>Questions - Fragen</v>
      </c>
      <c r="B276" t="str">
        <f>pos(Questions!E74)</f>
        <v>$E$74</v>
      </c>
      <c r="C276" t="e">
        <f t="shared" ca="1" si="15"/>
        <v>#REF!</v>
      </c>
    </row>
    <row r="277" spans="1:3">
      <c r="A277" s="3" t="str">
        <f t="shared" si="14"/>
        <v>Questions - Fragen</v>
      </c>
      <c r="B277" t="str">
        <f>pos(Questions!E83)</f>
        <v>$E$83</v>
      </c>
      <c r="C277" t="e">
        <f t="shared" ca="1" si="15"/>
        <v>#REF!</v>
      </c>
    </row>
    <row r="278" spans="1:3">
      <c r="A278" s="3" t="str">
        <f t="shared" si="14"/>
        <v>Questions - Fragen</v>
      </c>
      <c r="B278" t="str">
        <f>pos(Questions!E84)</f>
        <v>$E$84</v>
      </c>
      <c r="C278" t="e">
        <f t="shared" ca="1" si="15"/>
        <v>#REF!</v>
      </c>
    </row>
    <row r="279" spans="1:3">
      <c r="A279" s="3" t="str">
        <f t="shared" si="14"/>
        <v>Questions - Fragen</v>
      </c>
      <c r="B279" t="str">
        <f>pos(Questions!E85)</f>
        <v>$E$85</v>
      </c>
      <c r="C279" t="e">
        <f t="shared" ca="1" si="15"/>
        <v>#REF!</v>
      </c>
    </row>
    <row r="280" spans="1:3">
      <c r="A280" s="3" t="str">
        <f t="shared" si="14"/>
        <v>Questions - Fragen</v>
      </c>
      <c r="B280" t="str">
        <f>pos(Questions!E94)</f>
        <v>$E$94</v>
      </c>
      <c r="C280" t="e">
        <f t="shared" ca="1" si="15"/>
        <v>#REF!</v>
      </c>
    </row>
    <row r="281" spans="1:3">
      <c r="A281" s="3" t="str">
        <f t="shared" si="14"/>
        <v>Questions - Fragen</v>
      </c>
      <c r="B281" t="str">
        <f>pos(Questions!E95)</f>
        <v>$E$95</v>
      </c>
      <c r="C281" t="e">
        <f t="shared" ca="1" si="15"/>
        <v>#REF!</v>
      </c>
    </row>
    <row r="282" spans="1:3">
      <c r="A282" s="3" t="str">
        <f t="shared" si="14"/>
        <v>Questions - Fragen</v>
      </c>
      <c r="B282" t="str">
        <f>pos(Questions!E98)</f>
        <v>$E$98</v>
      </c>
      <c r="C282" t="e">
        <f t="shared" ca="1" si="15"/>
        <v>#REF!</v>
      </c>
    </row>
    <row r="283" spans="1:3">
      <c r="A283" s="3" t="str">
        <f t="shared" si="14"/>
        <v>Questions - Fragen</v>
      </c>
      <c r="B283" t="str">
        <f>pos(Questions!E105)</f>
        <v>$E$105</v>
      </c>
      <c r="C283" t="e">
        <f t="shared" ca="1" si="15"/>
        <v>#REF!</v>
      </c>
    </row>
    <row r="284" spans="1:3">
      <c r="A284" s="3" t="str">
        <f t="shared" si="14"/>
        <v>Questions - Fragen</v>
      </c>
      <c r="B284" t="str">
        <f>pos(Questions!E106)</f>
        <v>$E$106</v>
      </c>
      <c r="C284" t="e">
        <f t="shared" ca="1" si="15"/>
        <v>#REF!</v>
      </c>
    </row>
    <row r="285" spans="1:3">
      <c r="A285" s="3" t="str">
        <f t="shared" si="14"/>
        <v>Questions - Fragen</v>
      </c>
      <c r="B285" t="str">
        <f>pos(Questions!E107)</f>
        <v>$E$107</v>
      </c>
      <c r="C285" t="e">
        <f t="shared" ca="1" si="15"/>
        <v>#REF!</v>
      </c>
    </row>
    <row r="286" spans="1:3">
      <c r="A286" s="3" t="str">
        <f t="shared" si="14"/>
        <v>Questions - Fragen</v>
      </c>
      <c r="B286" t="str">
        <f>pos(Questions!E116)</f>
        <v>$E$116</v>
      </c>
      <c r="C286" t="e">
        <f t="shared" ca="1" si="15"/>
        <v>#REF!</v>
      </c>
    </row>
    <row r="287" spans="1:3">
      <c r="A287" s="3" t="str">
        <f t="shared" si="14"/>
        <v>Questions - Fragen</v>
      </c>
      <c r="B287" t="str">
        <f>pos(Questions!E117)</f>
        <v>$E$117</v>
      </c>
      <c r="C287" t="e">
        <f t="shared" ca="1" si="15"/>
        <v>#REF!</v>
      </c>
    </row>
    <row r="288" spans="1:3">
      <c r="A288" s="3" t="str">
        <f t="shared" si="14"/>
        <v>Questions - Fragen</v>
      </c>
      <c r="B288" t="str">
        <f>pos(Questions!E118)</f>
        <v>$E$118</v>
      </c>
      <c r="C288" t="e">
        <f t="shared" ca="1" si="15"/>
        <v>#REF!</v>
      </c>
    </row>
    <row r="289" spans="1:3">
      <c r="A289" s="3" t="str">
        <f t="shared" si="14"/>
        <v>Questions - Fragen</v>
      </c>
      <c r="B289" t="str">
        <f>pos(Questions!E128)</f>
        <v>$E$128</v>
      </c>
      <c r="C289" t="e">
        <f t="shared" ca="1" si="15"/>
        <v>#REF!</v>
      </c>
    </row>
    <row r="290" spans="1:3">
      <c r="A290" s="3" t="str">
        <f t="shared" si="14"/>
        <v>Questions - Fragen</v>
      </c>
      <c r="B290" t="str">
        <f>pos(Questions!E129)</f>
        <v>$E$129</v>
      </c>
      <c r="C290" t="e">
        <f t="shared" ca="1" si="15"/>
        <v>#REF!</v>
      </c>
    </row>
    <row r="291" spans="1:3">
      <c r="A291" s="3" t="str">
        <f t="shared" si="14"/>
        <v>Questions - Fragen</v>
      </c>
      <c r="B291" t="str">
        <f>pos(Questions!E130)</f>
        <v>$E$130</v>
      </c>
      <c r="C291" t="e">
        <f t="shared" ca="1" si="15"/>
        <v>#REF!</v>
      </c>
    </row>
    <row r="292" spans="1:3">
      <c r="A292" s="3" t="str">
        <f t="shared" si="14"/>
        <v>Questions - Fragen</v>
      </c>
      <c r="B292" t="str">
        <f>pos(Questions!E139)</f>
        <v>$E$139</v>
      </c>
      <c r="C292" t="e">
        <f t="shared" ca="1" si="15"/>
        <v>#REF!</v>
      </c>
    </row>
    <row r="293" spans="1:3">
      <c r="A293" s="3" t="str">
        <f t="shared" si="14"/>
        <v>Questions - Fragen</v>
      </c>
      <c r="B293" t="str">
        <f>pos(Questions!E140)</f>
        <v>$E$140</v>
      </c>
      <c r="C293" t="e">
        <f t="shared" ca="1" si="15"/>
        <v>#REF!</v>
      </c>
    </row>
    <row r="294" spans="1:3">
      <c r="A294" s="3" t="str">
        <f t="shared" si="14"/>
        <v>Questions - Fragen</v>
      </c>
      <c r="B294" t="str">
        <f>pos(Questions!E141)</f>
        <v>$E$141</v>
      </c>
      <c r="C294" t="e">
        <f t="shared" ca="1" si="15"/>
        <v>#REF!</v>
      </c>
    </row>
    <row r="295" spans="1:3">
      <c r="A295" s="3" t="str">
        <f t="shared" si="14"/>
        <v>Questions - Fragen</v>
      </c>
      <c r="B295" t="str">
        <f>pos(Questions!E150)</f>
        <v>$E$150</v>
      </c>
      <c r="C295" t="e">
        <f t="shared" ca="1" si="15"/>
        <v>#REF!</v>
      </c>
    </row>
    <row r="296" spans="1:3">
      <c r="A296" s="3" t="str">
        <f t="shared" si="14"/>
        <v>Questions - Fragen</v>
      </c>
      <c r="B296" t="str">
        <f>pos(Questions!E151)</f>
        <v>$E$151</v>
      </c>
      <c r="C296" t="e">
        <f t="shared" ca="1" si="15"/>
        <v>#REF!</v>
      </c>
    </row>
    <row r="297" spans="1:3">
      <c r="A297" s="3" t="str">
        <f t="shared" si="14"/>
        <v>Questions - Fragen</v>
      </c>
      <c r="B297" t="str">
        <f>pos(Questions!E152)</f>
        <v>$E$152</v>
      </c>
      <c r="C297" t="e">
        <f t="shared" ca="1" si="15"/>
        <v>#REF!</v>
      </c>
    </row>
    <row r="298" spans="1:3">
      <c r="A298" s="3" t="str">
        <f t="shared" si="14"/>
        <v>Questions - Fragen</v>
      </c>
      <c r="B298" t="str">
        <f>pos(Questions!E161)</f>
        <v>$E$161</v>
      </c>
      <c r="C298" t="e">
        <f t="shared" ca="1" si="15"/>
        <v>#REF!</v>
      </c>
    </row>
    <row r="299" spans="1:3">
      <c r="A299" s="3" t="str">
        <f t="shared" si="14"/>
        <v>Questions - Fragen</v>
      </c>
      <c r="B299" t="str">
        <f>pos(Questions!E162)</f>
        <v>$E$162</v>
      </c>
      <c r="C299" t="e">
        <f t="shared" ca="1" si="15"/>
        <v>#REF!</v>
      </c>
    </row>
    <row r="300" spans="1:3">
      <c r="A300" s="3" t="str">
        <f t="shared" si="14"/>
        <v>Questions - Fragen</v>
      </c>
      <c r="B300" t="str">
        <f>pos(Questions!E163)</f>
        <v>$E$163</v>
      </c>
      <c r="C300" t="e">
        <f t="shared" ca="1" si="15"/>
        <v>#REF!</v>
      </c>
    </row>
    <row r="301" spans="1:3">
      <c r="A301" s="3" t="str">
        <f t="shared" si="14"/>
        <v>Questions - Fragen</v>
      </c>
      <c r="B301" t="str">
        <f>pos(Questions!E172)</f>
        <v>$E$172</v>
      </c>
      <c r="C301" t="e">
        <f t="shared" ca="1" si="15"/>
        <v>#REF!</v>
      </c>
    </row>
    <row r="302" spans="1:3">
      <c r="A302" s="3" t="str">
        <f t="shared" si="14"/>
        <v>Questions - Fragen</v>
      </c>
      <c r="B302" t="str">
        <f>pos(Questions!E173)</f>
        <v>$E$173</v>
      </c>
      <c r="C302" t="e">
        <f t="shared" ca="1" si="15"/>
        <v>#REF!</v>
      </c>
    </row>
    <row r="303" spans="1:3">
      <c r="A303" s="3" t="str">
        <f t="shared" si="14"/>
        <v>Questions - Fragen</v>
      </c>
      <c r="B303" t="str">
        <f>pos(Questions!E174)</f>
        <v>$E$174</v>
      </c>
      <c r="C303" t="e">
        <f t="shared" ca="1" si="15"/>
        <v>#REF!</v>
      </c>
    </row>
    <row r="304" spans="1:3">
      <c r="A304" s="3" t="str">
        <f t="shared" si="14"/>
        <v>Questions - Fragen</v>
      </c>
      <c r="B304" t="str">
        <f>pos(Questions!E182)</f>
        <v>$E$182</v>
      </c>
      <c r="C304" t="e">
        <f t="shared" ca="1" si="15"/>
        <v>#REF!</v>
      </c>
    </row>
    <row r="305" spans="1:3">
      <c r="A305" s="3" t="str">
        <f t="shared" si="14"/>
        <v>Questions - Fragen</v>
      </c>
      <c r="B305" t="str">
        <f>pos(Questions!E183)</f>
        <v>$E$183</v>
      </c>
      <c r="C305" t="e">
        <f t="shared" ca="1" si="15"/>
        <v>#REF!</v>
      </c>
    </row>
    <row r="306" spans="1:3">
      <c r="A306" s="3" t="str">
        <f t="shared" si="14"/>
        <v>Questions - Fragen</v>
      </c>
      <c r="B306" t="str">
        <f>pos(Questions!E184)</f>
        <v>$E$184</v>
      </c>
      <c r="C306" t="e">
        <f t="shared" ca="1" si="15"/>
        <v>#REF!</v>
      </c>
    </row>
    <row r="307" spans="1:3">
      <c r="A307" s="3" t="str">
        <f t="shared" si="14"/>
        <v>Questions - Fragen</v>
      </c>
      <c r="B307" t="str">
        <f>pos(Questions!E193)</f>
        <v>$E$193</v>
      </c>
      <c r="C307" t="e">
        <f t="shared" ca="1" si="15"/>
        <v>#REF!</v>
      </c>
    </row>
    <row r="308" spans="1:3">
      <c r="A308" s="3" t="str">
        <f t="shared" si="14"/>
        <v>Questions - Fragen</v>
      </c>
      <c r="B308" t="str">
        <f>pos(Questions!E194)</f>
        <v>$E$194</v>
      </c>
      <c r="C308" t="e">
        <f t="shared" ca="1" si="15"/>
        <v>#REF!</v>
      </c>
    </row>
    <row r="309" spans="1:3">
      <c r="A309" s="3" t="str">
        <f t="shared" si="14"/>
        <v>Questions - Fragen</v>
      </c>
      <c r="B309" t="str">
        <f>pos(Questions!E195)</f>
        <v>$E$195</v>
      </c>
      <c r="C309" t="e">
        <f t="shared" ca="1" si="15"/>
        <v>#REF!</v>
      </c>
    </row>
    <row r="310" spans="1:3">
      <c r="A310" s="3" t="str">
        <f t="shared" si="14"/>
        <v>Questions - Fragen</v>
      </c>
      <c r="B310" t="str">
        <f>pos(Questions!E204)</f>
        <v>$E$204</v>
      </c>
      <c r="C310" t="e">
        <f t="shared" ca="1" si="15"/>
        <v>#REF!</v>
      </c>
    </row>
    <row r="311" spans="1:3">
      <c r="A311" s="3" t="str">
        <f t="shared" si="14"/>
        <v>Questions - Fragen</v>
      </c>
      <c r="B311" t="str">
        <f>pos(Questions!E205)</f>
        <v>$E$205</v>
      </c>
      <c r="C311" t="e">
        <f t="shared" ca="1" si="15"/>
        <v>#REF!</v>
      </c>
    </row>
    <row r="312" spans="1:3">
      <c r="A312" s="3" t="str">
        <f t="shared" si="14"/>
        <v>Questions - Fragen</v>
      </c>
      <c r="B312" t="str">
        <f>pos(Questions!E206)</f>
        <v>$E$206</v>
      </c>
      <c r="C312" t="e">
        <f t="shared" ca="1" si="15"/>
        <v>#REF!</v>
      </c>
    </row>
    <row r="313" spans="1:3">
      <c r="A313" s="3" t="str">
        <f t="shared" si="14"/>
        <v>Questions - Fragen</v>
      </c>
      <c r="B313" t="str">
        <f>pos(Questions!E216)</f>
        <v>$E$216</v>
      </c>
      <c r="C313" t="e">
        <f t="shared" ca="1" si="15"/>
        <v>#REF!</v>
      </c>
    </row>
    <row r="314" spans="1:3">
      <c r="A314" s="3" t="str">
        <f t="shared" si="14"/>
        <v>Questions - Fragen</v>
      </c>
      <c r="B314" t="str">
        <f>pos(Questions!E217)</f>
        <v>$E$217</v>
      </c>
      <c r="C314" t="e">
        <f t="shared" ca="1" si="15"/>
        <v>#REF!</v>
      </c>
    </row>
    <row r="315" spans="1:3">
      <c r="A315" s="3" t="str">
        <f t="shared" si="14"/>
        <v>Questions - Fragen</v>
      </c>
      <c r="B315" t="str">
        <f>pos(Questions!E218)</f>
        <v>$E$218</v>
      </c>
      <c r="C315" t="e">
        <f t="shared" ca="1" si="15"/>
        <v>#REF!</v>
      </c>
    </row>
    <row r="316" spans="1:3">
      <c r="A316" s="3" t="str">
        <f t="shared" si="14"/>
        <v>Questions - Fragen</v>
      </c>
      <c r="B316" t="str">
        <f>pos(Questions!E227)</f>
        <v>$E$227</v>
      </c>
      <c r="C316" t="e">
        <f t="shared" ca="1" si="15"/>
        <v>#REF!</v>
      </c>
    </row>
    <row r="317" spans="1:3">
      <c r="A317" s="3" t="str">
        <f t="shared" si="14"/>
        <v>Questions - Fragen</v>
      </c>
      <c r="B317" t="str">
        <f>pos(Questions!E228)</f>
        <v>$E$228</v>
      </c>
      <c r="C317" t="e">
        <f t="shared" ca="1" si="15"/>
        <v>#REF!</v>
      </c>
    </row>
    <row r="318" spans="1:3">
      <c r="A318" s="3" t="str">
        <f t="shared" si="14"/>
        <v>Questions - Fragen</v>
      </c>
      <c r="B318" t="str">
        <f>pos(Questions!E229)</f>
        <v>$E$229</v>
      </c>
      <c r="C318" t="e">
        <f t="shared" ca="1" si="15"/>
        <v>#REF!</v>
      </c>
    </row>
    <row r="319" spans="1:3">
      <c r="A319" s="3" t="str">
        <f t="shared" si="14"/>
        <v>Questions - Fragen</v>
      </c>
      <c r="B319" t="str">
        <f>pos(Questions!E238)</f>
        <v>$E$238</v>
      </c>
      <c r="C319" t="e">
        <f t="shared" ca="1" si="15"/>
        <v>#REF!</v>
      </c>
    </row>
    <row r="320" spans="1:3">
      <c r="A320" s="3" t="str">
        <f t="shared" si="14"/>
        <v>Questions - Fragen</v>
      </c>
      <c r="B320" t="str">
        <f>pos(Questions!E239)</f>
        <v>$E$239</v>
      </c>
      <c r="C320" t="e">
        <f t="shared" ca="1" si="15"/>
        <v>#REF!</v>
      </c>
    </row>
    <row r="321" spans="1:3">
      <c r="A321" s="3" t="str">
        <f t="shared" si="14"/>
        <v>Questions - Fragen</v>
      </c>
      <c r="B321" t="str">
        <f>pos(Questions!E240)</f>
        <v>$E$240</v>
      </c>
      <c r="C321" t="e">
        <f t="shared" ca="1" si="15"/>
        <v>#REF!</v>
      </c>
    </row>
    <row r="322" spans="1:3">
      <c r="A322" s="3" t="str">
        <f t="shared" si="14"/>
        <v>Questions - Fragen</v>
      </c>
      <c r="B322" t="str">
        <f>pos(Questions!E249)</f>
        <v>$E$249</v>
      </c>
      <c r="C322" t="e">
        <f t="shared" ca="1" si="15"/>
        <v>#REF!</v>
      </c>
    </row>
    <row r="323" spans="1:3">
      <c r="A323" s="3" t="str">
        <f t="shared" si="14"/>
        <v>Questions - Fragen</v>
      </c>
      <c r="B323" t="str">
        <f>pos(Questions!E250)</f>
        <v>$E$250</v>
      </c>
      <c r="C323" t="e">
        <f t="shared" ca="1" si="15"/>
        <v>#REF!</v>
      </c>
    </row>
    <row r="324" spans="1:3">
      <c r="A324" s="3" t="str">
        <f t="shared" si="14"/>
        <v>Questions - Fragen</v>
      </c>
      <c r="B324" t="str">
        <f>pos(Questions!E251)</f>
        <v>$E$251</v>
      </c>
      <c r="C324" t="e">
        <f t="shared" ca="1" si="15"/>
        <v>#REF!</v>
      </c>
    </row>
    <row r="325" spans="1:3">
      <c r="A325" s="3" t="str">
        <f t="shared" si="14"/>
        <v>Questions - Fragen</v>
      </c>
      <c r="B325" t="str">
        <f>pos(Questions!E260)</f>
        <v>$E$260</v>
      </c>
      <c r="C325" t="e">
        <f t="shared" ca="1" si="15"/>
        <v>#REF!</v>
      </c>
    </row>
    <row r="326" spans="1:3">
      <c r="A326" s="3" t="str">
        <f t="shared" si="14"/>
        <v>Questions - Fragen</v>
      </c>
      <c r="B326" t="str">
        <f>pos(Questions!E261)</f>
        <v>$E$261</v>
      </c>
      <c r="C326" t="e">
        <f t="shared" ca="1" si="15"/>
        <v>#REF!</v>
      </c>
    </row>
    <row r="327" spans="1:3">
      <c r="A327" s="3" t="str">
        <f t="shared" si="14"/>
        <v>Questions - Fragen</v>
      </c>
      <c r="B327" t="str">
        <f>pos(Questions!E262)</f>
        <v>$E$262</v>
      </c>
      <c r="C327" t="e">
        <f t="shared" ca="1" si="15"/>
        <v>#REF!</v>
      </c>
    </row>
    <row r="328" spans="1:3">
      <c r="A328" s="3" t="str">
        <f t="shared" si="14"/>
        <v>Questions - Fragen</v>
      </c>
      <c r="B328" t="str">
        <f>pos(Questions!E272)</f>
        <v>$E$272</v>
      </c>
      <c r="C328" t="e">
        <f t="shared" ca="1" si="15"/>
        <v>#REF!</v>
      </c>
    </row>
    <row r="329" spans="1:3">
      <c r="A329" s="3" t="str">
        <f t="shared" si="14"/>
        <v>Questions - Fragen</v>
      </c>
      <c r="B329" t="str">
        <f>pos(Questions!E273)</f>
        <v>$E$273</v>
      </c>
      <c r="C329" t="e">
        <f t="shared" ca="1" si="15"/>
        <v>#REF!</v>
      </c>
    </row>
    <row r="330" spans="1:3">
      <c r="A330" s="3" t="str">
        <f t="shared" si="14"/>
        <v>Questions - Fragen</v>
      </c>
      <c r="B330" t="str">
        <f>pos(Questions!E274)</f>
        <v>$E$274</v>
      </c>
      <c r="C330" t="e">
        <f t="shared" ca="1" si="15"/>
        <v>#REF!</v>
      </c>
    </row>
    <row r="331" spans="1:3">
      <c r="A331" s="3" t="str">
        <f t="shared" si="14"/>
        <v>Questions - Fragen</v>
      </c>
      <c r="B331" t="str">
        <f>pos(Questions!E283)</f>
        <v>$E$283</v>
      </c>
      <c r="C331" t="e">
        <f t="shared" ca="1" si="15"/>
        <v>#REF!</v>
      </c>
    </row>
    <row r="332" spans="1:3">
      <c r="A332" s="3" t="str">
        <f t="shared" si="14"/>
        <v>Questions - Fragen</v>
      </c>
      <c r="B332" t="str">
        <f>pos(Questions!E284)</f>
        <v>$E$284</v>
      </c>
      <c r="C332" t="e">
        <f t="shared" ca="1" si="15"/>
        <v>#REF!</v>
      </c>
    </row>
    <row r="333" spans="1:3">
      <c r="A333" s="3" t="str">
        <f t="shared" si="14"/>
        <v>Questions - Fragen</v>
      </c>
      <c r="B333" t="str">
        <f>pos(Questions!E285)</f>
        <v>$E$285</v>
      </c>
      <c r="C333" t="e">
        <f t="shared" ca="1" si="15"/>
        <v>#REF!</v>
      </c>
    </row>
    <row r="334" spans="1:3">
      <c r="A334" s="3" t="str">
        <f t="shared" si="14"/>
        <v>Questions - Fragen</v>
      </c>
      <c r="B334" t="str">
        <f>pos(Questions!E294)</f>
        <v>$E$294</v>
      </c>
      <c r="C334" t="e">
        <f t="shared" ca="1" si="15"/>
        <v>#REF!</v>
      </c>
    </row>
    <row r="335" spans="1:3">
      <c r="A335" s="3" t="str">
        <f t="shared" si="14"/>
        <v>Questions - Fragen</v>
      </c>
      <c r="B335" t="str">
        <f>pos(Questions!E295)</f>
        <v>$E$295</v>
      </c>
      <c r="C335" t="e">
        <f t="shared" ca="1" si="15"/>
        <v>#REF!</v>
      </c>
    </row>
    <row r="336" spans="1:3">
      <c r="A336" s="3" t="str">
        <f t="shared" si="14"/>
        <v>Questions - Fragen</v>
      </c>
      <c r="B336" t="str">
        <f>pos(Questions!E296)</f>
        <v>$E$296</v>
      </c>
      <c r="C336" t="e">
        <f t="shared" ca="1" si="15"/>
        <v>#REF!</v>
      </c>
    </row>
    <row r="337" spans="1:3">
      <c r="A337" s="3" t="str">
        <f t="shared" si="14"/>
        <v>Questions - Fragen</v>
      </c>
      <c r="B337" t="str">
        <f>pos(Questions!E305)</f>
        <v>$E$305</v>
      </c>
      <c r="C337" t="e">
        <f t="shared" ca="1" si="15"/>
        <v>#REF!</v>
      </c>
    </row>
    <row r="338" spans="1:3">
      <c r="A338" s="3" t="str">
        <f t="shared" si="14"/>
        <v>Questions - Fragen</v>
      </c>
      <c r="B338" t="str">
        <f>pos(Questions!E306)</f>
        <v>$E$306</v>
      </c>
      <c r="C338" t="e">
        <f t="shared" ca="1" si="15"/>
        <v>#REF!</v>
      </c>
    </row>
    <row r="339" spans="1:3">
      <c r="A339" s="3" t="str">
        <f t="shared" si="14"/>
        <v>Questions - Fragen</v>
      </c>
      <c r="B339" t="str">
        <f>pos(Questions!E307)</f>
        <v>$E$307</v>
      </c>
      <c r="C339" t="e">
        <f t="shared" ca="1" si="15"/>
        <v>#REF!</v>
      </c>
    </row>
    <row r="340" spans="1:3">
      <c r="A340" s="3" t="str">
        <f t="shared" si="14"/>
        <v>Questions - Fragen</v>
      </c>
      <c r="B340" t="str">
        <f>pos(Questions!E317)</f>
        <v>$E$317</v>
      </c>
      <c r="C340" t="e">
        <f t="shared" ca="1" si="15"/>
        <v>#REF!</v>
      </c>
    </row>
    <row r="341" spans="1:3">
      <c r="A341" s="3" t="str">
        <f t="shared" si="14"/>
        <v>Questions - Fragen</v>
      </c>
      <c r="B341" t="str">
        <f>pos(Questions!E318)</f>
        <v>$E$318</v>
      </c>
      <c r="C341" t="e">
        <f t="shared" ca="1" si="15"/>
        <v>#REF!</v>
      </c>
    </row>
    <row r="342" spans="1:3">
      <c r="A342" s="3" t="str">
        <f t="shared" si="14"/>
        <v>Questions - Fragen</v>
      </c>
      <c r="B342" t="str">
        <f>pos(Questions!E319)</f>
        <v>$E$319</v>
      </c>
      <c r="C342" t="e">
        <f t="shared" ca="1" si="15"/>
        <v>#REF!</v>
      </c>
    </row>
    <row r="343" spans="1:3">
      <c r="A343" s="3" t="str">
        <f t="shared" si="14"/>
        <v>Questions - Fragen</v>
      </c>
      <c r="B343" t="str">
        <f>pos(Questions!E328)</f>
        <v>$E$328</v>
      </c>
      <c r="C343" t="e">
        <f t="shared" ca="1" si="15"/>
        <v>#REF!</v>
      </c>
    </row>
    <row r="344" spans="1:3">
      <c r="A344" s="3" t="str">
        <f t="shared" si="14"/>
        <v>Questions - Fragen</v>
      </c>
      <c r="B344" t="str">
        <f>pos(Questions!E329)</f>
        <v>$E$329</v>
      </c>
      <c r="C344" t="e">
        <f t="shared" ca="1" si="15"/>
        <v>#REF!</v>
      </c>
    </row>
    <row r="345" spans="1:3">
      <c r="A345" s="3" t="str">
        <f t="shared" si="14"/>
        <v>Questions - Fragen</v>
      </c>
      <c r="B345" t="str">
        <f>pos(Questions!E330)</f>
        <v>$E$330</v>
      </c>
      <c r="C345" t="e">
        <f t="shared" ca="1" si="15"/>
        <v>#REF!</v>
      </c>
    </row>
    <row r="346" spans="1:3">
      <c r="A346" s="3" t="str">
        <f t="shared" si="14"/>
        <v>Questions - Fragen</v>
      </c>
      <c r="B346" t="str">
        <f>pos(Questions!E339)</f>
        <v>$E$339</v>
      </c>
      <c r="C346" t="e">
        <f t="shared" ca="1" si="15"/>
        <v>#REF!</v>
      </c>
    </row>
    <row r="347" spans="1:3">
      <c r="A347" s="3" t="str">
        <f t="shared" si="14"/>
        <v>Questions - Fragen</v>
      </c>
      <c r="B347" t="str">
        <f>pos(Questions!E340)</f>
        <v>$E$340</v>
      </c>
      <c r="C347" t="e">
        <f t="shared" ca="1" si="15"/>
        <v>#REF!</v>
      </c>
    </row>
    <row r="348" spans="1:3">
      <c r="A348" s="3" t="str">
        <f t="shared" si="14"/>
        <v>Questions - Fragen</v>
      </c>
      <c r="B348" t="str">
        <f>pos(Questions!E341)</f>
        <v>$E$341</v>
      </c>
      <c r="C348" t="e">
        <f t="shared" ca="1" si="15"/>
        <v>#REF!</v>
      </c>
    </row>
    <row r="349" spans="1:3">
      <c r="A349" s="3" t="str">
        <f t="shared" si="14"/>
        <v>Questions - Fragen</v>
      </c>
      <c r="B349" t="str">
        <f>pos(Questions!E350)</f>
        <v>$E$350</v>
      </c>
      <c r="C349" t="e">
        <f t="shared" ca="1" si="15"/>
        <v>#REF!</v>
      </c>
    </row>
    <row r="350" spans="1:3">
      <c r="A350" s="3" t="str">
        <f t="shared" si="14"/>
        <v>Questions - Fragen</v>
      </c>
      <c r="B350" t="str">
        <f>pos(Questions!E351)</f>
        <v>$E$351</v>
      </c>
      <c r="C350" t="e">
        <f t="shared" ca="1" si="15"/>
        <v>#REF!</v>
      </c>
    </row>
    <row r="351" spans="1:3">
      <c r="A351" s="3" t="str">
        <f t="shared" si="14"/>
        <v>Questions - Fragen</v>
      </c>
      <c r="B351" t="str">
        <f>pos(Questions!E352)</f>
        <v>$E$352</v>
      </c>
      <c r="C351" t="e">
        <f t="shared" ca="1" si="15"/>
        <v>#REF!</v>
      </c>
    </row>
    <row r="352" spans="1:3">
      <c r="A352" s="3" t="str">
        <f t="shared" si="14"/>
        <v>Questions - Fragen</v>
      </c>
      <c r="B352" t="str">
        <f>pos(Questions!E361)</f>
        <v>$E$361</v>
      </c>
      <c r="C352" t="e">
        <f t="shared" ca="1" si="15"/>
        <v>#REF!</v>
      </c>
    </row>
    <row r="353" spans="1:3">
      <c r="A353" s="3" t="str">
        <f t="shared" si="14"/>
        <v>Questions - Fragen</v>
      </c>
      <c r="B353" t="str">
        <f>pos(Questions!E362)</f>
        <v>$E$362</v>
      </c>
      <c r="C353" t="e">
        <f t="shared" ca="1" si="15"/>
        <v>#REF!</v>
      </c>
    </row>
    <row r="354" spans="1:3">
      <c r="A354" s="3" t="str">
        <f t="shared" si="14"/>
        <v>Questions - Fragen</v>
      </c>
      <c r="B354" t="str">
        <f>pos(Questions!E363)</f>
        <v>$E$363</v>
      </c>
      <c r="C354" t="e">
        <f t="shared" ca="1" si="15"/>
        <v>#REF!</v>
      </c>
    </row>
    <row r="355" spans="1:3">
      <c r="A355" s="3" t="str">
        <f t="shared" si="14"/>
        <v>Questions - Fragen</v>
      </c>
      <c r="B355" t="str">
        <f>pos(Questions!E364)</f>
        <v>$E$364</v>
      </c>
      <c r="C355" t="e">
        <f t="shared" ca="1" si="15"/>
        <v>#REF!</v>
      </c>
    </row>
    <row r="356" spans="1:3">
      <c r="A356" s="3" t="str">
        <f t="shared" si="14"/>
        <v>Questions - Fragen</v>
      </c>
      <c r="B356" t="str">
        <f>pos(Questions!E365)</f>
        <v>$E$365</v>
      </c>
      <c r="C356" t="e">
        <f t="shared" ca="1" si="15"/>
        <v>#REF!</v>
      </c>
    </row>
    <row r="357" spans="1:3">
      <c r="A357" s="3" t="str">
        <f t="shared" si="14"/>
        <v>Questions - Fragen</v>
      </c>
      <c r="B357" t="str">
        <f>pos(Questions!F13)</f>
        <v>$F$13</v>
      </c>
      <c r="C357" t="e">
        <f t="shared" ca="1" si="15"/>
        <v>#REF!</v>
      </c>
    </row>
    <row r="358" spans="1:3">
      <c r="A358" s="3" t="str">
        <f t="shared" si="14"/>
        <v>Questions - Fragen</v>
      </c>
      <c r="B358" t="str">
        <f>pos(Questions!F14)</f>
        <v>$F$14</v>
      </c>
      <c r="C358" t="e">
        <f t="shared" ca="1" si="15"/>
        <v>#REF!</v>
      </c>
    </row>
    <row r="359" spans="1:3">
      <c r="A359" s="3" t="str">
        <f t="shared" si="14"/>
        <v>Questions - Fragen</v>
      </c>
      <c r="B359" t="str">
        <f>pos(Questions!F15)</f>
        <v>$F$15</v>
      </c>
      <c r="C359" t="e">
        <f t="shared" ca="1" si="15"/>
        <v>#REF!</v>
      </c>
    </row>
    <row r="360" spans="1:3">
      <c r="A360" s="3" t="str">
        <f t="shared" si="14"/>
        <v>Questions - Fragen</v>
      </c>
      <c r="B360" t="str">
        <f>pos(Questions!F16)</f>
        <v>$F$16</v>
      </c>
      <c r="C360" t="e">
        <f t="shared" ca="1" si="15"/>
        <v>#REF!</v>
      </c>
    </row>
    <row r="361" spans="1:3">
      <c r="A361" s="3" t="str">
        <f t="shared" si="14"/>
        <v>Questions - Fragen</v>
      </c>
      <c r="B361" t="str">
        <f>pos(Questions!F17)</f>
        <v>$F$17</v>
      </c>
      <c r="C361" t="e">
        <f t="shared" ca="1" si="15"/>
        <v>#REF!</v>
      </c>
    </row>
    <row r="362" spans="1:3">
      <c r="A362" s="3" t="str">
        <f t="shared" si="14"/>
        <v>Questions - Fragen</v>
      </c>
      <c r="B362" t="str">
        <f>pos(Questions!F18)</f>
        <v>$F$18</v>
      </c>
      <c r="C362" t="e">
        <f t="shared" ca="1" si="15"/>
        <v>#REF!</v>
      </c>
    </row>
    <row r="363" spans="1:3">
      <c r="A363" s="3" t="str">
        <f t="shared" si="14"/>
        <v>Questions - Fragen</v>
      </c>
      <c r="B363" t="str">
        <f>pos(Questions!F19)</f>
        <v>$F$19</v>
      </c>
      <c r="C363" t="e">
        <f t="shared" ca="1" si="15"/>
        <v>#REF!</v>
      </c>
    </row>
    <row r="364" spans="1:3">
      <c r="A364" s="3" t="str">
        <f t="shared" si="14"/>
        <v>Questions - Fragen</v>
      </c>
      <c r="B364" t="str">
        <f>pos(Questions!F23)</f>
        <v>$F$23</v>
      </c>
      <c r="C364" t="e">
        <f t="shared" ca="1" si="15"/>
        <v>#REF!</v>
      </c>
    </row>
    <row r="365" spans="1:3">
      <c r="A365" s="3" t="str">
        <f t="shared" si="14"/>
        <v>Questions - Fragen</v>
      </c>
      <c r="B365" t="str">
        <f>pos(Questions!F24)</f>
        <v>$F$24</v>
      </c>
      <c r="C365" t="e">
        <f t="shared" ca="1" si="15"/>
        <v>#REF!</v>
      </c>
    </row>
    <row r="366" spans="1:3">
      <c r="A366" s="3" t="str">
        <f t="shared" si="14"/>
        <v>Questions - Fragen</v>
      </c>
      <c r="B366" t="str">
        <f>pos(Questions!F26)</f>
        <v>$F$26</v>
      </c>
      <c r="C366" t="e">
        <f t="shared" ca="1" si="15"/>
        <v>#REF!</v>
      </c>
    </row>
    <row r="367" spans="1:3">
      <c r="A367" s="3" t="str">
        <f t="shared" si="14"/>
        <v>Questions - Fragen</v>
      </c>
      <c r="B367" t="str">
        <f>pos(Questions!F27)</f>
        <v>$F$27</v>
      </c>
      <c r="C367" t="e">
        <f t="shared" ca="1" si="15"/>
        <v>#REF!</v>
      </c>
    </row>
    <row r="368" spans="1:3">
      <c r="A368" s="3" t="str">
        <f t="shared" si="14"/>
        <v>Questions - Fragen</v>
      </c>
      <c r="B368" t="str">
        <f>pos(Questions!F29)</f>
        <v>$F$29</v>
      </c>
      <c r="C368" t="e">
        <f t="shared" ca="1" si="15"/>
        <v>#REF!</v>
      </c>
    </row>
    <row r="369" spans="1:3">
      <c r="A369" s="3" t="str">
        <f t="shared" si="14"/>
        <v>Questions - Fragen</v>
      </c>
      <c r="B369" t="str">
        <f>pos(Questions!F30)</f>
        <v>$F$30</v>
      </c>
      <c r="C369" t="e">
        <f t="shared" ca="1" si="15"/>
        <v>#REF!</v>
      </c>
    </row>
    <row r="370" spans="1:3">
      <c r="A370" s="3" t="str">
        <f t="shared" si="14"/>
        <v>Questions - Fragen</v>
      </c>
      <c r="B370" t="str">
        <f>pos(Questions!F32)</f>
        <v>$F$32</v>
      </c>
      <c r="C370" t="e">
        <f t="shared" ca="1" si="15"/>
        <v>#REF!</v>
      </c>
    </row>
    <row r="371" spans="1:3">
      <c r="A371" s="3" t="str">
        <f t="shared" si="14"/>
        <v>Questions - Fragen</v>
      </c>
      <c r="B371" t="str">
        <f>pos(Questions!F33)</f>
        <v>$F$33</v>
      </c>
      <c r="C371" t="e">
        <f t="shared" ca="1" si="15"/>
        <v>#REF!</v>
      </c>
    </row>
    <row r="372" spans="1:3">
      <c r="A372" s="3" t="str">
        <f t="shared" si="14"/>
        <v>Questions - Fragen</v>
      </c>
      <c r="B372" t="str">
        <f>pos(Questions!F35)</f>
        <v>$F$35</v>
      </c>
      <c r="C372" t="e">
        <f t="shared" ca="1" si="15"/>
        <v>#REF!</v>
      </c>
    </row>
    <row r="373" spans="1:3">
      <c r="A373" s="3" t="str">
        <f t="shared" si="14"/>
        <v>Questions - Fragen</v>
      </c>
      <c r="B373" t="str">
        <f>pos(Questions!F36)</f>
        <v>$F$36</v>
      </c>
      <c r="C373" t="e">
        <f t="shared" ca="1" si="15"/>
        <v>#REF!</v>
      </c>
    </row>
    <row r="374" spans="1:3">
      <c r="A374" s="3" t="str">
        <f t="shared" si="14"/>
        <v>Questions - Fragen</v>
      </c>
      <c r="B374" t="str">
        <f>pos(Questions!F40)</f>
        <v>$F$40</v>
      </c>
      <c r="C374" t="e">
        <f t="shared" ca="1" si="15"/>
        <v>#REF!</v>
      </c>
    </row>
    <row r="375" spans="1:3">
      <c r="A375" s="3" t="str">
        <f t="shared" si="14"/>
        <v>Questions - Fragen</v>
      </c>
      <c r="B375" t="str">
        <f>pos(Questions!F41)</f>
        <v>$F$41</v>
      </c>
      <c r="C375" t="e">
        <f t="shared" ca="1" si="15"/>
        <v>#REF!</v>
      </c>
    </row>
    <row r="376" spans="1:3">
      <c r="A376" s="3" t="str">
        <f t="shared" si="14"/>
        <v>Questions - Fragen</v>
      </c>
      <c r="B376" t="str">
        <f>pos(Questions!F43)</f>
        <v>$F$43</v>
      </c>
      <c r="C376" t="e">
        <f t="shared" ca="1" si="15"/>
        <v>#REF!</v>
      </c>
    </row>
    <row r="377" spans="1:3">
      <c r="A377" s="3" t="str">
        <f t="shared" ref="A377:A409" si="16">$A$115</f>
        <v>Questions - Fragen</v>
      </c>
      <c r="B377" t="str">
        <f>pos(Questions!F44)</f>
        <v>$F$44</v>
      </c>
      <c r="C377" t="e">
        <f t="shared" ca="1" si="15"/>
        <v>#REF!</v>
      </c>
    </row>
    <row r="378" spans="1:3">
      <c r="A378" s="3" t="str">
        <f t="shared" si="16"/>
        <v>Questions - Fragen</v>
      </c>
      <c r="B378" t="str">
        <f>pos(Questions!F46)</f>
        <v>$F$46</v>
      </c>
      <c r="C378" t="e">
        <f t="shared" ca="1" si="15"/>
        <v>#REF!</v>
      </c>
    </row>
    <row r="379" spans="1:3">
      <c r="A379" s="3" t="str">
        <f t="shared" si="16"/>
        <v>Questions - Fragen</v>
      </c>
      <c r="B379" t="str">
        <f>pos(Questions!F47)</f>
        <v>$F$47</v>
      </c>
      <c r="C379" t="e">
        <f t="shared" ca="1" si="15"/>
        <v>#REF!</v>
      </c>
    </row>
    <row r="380" spans="1:3">
      <c r="A380" s="3" t="str">
        <f t="shared" si="16"/>
        <v>Questions - Fragen</v>
      </c>
      <c r="B380" t="str">
        <f>pos(Questions!F49)</f>
        <v>$F$49</v>
      </c>
      <c r="C380" t="e">
        <f t="shared" ca="1" si="15"/>
        <v>#REF!</v>
      </c>
    </row>
    <row r="381" spans="1:3">
      <c r="A381" s="3" t="str">
        <f t="shared" si="16"/>
        <v>Questions - Fragen</v>
      </c>
      <c r="B381" t="str">
        <f>pos(Questions!F50)</f>
        <v>$F$50</v>
      </c>
      <c r="C381" t="e">
        <f t="shared" ca="1" si="15"/>
        <v>#REF!</v>
      </c>
    </row>
    <row r="382" spans="1:3">
      <c r="A382" s="3" t="str">
        <f t="shared" si="16"/>
        <v>Questions - Fragen</v>
      </c>
      <c r="B382" t="str">
        <f>pos(Questions!F52)</f>
        <v>$F$52</v>
      </c>
      <c r="C382" t="e">
        <f t="shared" ca="1" si="15"/>
        <v>#REF!</v>
      </c>
    </row>
    <row r="383" spans="1:3">
      <c r="A383" s="3" t="str">
        <f t="shared" si="16"/>
        <v>Questions - Fragen</v>
      </c>
      <c r="B383" t="str">
        <f>pos(Questions!F53)</f>
        <v>$F$53</v>
      </c>
      <c r="C383" t="e">
        <f t="shared" ca="1" si="15"/>
        <v>#REF!</v>
      </c>
    </row>
    <row r="384" spans="1:3">
      <c r="A384" s="3" t="str">
        <f t="shared" si="16"/>
        <v>Questions - Fragen</v>
      </c>
      <c r="B384" t="str">
        <f>pos(Questions!F55)</f>
        <v>$F$55</v>
      </c>
      <c r="C384" t="e">
        <f t="shared" ca="1" si="15"/>
        <v>#REF!</v>
      </c>
    </row>
    <row r="385" spans="1:3">
      <c r="A385" s="3" t="str">
        <f t="shared" si="16"/>
        <v>Questions - Fragen</v>
      </c>
      <c r="B385" t="str">
        <f>pos(Questions!F57)</f>
        <v>$F$57</v>
      </c>
      <c r="C385" t="e">
        <f t="shared" ca="1" si="15"/>
        <v>#REF!</v>
      </c>
    </row>
    <row r="386" spans="1:3">
      <c r="A386" s="3" t="str">
        <f t="shared" si="16"/>
        <v>Questions - Fragen</v>
      </c>
      <c r="B386" t="str">
        <f>pos(Questions!F59)</f>
        <v>$F$59</v>
      </c>
      <c r="C386" t="e">
        <f t="shared" ca="1" si="15"/>
        <v>#REF!</v>
      </c>
    </row>
    <row r="387" spans="1:3">
      <c r="A387" s="3" t="str">
        <f t="shared" si="16"/>
        <v>Questions - Fragen</v>
      </c>
      <c r="B387" t="str">
        <f>pos(Questions!F60)</f>
        <v>$F$60</v>
      </c>
      <c r="C387" t="e">
        <f t="shared" ca="1" si="15"/>
        <v>#REF!</v>
      </c>
    </row>
    <row r="388" spans="1:3">
      <c r="A388" s="3" t="str">
        <f t="shared" si="16"/>
        <v>Questions - Fragen</v>
      </c>
      <c r="B388" t="str">
        <f>pos(Questions!F62)</f>
        <v>$F$62</v>
      </c>
      <c r="C388" t="e">
        <f t="shared" ca="1" si="15"/>
        <v>#REF!</v>
      </c>
    </row>
    <row r="389" spans="1:3">
      <c r="A389" s="3" t="str">
        <f t="shared" si="16"/>
        <v>Questions - Fragen</v>
      </c>
      <c r="B389" t="str">
        <f>pos(Questions!F63)</f>
        <v>$F$63</v>
      </c>
      <c r="C389" t="e">
        <f t="shared" ca="1" si="15"/>
        <v>#REF!</v>
      </c>
    </row>
    <row r="390" spans="1:3">
      <c r="A390" s="3" t="str">
        <f t="shared" si="16"/>
        <v>Questions - Fragen</v>
      </c>
      <c r="B390" t="str">
        <f>pos(Questions!F64)</f>
        <v>$F$64</v>
      </c>
      <c r="C390" t="e">
        <f t="shared" ca="1" si="15"/>
        <v>#REF!</v>
      </c>
    </row>
    <row r="391" spans="1:3">
      <c r="A391" s="3" t="str">
        <f t="shared" si="16"/>
        <v>Questions - Fragen</v>
      </c>
      <c r="B391" t="str">
        <f>pos(Questions!F65)</f>
        <v>$F$65</v>
      </c>
      <c r="C391" t="e">
        <f t="shared" ca="1" si="15"/>
        <v>#REF!</v>
      </c>
    </row>
    <row r="392" spans="1:3">
      <c r="A392" s="3" t="str">
        <f t="shared" si="16"/>
        <v>Questions - Fragen</v>
      </c>
      <c r="B392" t="str">
        <f>pos(Questions!F66)</f>
        <v>$F$66</v>
      </c>
      <c r="C392" t="e">
        <f t="shared" ca="1" si="15"/>
        <v>#REF!</v>
      </c>
    </row>
    <row r="393" spans="1:3">
      <c r="A393" s="3" t="str">
        <f t="shared" si="16"/>
        <v>Questions - Fragen</v>
      </c>
      <c r="B393" t="str">
        <f>pos(Questions!F67)</f>
        <v>$F$67</v>
      </c>
      <c r="C393" t="e">
        <f t="shared" ca="1" si="15"/>
        <v>#REF!</v>
      </c>
    </row>
    <row r="394" spans="1:3">
      <c r="A394" s="3" t="str">
        <f t="shared" si="16"/>
        <v>Questions - Fragen</v>
      </c>
      <c r="B394" t="str">
        <f>pos(Questions!F68)</f>
        <v>$F$68</v>
      </c>
      <c r="C394" t="e">
        <f t="shared" ca="1" si="15"/>
        <v>#REF!</v>
      </c>
    </row>
    <row r="395" spans="1:3">
      <c r="A395" s="3" t="str">
        <f t="shared" si="16"/>
        <v>Questions - Fragen</v>
      </c>
      <c r="B395" t="str">
        <f>pos(Questions!F72)</f>
        <v>$F$72</v>
      </c>
      <c r="C395" t="e">
        <f t="shared" ca="1" si="15"/>
        <v>#REF!</v>
      </c>
    </row>
    <row r="396" spans="1:3">
      <c r="A396" s="3" t="str">
        <f t="shared" si="16"/>
        <v>Questions - Fragen</v>
      </c>
      <c r="B396" t="str">
        <f>pos(Questions!F73)</f>
        <v>$F$73</v>
      </c>
      <c r="C396" t="e">
        <f t="shared" ca="1" si="15"/>
        <v>#REF!</v>
      </c>
    </row>
    <row r="397" spans="1:3">
      <c r="A397" s="3" t="str">
        <f t="shared" si="16"/>
        <v>Questions - Fragen</v>
      </c>
      <c r="B397" t="str">
        <f>pos(Questions!F74)</f>
        <v>$F$74</v>
      </c>
      <c r="C397" t="e">
        <f t="shared" ca="1" si="15"/>
        <v>#REF!</v>
      </c>
    </row>
    <row r="398" spans="1:3">
      <c r="A398" s="3" t="str">
        <f t="shared" si="16"/>
        <v>Questions - Fragen</v>
      </c>
      <c r="B398" t="str">
        <f>pos(Questions!F83)</f>
        <v>$F$83</v>
      </c>
      <c r="C398" t="e">
        <f t="shared" ca="1" si="15"/>
        <v>#REF!</v>
      </c>
    </row>
    <row r="399" spans="1:3">
      <c r="A399" s="3" t="str">
        <f t="shared" si="16"/>
        <v>Questions - Fragen</v>
      </c>
      <c r="B399" t="str">
        <f>pos(Questions!F84)</f>
        <v>$F$84</v>
      </c>
      <c r="C399" t="e">
        <f t="shared" ca="1" si="15"/>
        <v>#REF!</v>
      </c>
    </row>
    <row r="400" spans="1:3">
      <c r="A400" s="3" t="str">
        <f t="shared" si="16"/>
        <v>Questions - Fragen</v>
      </c>
      <c r="B400" t="str">
        <f>pos(Questions!F85)</f>
        <v>$F$85</v>
      </c>
      <c r="C400" t="e">
        <f t="shared" ca="1" si="15"/>
        <v>#REF!</v>
      </c>
    </row>
    <row r="401" spans="1:3">
      <c r="A401" s="3" t="str">
        <f t="shared" si="16"/>
        <v>Questions - Fragen</v>
      </c>
      <c r="B401" t="str">
        <f>pos(Questions!F94)</f>
        <v>$F$94</v>
      </c>
      <c r="C401" t="e">
        <f t="shared" ca="1" si="15"/>
        <v>#REF!</v>
      </c>
    </row>
    <row r="402" spans="1:3">
      <c r="A402" s="3" t="str">
        <f t="shared" si="16"/>
        <v>Questions - Fragen</v>
      </c>
      <c r="B402" t="str">
        <f>pos(Questions!F95)</f>
        <v>$F$95</v>
      </c>
      <c r="C402" t="e">
        <f t="shared" ca="1" si="15"/>
        <v>#REF!</v>
      </c>
    </row>
    <row r="403" spans="1:3">
      <c r="A403" s="3" t="str">
        <f t="shared" si="16"/>
        <v>Questions - Fragen</v>
      </c>
      <c r="B403" t="str">
        <f>pos(Questions!F98)</f>
        <v>$F$98</v>
      </c>
      <c r="C403" t="e">
        <f t="shared" ca="1" si="15"/>
        <v>#REF!</v>
      </c>
    </row>
    <row r="404" spans="1:3">
      <c r="A404" s="3" t="str">
        <f t="shared" si="16"/>
        <v>Questions - Fragen</v>
      </c>
      <c r="B404" t="str">
        <f>pos(Questions!F105)</f>
        <v>$F$105</v>
      </c>
      <c r="C404" t="e">
        <f t="shared" ca="1" si="15"/>
        <v>#REF!</v>
      </c>
    </row>
    <row r="405" spans="1:3">
      <c r="A405" s="3" t="str">
        <f t="shared" si="16"/>
        <v>Questions - Fragen</v>
      </c>
      <c r="B405" t="str">
        <f>pos(Questions!F106)</f>
        <v>$F$106</v>
      </c>
      <c r="C405" t="e">
        <f t="shared" ca="1" si="15"/>
        <v>#REF!</v>
      </c>
    </row>
    <row r="406" spans="1:3">
      <c r="A406" s="3" t="str">
        <f t="shared" si="16"/>
        <v>Questions - Fragen</v>
      </c>
      <c r="B406" t="str">
        <f>pos(Questions!F107)</f>
        <v>$F$107</v>
      </c>
      <c r="C406" t="e">
        <f t="shared" ca="1" si="15"/>
        <v>#REF!</v>
      </c>
    </row>
    <row r="407" spans="1:3">
      <c r="A407" s="3" t="str">
        <f t="shared" si="16"/>
        <v>Questions - Fragen</v>
      </c>
      <c r="B407" t="str">
        <f>pos(Questions!F116)</f>
        <v>$F$116</v>
      </c>
      <c r="C407" t="e">
        <f t="shared" ca="1" si="15"/>
        <v>#REF!</v>
      </c>
    </row>
    <row r="408" spans="1:3">
      <c r="A408" s="3" t="str">
        <f t="shared" si="16"/>
        <v>Questions - Fragen</v>
      </c>
      <c r="B408" t="str">
        <f>pos(Questions!F117)</f>
        <v>$F$117</v>
      </c>
      <c r="C408" t="e">
        <f t="shared" ca="1" si="15"/>
        <v>#REF!</v>
      </c>
    </row>
    <row r="409" spans="1:3">
      <c r="A409" s="3" t="str">
        <f t="shared" si="16"/>
        <v>Questions - Fragen</v>
      </c>
      <c r="B409" t="str">
        <f>pos(Questions!F118)</f>
        <v>$F$118</v>
      </c>
      <c r="C409" t="e">
        <f t="shared" ca="1" si="15"/>
        <v>#REF!</v>
      </c>
    </row>
    <row r="410" spans="1:3">
      <c r="A410" s="3" t="str">
        <f t="shared" ref="A410:A427" si="17">$A$115</f>
        <v>Questions - Fragen</v>
      </c>
      <c r="B410" t="str">
        <f>pos(Questions!F128)</f>
        <v>$F$128</v>
      </c>
      <c r="C410" t="e">
        <f t="shared" ca="1" si="15"/>
        <v>#REF!</v>
      </c>
    </row>
    <row r="411" spans="1:3">
      <c r="A411" s="3" t="str">
        <f t="shared" si="17"/>
        <v>Questions - Fragen</v>
      </c>
      <c r="B411" t="str">
        <f>pos(Questions!F129)</f>
        <v>$F$129</v>
      </c>
      <c r="C411" t="e">
        <f t="shared" ca="1" si="15"/>
        <v>#REF!</v>
      </c>
    </row>
    <row r="412" spans="1:3">
      <c r="A412" s="3" t="str">
        <f t="shared" si="17"/>
        <v>Questions - Fragen</v>
      </c>
      <c r="B412" t="str">
        <f>pos(Questions!F130)</f>
        <v>$F$130</v>
      </c>
      <c r="C412" t="e">
        <f t="shared" ca="1" si="15"/>
        <v>#REF!</v>
      </c>
    </row>
    <row r="413" spans="1:3">
      <c r="A413" s="3" t="str">
        <f t="shared" si="17"/>
        <v>Questions - Fragen</v>
      </c>
      <c r="B413" t="str">
        <f>pos(Questions!F139)</f>
        <v>$F$139</v>
      </c>
      <c r="C413" t="e">
        <f t="shared" ca="1" si="15"/>
        <v>#REF!</v>
      </c>
    </row>
    <row r="414" spans="1:3">
      <c r="A414" s="3" t="str">
        <f t="shared" si="17"/>
        <v>Questions - Fragen</v>
      </c>
      <c r="B414" t="str">
        <f>pos(Questions!F140)</f>
        <v>$F$140</v>
      </c>
      <c r="C414" t="e">
        <f t="shared" ca="1" si="15"/>
        <v>#REF!</v>
      </c>
    </row>
    <row r="415" spans="1:3">
      <c r="A415" s="3" t="str">
        <f t="shared" si="17"/>
        <v>Questions - Fragen</v>
      </c>
      <c r="B415" t="str">
        <f>pos(Questions!F141)</f>
        <v>$F$141</v>
      </c>
      <c r="C415" t="e">
        <f t="shared" ca="1" si="15"/>
        <v>#REF!</v>
      </c>
    </row>
    <row r="416" spans="1:3">
      <c r="A416" s="3" t="str">
        <f t="shared" si="17"/>
        <v>Questions - Fragen</v>
      </c>
      <c r="B416" t="str">
        <f>pos(Questions!F150)</f>
        <v>$F$150</v>
      </c>
      <c r="C416" t="e">
        <f t="shared" ca="1" si="15"/>
        <v>#REF!</v>
      </c>
    </row>
    <row r="417" spans="1:3">
      <c r="A417" s="3" t="str">
        <f t="shared" si="17"/>
        <v>Questions - Fragen</v>
      </c>
      <c r="B417" t="str">
        <f>pos(Questions!F151)</f>
        <v>$F$151</v>
      </c>
      <c r="C417" t="e">
        <f t="shared" ca="1" si="15"/>
        <v>#REF!</v>
      </c>
    </row>
    <row r="418" spans="1:3">
      <c r="A418" s="3" t="str">
        <f t="shared" si="17"/>
        <v>Questions - Fragen</v>
      </c>
      <c r="B418" t="str">
        <f>pos(Questions!F152)</f>
        <v>$F$152</v>
      </c>
      <c r="C418" t="e">
        <f t="shared" ca="1" si="15"/>
        <v>#REF!</v>
      </c>
    </row>
    <row r="419" spans="1:3">
      <c r="A419" s="3" t="str">
        <f t="shared" si="17"/>
        <v>Questions - Fragen</v>
      </c>
      <c r="B419" t="str">
        <f>pos(Questions!F161)</f>
        <v>$F$161</v>
      </c>
      <c r="C419" t="e">
        <f t="shared" ca="1" si="15"/>
        <v>#REF!</v>
      </c>
    </row>
    <row r="420" spans="1:3">
      <c r="A420" s="3" t="str">
        <f t="shared" si="17"/>
        <v>Questions - Fragen</v>
      </c>
      <c r="B420" t="str">
        <f>pos(Questions!F162)</f>
        <v>$F$162</v>
      </c>
      <c r="C420" t="e">
        <f t="shared" ca="1" si="15"/>
        <v>#REF!</v>
      </c>
    </row>
    <row r="421" spans="1:3">
      <c r="A421" s="3" t="str">
        <f t="shared" si="17"/>
        <v>Questions - Fragen</v>
      </c>
      <c r="B421" t="str">
        <f>pos(Questions!F163)</f>
        <v>$F$163</v>
      </c>
      <c r="C421" t="e">
        <f t="shared" ca="1" si="15"/>
        <v>#REF!</v>
      </c>
    </row>
    <row r="422" spans="1:3">
      <c r="A422" s="3" t="str">
        <f t="shared" si="17"/>
        <v>Questions - Fragen</v>
      </c>
      <c r="B422" t="str">
        <f>pos(Questions!F172)</f>
        <v>$F$172</v>
      </c>
      <c r="C422" t="e">
        <f t="shared" ca="1" si="15"/>
        <v>#REF!</v>
      </c>
    </row>
    <row r="423" spans="1:3">
      <c r="A423" s="3" t="str">
        <f t="shared" si="17"/>
        <v>Questions - Fragen</v>
      </c>
      <c r="B423" t="str">
        <f>pos(Questions!F173)</f>
        <v>$F$173</v>
      </c>
      <c r="C423" t="e">
        <f t="shared" ca="1" si="15"/>
        <v>#REF!</v>
      </c>
    </row>
    <row r="424" spans="1:3">
      <c r="A424" s="3" t="str">
        <f t="shared" si="17"/>
        <v>Questions - Fragen</v>
      </c>
      <c r="B424" t="str">
        <f>pos(Questions!F174)</f>
        <v>$F$174</v>
      </c>
      <c r="C424" t="e">
        <f t="shared" ca="1" si="15"/>
        <v>#REF!</v>
      </c>
    </row>
    <row r="425" spans="1:3">
      <c r="A425" s="3" t="str">
        <f t="shared" si="17"/>
        <v>Questions - Fragen</v>
      </c>
      <c r="B425" t="str">
        <f>pos(Questions!F182)</f>
        <v>$F$182</v>
      </c>
      <c r="C425" t="e">
        <f t="shared" ca="1" si="15"/>
        <v>#REF!</v>
      </c>
    </row>
    <row r="426" spans="1:3">
      <c r="A426" s="3" t="str">
        <f t="shared" si="17"/>
        <v>Questions - Fragen</v>
      </c>
      <c r="B426" t="str">
        <f>pos(Questions!F183)</f>
        <v>$F$183</v>
      </c>
      <c r="C426" t="e">
        <f t="shared" ca="1" si="15"/>
        <v>#REF!</v>
      </c>
    </row>
    <row r="427" spans="1:3">
      <c r="A427" s="3" t="str">
        <f t="shared" si="17"/>
        <v>Questions - Fragen</v>
      </c>
      <c r="B427" t="str">
        <f>pos(Questions!F184)</f>
        <v>$F$184</v>
      </c>
      <c r="C427" t="e">
        <f t="shared" ca="1" si="15"/>
        <v>#REF!</v>
      </c>
    </row>
    <row r="428" spans="1:3">
      <c r="A428" s="3" t="str">
        <f t="shared" ref="A428:A448" si="18">$A$115</f>
        <v>Questions - Fragen</v>
      </c>
      <c r="B428" t="str">
        <f>pos(Questions!F193)</f>
        <v>$F$193</v>
      </c>
      <c r="C428" t="e">
        <f t="shared" ca="1" si="15"/>
        <v>#REF!</v>
      </c>
    </row>
    <row r="429" spans="1:3">
      <c r="A429" s="3" t="str">
        <f t="shared" si="18"/>
        <v>Questions - Fragen</v>
      </c>
      <c r="B429" t="str">
        <f>pos(Questions!F194)</f>
        <v>$F$194</v>
      </c>
      <c r="C429" t="e">
        <f t="shared" ca="1" si="15"/>
        <v>#REF!</v>
      </c>
    </row>
    <row r="430" spans="1:3">
      <c r="A430" s="3" t="str">
        <f t="shared" si="18"/>
        <v>Questions - Fragen</v>
      </c>
      <c r="B430" t="str">
        <f>pos(Questions!F195)</f>
        <v>$F$195</v>
      </c>
      <c r="C430" t="e">
        <f t="shared" ca="1" si="15"/>
        <v>#REF!</v>
      </c>
    </row>
    <row r="431" spans="1:3">
      <c r="A431" s="3" t="str">
        <f t="shared" si="18"/>
        <v>Questions - Fragen</v>
      </c>
      <c r="B431" t="str">
        <f>pos(Questions!F204)</f>
        <v>$F$204</v>
      </c>
      <c r="C431" t="e">
        <f t="shared" ca="1" si="15"/>
        <v>#REF!</v>
      </c>
    </row>
    <row r="432" spans="1:3">
      <c r="A432" s="3" t="str">
        <f t="shared" si="18"/>
        <v>Questions - Fragen</v>
      </c>
      <c r="B432" t="str">
        <f>pos(Questions!F205)</f>
        <v>$F$205</v>
      </c>
      <c r="C432" t="e">
        <f t="shared" ca="1" si="15"/>
        <v>#REF!</v>
      </c>
    </row>
    <row r="433" spans="1:3">
      <c r="A433" s="3" t="str">
        <f t="shared" si="18"/>
        <v>Questions - Fragen</v>
      </c>
      <c r="B433" t="str">
        <f>pos(Questions!F206)</f>
        <v>$F$206</v>
      </c>
      <c r="C433" t="e">
        <f t="shared" ca="1" si="15"/>
        <v>#REF!</v>
      </c>
    </row>
    <row r="434" spans="1:3">
      <c r="A434" s="3" t="str">
        <f t="shared" si="18"/>
        <v>Questions - Fragen</v>
      </c>
      <c r="B434" t="str">
        <f>pos(Questions!F216)</f>
        <v>$F$216</v>
      </c>
      <c r="C434" t="e">
        <f t="shared" ca="1" si="15"/>
        <v>#REF!</v>
      </c>
    </row>
    <row r="435" spans="1:3">
      <c r="A435" s="3" t="str">
        <f t="shared" si="18"/>
        <v>Questions - Fragen</v>
      </c>
      <c r="B435" t="str">
        <f>pos(Questions!F217)</f>
        <v>$F$217</v>
      </c>
      <c r="C435" t="e">
        <f t="shared" ca="1" si="15"/>
        <v>#REF!</v>
      </c>
    </row>
    <row r="436" spans="1:3">
      <c r="A436" s="3" t="str">
        <f t="shared" si="18"/>
        <v>Questions - Fragen</v>
      </c>
      <c r="B436" t="str">
        <f>pos(Questions!F218)</f>
        <v>$F$218</v>
      </c>
      <c r="C436" t="e">
        <f t="shared" ca="1" si="15"/>
        <v>#REF!</v>
      </c>
    </row>
    <row r="437" spans="1:3">
      <c r="A437" s="3" t="str">
        <f t="shared" si="18"/>
        <v>Questions - Fragen</v>
      </c>
      <c r="B437" t="str">
        <f>pos(Questions!F227)</f>
        <v>$F$227</v>
      </c>
      <c r="C437" t="e">
        <f t="shared" ca="1" si="15"/>
        <v>#REF!</v>
      </c>
    </row>
    <row r="438" spans="1:3">
      <c r="A438" s="3" t="str">
        <f t="shared" si="18"/>
        <v>Questions - Fragen</v>
      </c>
      <c r="B438" t="str">
        <f>pos(Questions!F228)</f>
        <v>$F$228</v>
      </c>
      <c r="C438" t="e">
        <f t="shared" ca="1" si="15"/>
        <v>#REF!</v>
      </c>
    </row>
    <row r="439" spans="1:3">
      <c r="A439" s="3" t="str">
        <f t="shared" si="18"/>
        <v>Questions - Fragen</v>
      </c>
      <c r="B439" t="str">
        <f>pos(Questions!F229)</f>
        <v>$F$229</v>
      </c>
      <c r="C439" t="e">
        <f t="shared" ca="1" si="15"/>
        <v>#REF!</v>
      </c>
    </row>
    <row r="440" spans="1:3">
      <c r="A440" s="3" t="str">
        <f t="shared" si="18"/>
        <v>Questions - Fragen</v>
      </c>
      <c r="B440" t="str">
        <f>pos(Questions!F238)</f>
        <v>$F$238</v>
      </c>
      <c r="C440" t="e">
        <f t="shared" ca="1" si="15"/>
        <v>#REF!</v>
      </c>
    </row>
    <row r="441" spans="1:3">
      <c r="A441" s="3" t="str">
        <f t="shared" si="18"/>
        <v>Questions - Fragen</v>
      </c>
      <c r="B441" t="str">
        <f>pos(Questions!F239)</f>
        <v>$F$239</v>
      </c>
      <c r="C441" t="e">
        <f t="shared" ca="1" si="15"/>
        <v>#REF!</v>
      </c>
    </row>
    <row r="442" spans="1:3">
      <c r="A442" s="3" t="str">
        <f t="shared" si="18"/>
        <v>Questions - Fragen</v>
      </c>
      <c r="B442" t="str">
        <f>pos(Questions!F240)</f>
        <v>$F$240</v>
      </c>
      <c r="C442" t="e">
        <f t="shared" ca="1" si="15"/>
        <v>#REF!</v>
      </c>
    </row>
    <row r="443" spans="1:3">
      <c r="A443" s="3" t="str">
        <f t="shared" si="18"/>
        <v>Questions - Fragen</v>
      </c>
      <c r="B443" t="str">
        <f>pos(Questions!F249)</f>
        <v>$F$249</v>
      </c>
      <c r="C443" t="e">
        <f t="shared" ca="1" si="15"/>
        <v>#REF!</v>
      </c>
    </row>
    <row r="444" spans="1:3">
      <c r="A444" s="3" t="str">
        <f t="shared" si="18"/>
        <v>Questions - Fragen</v>
      </c>
      <c r="B444" t="str">
        <f>pos(Questions!F250)</f>
        <v>$F$250</v>
      </c>
      <c r="C444" t="e">
        <f t="shared" ca="1" si="15"/>
        <v>#REF!</v>
      </c>
    </row>
    <row r="445" spans="1:3">
      <c r="A445" s="3" t="str">
        <f t="shared" si="18"/>
        <v>Questions - Fragen</v>
      </c>
      <c r="B445" t="str">
        <f>pos(Questions!F251)</f>
        <v>$F$251</v>
      </c>
      <c r="C445" t="e">
        <f t="shared" ca="1" si="15"/>
        <v>#REF!</v>
      </c>
    </row>
    <row r="446" spans="1:3">
      <c r="A446" s="3" t="str">
        <f t="shared" si="18"/>
        <v>Questions - Fragen</v>
      </c>
      <c r="B446" t="str">
        <f>pos(Questions!F260)</f>
        <v>$F$260</v>
      </c>
      <c r="C446" t="e">
        <f t="shared" ca="1" si="15"/>
        <v>#REF!</v>
      </c>
    </row>
    <row r="447" spans="1:3">
      <c r="A447" s="3" t="str">
        <f t="shared" si="18"/>
        <v>Questions - Fragen</v>
      </c>
      <c r="B447" t="str">
        <f>pos(Questions!F261)</f>
        <v>$F$261</v>
      </c>
      <c r="C447" t="e">
        <f t="shared" ca="1" si="15"/>
        <v>#REF!</v>
      </c>
    </row>
    <row r="448" spans="1:3">
      <c r="A448" s="3" t="str">
        <f t="shared" si="18"/>
        <v>Questions - Fragen</v>
      </c>
      <c r="B448" t="str">
        <f>pos(Questions!F262)</f>
        <v>$F$262</v>
      </c>
      <c r="C448" t="e">
        <f t="shared" ca="1" si="15"/>
        <v>#REF!</v>
      </c>
    </row>
    <row r="449" spans="1:3">
      <c r="A449" s="3" t="str">
        <f t="shared" ref="A449:A466" si="19">$A$115</f>
        <v>Questions - Fragen</v>
      </c>
      <c r="B449" t="str">
        <f>pos(Questions!F272)</f>
        <v>$F$272</v>
      </c>
      <c r="C449" t="e">
        <f t="shared" ca="1" si="15"/>
        <v>#REF!</v>
      </c>
    </row>
    <row r="450" spans="1:3">
      <c r="A450" s="3" t="str">
        <f t="shared" si="19"/>
        <v>Questions - Fragen</v>
      </c>
      <c r="B450" t="str">
        <f>pos(Questions!F273)</f>
        <v>$F$273</v>
      </c>
      <c r="C450" t="e">
        <f t="shared" ca="1" si="15"/>
        <v>#REF!</v>
      </c>
    </row>
    <row r="451" spans="1:3">
      <c r="A451" s="3" t="str">
        <f t="shared" si="19"/>
        <v>Questions - Fragen</v>
      </c>
      <c r="B451" t="str">
        <f>pos(Questions!F274)</f>
        <v>$F$274</v>
      </c>
      <c r="C451" t="e">
        <f t="shared" ca="1" si="15"/>
        <v>#REF!</v>
      </c>
    </row>
    <row r="452" spans="1:3">
      <c r="A452" s="3" t="str">
        <f t="shared" si="19"/>
        <v>Questions - Fragen</v>
      </c>
      <c r="B452" t="str">
        <f>pos(Questions!F283)</f>
        <v>$F$283</v>
      </c>
      <c r="C452" t="e">
        <f t="shared" ca="1" si="15"/>
        <v>#REF!</v>
      </c>
    </row>
    <row r="453" spans="1:3">
      <c r="A453" s="3" t="str">
        <f t="shared" si="19"/>
        <v>Questions - Fragen</v>
      </c>
      <c r="B453" t="str">
        <f>pos(Questions!F284)</f>
        <v>$F$284</v>
      </c>
      <c r="C453" t="e">
        <f t="shared" ca="1" si="15"/>
        <v>#REF!</v>
      </c>
    </row>
    <row r="454" spans="1:3">
      <c r="A454" s="3" t="str">
        <f t="shared" si="19"/>
        <v>Questions - Fragen</v>
      </c>
      <c r="B454" t="str">
        <f>pos(Questions!F285)</f>
        <v>$F$285</v>
      </c>
      <c r="C454" t="e">
        <f t="shared" ca="1" si="15"/>
        <v>#REF!</v>
      </c>
    </row>
    <row r="455" spans="1:3">
      <c r="A455" s="3" t="str">
        <f t="shared" si="19"/>
        <v>Questions - Fragen</v>
      </c>
      <c r="B455" t="str">
        <f>pos(Questions!F294)</f>
        <v>$F$294</v>
      </c>
      <c r="C455" t="e">
        <f t="shared" ca="1" si="15"/>
        <v>#REF!</v>
      </c>
    </row>
    <row r="456" spans="1:3">
      <c r="A456" s="3" t="str">
        <f t="shared" si="19"/>
        <v>Questions - Fragen</v>
      </c>
      <c r="B456" t="str">
        <f>pos(Questions!F295)</f>
        <v>$F$295</v>
      </c>
      <c r="C456" t="e">
        <f t="shared" ca="1" si="15"/>
        <v>#REF!</v>
      </c>
    </row>
    <row r="457" spans="1:3">
      <c r="A457" s="3" t="str">
        <f t="shared" si="19"/>
        <v>Questions - Fragen</v>
      </c>
      <c r="B457" t="str">
        <f>pos(Questions!F296)</f>
        <v>$F$296</v>
      </c>
      <c r="C457" t="e">
        <f t="shared" ca="1" si="15"/>
        <v>#REF!</v>
      </c>
    </row>
    <row r="458" spans="1:3">
      <c r="A458" s="3" t="str">
        <f t="shared" si="19"/>
        <v>Questions - Fragen</v>
      </c>
      <c r="B458" t="str">
        <f>pos(Questions!F305)</f>
        <v>$F$305</v>
      </c>
      <c r="C458" t="e">
        <f t="shared" ref="C458:C477" ca="1" si="20">IF(INDIRECT("'"&amp;A458&amp;"'!"&amp;B458)=0,"",INDIRECT("'"&amp;A458&amp;"'!"&amp;B458))</f>
        <v>#REF!</v>
      </c>
    </row>
    <row r="459" spans="1:3">
      <c r="A459" s="3" t="str">
        <f t="shared" si="19"/>
        <v>Questions - Fragen</v>
      </c>
      <c r="B459" t="str">
        <f>pos(Questions!F306)</f>
        <v>$F$306</v>
      </c>
      <c r="C459" t="e">
        <f t="shared" ca="1" si="20"/>
        <v>#REF!</v>
      </c>
    </row>
    <row r="460" spans="1:3">
      <c r="A460" s="3" t="str">
        <f t="shared" si="19"/>
        <v>Questions - Fragen</v>
      </c>
      <c r="B460" t="str">
        <f>pos(Questions!F307)</f>
        <v>$F$307</v>
      </c>
      <c r="C460" t="e">
        <f t="shared" ca="1" si="20"/>
        <v>#REF!</v>
      </c>
    </row>
    <row r="461" spans="1:3">
      <c r="A461" s="3" t="str">
        <f t="shared" si="19"/>
        <v>Questions - Fragen</v>
      </c>
      <c r="B461" t="str">
        <f>pos(Questions!F317)</f>
        <v>$F$317</v>
      </c>
      <c r="C461" t="e">
        <f t="shared" ca="1" si="20"/>
        <v>#REF!</v>
      </c>
    </row>
    <row r="462" spans="1:3">
      <c r="A462" s="3" t="str">
        <f t="shared" si="19"/>
        <v>Questions - Fragen</v>
      </c>
      <c r="B462" t="str">
        <f>pos(Questions!F318)</f>
        <v>$F$318</v>
      </c>
      <c r="C462" t="e">
        <f t="shared" ca="1" si="20"/>
        <v>#REF!</v>
      </c>
    </row>
    <row r="463" spans="1:3">
      <c r="A463" s="3" t="str">
        <f t="shared" si="19"/>
        <v>Questions - Fragen</v>
      </c>
      <c r="B463" t="str">
        <f>pos(Questions!F319)</f>
        <v>$F$319</v>
      </c>
      <c r="C463" t="e">
        <f t="shared" ca="1" si="20"/>
        <v>#REF!</v>
      </c>
    </row>
    <row r="464" spans="1:3">
      <c r="A464" s="3" t="str">
        <f t="shared" si="19"/>
        <v>Questions - Fragen</v>
      </c>
      <c r="B464" t="str">
        <f>pos(Questions!F328)</f>
        <v>$F$328</v>
      </c>
      <c r="C464" t="e">
        <f t="shared" ca="1" si="20"/>
        <v>#REF!</v>
      </c>
    </row>
    <row r="465" spans="1:3">
      <c r="A465" s="3" t="str">
        <f t="shared" si="19"/>
        <v>Questions - Fragen</v>
      </c>
      <c r="B465" t="str">
        <f>pos(Questions!F329)</f>
        <v>$F$329</v>
      </c>
      <c r="C465" t="e">
        <f t="shared" ca="1" si="20"/>
        <v>#REF!</v>
      </c>
    </row>
    <row r="466" spans="1:3">
      <c r="A466" s="3" t="str">
        <f t="shared" si="19"/>
        <v>Questions - Fragen</v>
      </c>
      <c r="B466" t="str">
        <f>pos(Questions!F330)</f>
        <v>$F$330</v>
      </c>
      <c r="C466" t="e">
        <f t="shared" ca="1" si="20"/>
        <v>#REF!</v>
      </c>
    </row>
    <row r="467" spans="1:3">
      <c r="A467" s="3" t="str">
        <f t="shared" ref="A467:A477" si="21">$A$115</f>
        <v>Questions - Fragen</v>
      </c>
      <c r="B467" t="str">
        <f>pos(Questions!F339)</f>
        <v>$F$339</v>
      </c>
      <c r="C467" t="e">
        <f t="shared" ca="1" si="20"/>
        <v>#REF!</v>
      </c>
    </row>
    <row r="468" spans="1:3">
      <c r="A468" s="3" t="str">
        <f t="shared" si="21"/>
        <v>Questions - Fragen</v>
      </c>
      <c r="B468" t="str">
        <f>pos(Questions!F340)</f>
        <v>$F$340</v>
      </c>
      <c r="C468" t="e">
        <f t="shared" ca="1" si="20"/>
        <v>#REF!</v>
      </c>
    </row>
    <row r="469" spans="1:3">
      <c r="A469" s="3" t="str">
        <f t="shared" si="21"/>
        <v>Questions - Fragen</v>
      </c>
      <c r="B469" t="str">
        <f>pos(Questions!F341)</f>
        <v>$F$341</v>
      </c>
      <c r="C469" t="e">
        <f t="shared" ca="1" si="20"/>
        <v>#REF!</v>
      </c>
    </row>
    <row r="470" spans="1:3">
      <c r="A470" s="3" t="str">
        <f t="shared" si="21"/>
        <v>Questions - Fragen</v>
      </c>
      <c r="B470" t="str">
        <f>pos(Questions!F350)</f>
        <v>$F$350</v>
      </c>
      <c r="C470" t="e">
        <f t="shared" ca="1" si="20"/>
        <v>#REF!</v>
      </c>
    </row>
    <row r="471" spans="1:3">
      <c r="A471" s="3" t="str">
        <f t="shared" si="21"/>
        <v>Questions - Fragen</v>
      </c>
      <c r="B471" t="str">
        <f>pos(Questions!F351)</f>
        <v>$F$351</v>
      </c>
      <c r="C471" t="e">
        <f t="shared" ca="1" si="20"/>
        <v>#REF!</v>
      </c>
    </row>
    <row r="472" spans="1:3">
      <c r="A472" s="3" t="str">
        <f t="shared" si="21"/>
        <v>Questions - Fragen</v>
      </c>
      <c r="B472" t="str">
        <f>pos(Questions!F352)</f>
        <v>$F$352</v>
      </c>
      <c r="C472" t="e">
        <f t="shared" ca="1" si="20"/>
        <v>#REF!</v>
      </c>
    </row>
    <row r="473" spans="1:3">
      <c r="A473" s="3" t="str">
        <f t="shared" si="21"/>
        <v>Questions - Fragen</v>
      </c>
      <c r="B473" t="str">
        <f>pos(Questions!F361)</f>
        <v>$F$361</v>
      </c>
      <c r="C473" t="e">
        <f t="shared" ca="1" si="20"/>
        <v>#REF!</v>
      </c>
    </row>
    <row r="474" spans="1:3">
      <c r="A474" s="3" t="str">
        <f t="shared" si="21"/>
        <v>Questions - Fragen</v>
      </c>
      <c r="B474" t="str">
        <f>pos(Questions!F362)</f>
        <v>$F$362</v>
      </c>
      <c r="C474" t="e">
        <f t="shared" ca="1" si="20"/>
        <v>#REF!</v>
      </c>
    </row>
    <row r="475" spans="1:3">
      <c r="A475" s="3" t="str">
        <f t="shared" si="21"/>
        <v>Questions - Fragen</v>
      </c>
      <c r="B475" t="str">
        <f>pos(Questions!F363)</f>
        <v>$F$363</v>
      </c>
      <c r="C475" t="e">
        <f t="shared" ca="1" si="20"/>
        <v>#REF!</v>
      </c>
    </row>
    <row r="476" spans="1:3">
      <c r="A476" s="3" t="str">
        <f t="shared" si="21"/>
        <v>Questions - Fragen</v>
      </c>
      <c r="B476" t="str">
        <f>pos(Questions!F364)</f>
        <v>$F$364</v>
      </c>
      <c r="C476" t="e">
        <f t="shared" ca="1" si="20"/>
        <v>#REF!</v>
      </c>
    </row>
    <row r="477" spans="1:3">
      <c r="A477" s="3" t="str">
        <f t="shared" si="21"/>
        <v>Questions - Fragen</v>
      </c>
      <c r="B477" t="str">
        <f>pos(Questions!F365)</f>
        <v>$F$365</v>
      </c>
      <c r="C477" t="e">
        <f t="shared" ca="1" si="20"/>
        <v>#REF!</v>
      </c>
    </row>
    <row r="478" spans="1:3">
      <c r="A478" s="3" t="s">
        <v>717</v>
      </c>
      <c r="B478" s="3" t="s">
        <v>718</v>
      </c>
      <c r="C478" t="e">
        <f t="shared" ca="1" si="15"/>
        <v>#REF!</v>
      </c>
    </row>
    <row r="479" spans="1:3">
      <c r="A479" s="3" t="str">
        <f>$A$478</f>
        <v>Report-Bericht</v>
      </c>
      <c r="B479" s="3" t="s">
        <v>719</v>
      </c>
      <c r="C479" t="e">
        <f t="shared" ca="1" si="15"/>
        <v>#REF!</v>
      </c>
    </row>
    <row r="480" spans="1:3">
      <c r="A480" s="3" t="str">
        <f>$A$478</f>
        <v>Report-Bericht</v>
      </c>
      <c r="B480" s="3" t="s">
        <v>720</v>
      </c>
      <c r="C480" t="e">
        <f t="shared" ca="1" si="15"/>
        <v>#REF!</v>
      </c>
    </row>
    <row r="481" spans="1:3">
      <c r="A481" s="3" t="str">
        <f>$A$478</f>
        <v>Report-Bericht</v>
      </c>
      <c r="B481" s="3" t="s">
        <v>721</v>
      </c>
      <c r="C481" t="e">
        <f t="shared" ca="1" si="15"/>
        <v>#REF!</v>
      </c>
    </row>
    <row r="482" spans="1:3">
      <c r="A482" s="3" t="s">
        <v>722</v>
      </c>
      <c r="B482" t="str">
        <f>pos(Actionplan!K12)</f>
        <v>$K$12</v>
      </c>
      <c r="C482" t="e">
        <f ca="1">IF(INDIRECT("'"&amp;A482&amp;"'!"&amp;B482)=0,"",INDIRECT("'"&amp;A482&amp;"'!"&amp;B482))</f>
        <v>#REF!</v>
      </c>
    </row>
    <row r="483" spans="1:3">
      <c r="A483" s="3" t="str">
        <f t="shared" ref="A483:A546" si="22">$A$482</f>
        <v>Actionplan-Maßnahmenplan</v>
      </c>
      <c r="B483" t="str">
        <f>pos(Actionplan!K13)</f>
        <v>$K$13</v>
      </c>
      <c r="C483" t="e">
        <f t="shared" ref="C483:C532" ca="1" si="23">IF(INDIRECT("'"&amp;A483&amp;"'!"&amp;B483)=0,"",INDIRECT("'"&amp;A483&amp;"'!"&amp;B483))</f>
        <v>#REF!</v>
      </c>
    </row>
    <row r="484" spans="1:3">
      <c r="A484" s="3" t="str">
        <f t="shared" si="22"/>
        <v>Actionplan-Maßnahmenplan</v>
      </c>
      <c r="B484" t="str">
        <f>pos(Actionplan!K14)</f>
        <v>$K$14</v>
      </c>
      <c r="C484" t="e">
        <f t="shared" ca="1" si="23"/>
        <v>#REF!</v>
      </c>
    </row>
    <row r="485" spans="1:3">
      <c r="A485" s="3" t="str">
        <f t="shared" si="22"/>
        <v>Actionplan-Maßnahmenplan</v>
      </c>
      <c r="B485" t="str">
        <f>pos(Actionplan!K15)</f>
        <v>$K$15</v>
      </c>
      <c r="C485" t="e">
        <f t="shared" ca="1" si="23"/>
        <v>#REF!</v>
      </c>
    </row>
    <row r="486" spans="1:3">
      <c r="A486" s="3" t="str">
        <f t="shared" si="22"/>
        <v>Actionplan-Maßnahmenplan</v>
      </c>
      <c r="B486" t="str">
        <f>pos(Actionplan!K16)</f>
        <v>$K$16</v>
      </c>
      <c r="C486" t="e">
        <f t="shared" ca="1" si="23"/>
        <v>#REF!</v>
      </c>
    </row>
    <row r="487" spans="1:3">
      <c r="A487" s="3" t="str">
        <f t="shared" si="22"/>
        <v>Actionplan-Maßnahmenplan</v>
      </c>
      <c r="B487" t="str">
        <f>pos(Actionplan!K17)</f>
        <v>$K$17</v>
      </c>
      <c r="C487" t="e">
        <f t="shared" ca="1" si="23"/>
        <v>#REF!</v>
      </c>
    </row>
    <row r="488" spans="1:3">
      <c r="A488" s="3" t="str">
        <f t="shared" si="22"/>
        <v>Actionplan-Maßnahmenplan</v>
      </c>
      <c r="B488" t="str">
        <f>pos(Actionplan!K18)</f>
        <v>$K$18</v>
      </c>
      <c r="C488" t="e">
        <f t="shared" ca="1" si="23"/>
        <v>#REF!</v>
      </c>
    </row>
    <row r="489" spans="1:3">
      <c r="A489" s="3" t="str">
        <f t="shared" si="22"/>
        <v>Actionplan-Maßnahmenplan</v>
      </c>
      <c r="B489" t="str">
        <f>pos(Actionplan!K19)</f>
        <v>$K$19</v>
      </c>
      <c r="C489" t="e">
        <f t="shared" ca="1" si="23"/>
        <v>#REF!</v>
      </c>
    </row>
    <row r="490" spans="1:3">
      <c r="A490" s="3" t="str">
        <f t="shared" si="22"/>
        <v>Actionplan-Maßnahmenplan</v>
      </c>
      <c r="B490" t="str">
        <f>pos(Actionplan!K20)</f>
        <v>$K$20</v>
      </c>
      <c r="C490" t="e">
        <f t="shared" ca="1" si="23"/>
        <v>#REF!</v>
      </c>
    </row>
    <row r="491" spans="1:3">
      <c r="A491" s="3" t="str">
        <f t="shared" si="22"/>
        <v>Actionplan-Maßnahmenplan</v>
      </c>
      <c r="B491" t="str">
        <f>pos(Actionplan!K21)</f>
        <v>$K$21</v>
      </c>
      <c r="C491" t="e">
        <f t="shared" ca="1" si="23"/>
        <v>#REF!</v>
      </c>
    </row>
    <row r="492" spans="1:3">
      <c r="A492" s="3" t="str">
        <f t="shared" si="22"/>
        <v>Actionplan-Maßnahmenplan</v>
      </c>
      <c r="B492" t="str">
        <f>pos(Actionplan!K22)</f>
        <v>$K$22</v>
      </c>
      <c r="C492" t="e">
        <f t="shared" ca="1" si="23"/>
        <v>#REF!</v>
      </c>
    </row>
    <row r="493" spans="1:3">
      <c r="A493" s="3" t="str">
        <f t="shared" si="22"/>
        <v>Actionplan-Maßnahmenplan</v>
      </c>
      <c r="B493" t="str">
        <f>pos(Actionplan!K23)</f>
        <v>$K$23</v>
      </c>
      <c r="C493" t="e">
        <f t="shared" ca="1" si="23"/>
        <v>#REF!</v>
      </c>
    </row>
    <row r="494" spans="1:3">
      <c r="A494" s="3" t="str">
        <f t="shared" si="22"/>
        <v>Actionplan-Maßnahmenplan</v>
      </c>
      <c r="B494" t="str">
        <f>pos(Actionplan!K24)</f>
        <v>$K$24</v>
      </c>
      <c r="C494" t="e">
        <f t="shared" ca="1" si="23"/>
        <v>#REF!</v>
      </c>
    </row>
    <row r="495" spans="1:3">
      <c r="A495" s="3" t="str">
        <f t="shared" si="22"/>
        <v>Actionplan-Maßnahmenplan</v>
      </c>
      <c r="B495" t="str">
        <f>pos(Actionplan!K25)</f>
        <v>$K$25</v>
      </c>
      <c r="C495" t="e">
        <f t="shared" ca="1" si="23"/>
        <v>#REF!</v>
      </c>
    </row>
    <row r="496" spans="1:3">
      <c r="A496" s="3" t="str">
        <f t="shared" si="22"/>
        <v>Actionplan-Maßnahmenplan</v>
      </c>
      <c r="B496" t="str">
        <f>pos(Actionplan!K26)</f>
        <v>$K$26</v>
      </c>
      <c r="C496" t="e">
        <f t="shared" ca="1" si="23"/>
        <v>#REF!</v>
      </c>
    </row>
    <row r="497" spans="1:3">
      <c r="A497" s="3" t="str">
        <f t="shared" si="22"/>
        <v>Actionplan-Maßnahmenplan</v>
      </c>
      <c r="B497" t="str">
        <f>pos(Actionplan!K27)</f>
        <v>$K$27</v>
      </c>
      <c r="C497" t="e">
        <f t="shared" ca="1" si="23"/>
        <v>#REF!</v>
      </c>
    </row>
    <row r="498" spans="1:3">
      <c r="A498" s="3" t="str">
        <f t="shared" si="22"/>
        <v>Actionplan-Maßnahmenplan</v>
      </c>
      <c r="B498" t="str">
        <f>pos(Actionplan!K28)</f>
        <v>$K$28</v>
      </c>
      <c r="C498" t="e">
        <f t="shared" ca="1" si="23"/>
        <v>#REF!</v>
      </c>
    </row>
    <row r="499" spans="1:3">
      <c r="A499" s="3" t="str">
        <f t="shared" si="22"/>
        <v>Actionplan-Maßnahmenplan</v>
      </c>
      <c r="B499" t="str">
        <f>pos(Actionplan!K29)</f>
        <v>$K$29</v>
      </c>
      <c r="C499" t="e">
        <f t="shared" ca="1" si="23"/>
        <v>#REF!</v>
      </c>
    </row>
    <row r="500" spans="1:3">
      <c r="A500" s="3" t="str">
        <f t="shared" si="22"/>
        <v>Actionplan-Maßnahmenplan</v>
      </c>
      <c r="B500" t="str">
        <f>pos(Actionplan!K30)</f>
        <v>$K$30</v>
      </c>
      <c r="C500" t="e">
        <f t="shared" ca="1" si="23"/>
        <v>#REF!</v>
      </c>
    </row>
    <row r="501" spans="1:3">
      <c r="A501" s="3" t="str">
        <f t="shared" si="22"/>
        <v>Actionplan-Maßnahmenplan</v>
      </c>
      <c r="B501" t="str">
        <f>pos(Actionplan!K31)</f>
        <v>$K$31</v>
      </c>
      <c r="C501" t="e">
        <f t="shared" ca="1" si="23"/>
        <v>#REF!</v>
      </c>
    </row>
    <row r="502" spans="1:3">
      <c r="A502" s="3" t="str">
        <f t="shared" si="22"/>
        <v>Actionplan-Maßnahmenplan</v>
      </c>
      <c r="B502" t="str">
        <f>pos(Actionplan!K32)</f>
        <v>$K$32</v>
      </c>
      <c r="C502" t="e">
        <f t="shared" ca="1" si="23"/>
        <v>#REF!</v>
      </c>
    </row>
    <row r="503" spans="1:3">
      <c r="A503" s="3" t="str">
        <f t="shared" si="22"/>
        <v>Actionplan-Maßnahmenplan</v>
      </c>
      <c r="B503" t="str">
        <f>pos(Actionplan!K33)</f>
        <v>$K$33</v>
      </c>
      <c r="C503" t="e">
        <f t="shared" ca="1" si="23"/>
        <v>#REF!</v>
      </c>
    </row>
    <row r="504" spans="1:3">
      <c r="A504" s="3" t="str">
        <f t="shared" si="22"/>
        <v>Actionplan-Maßnahmenplan</v>
      </c>
      <c r="B504" t="str">
        <f>pos(Actionplan!K34)</f>
        <v>$K$34</v>
      </c>
      <c r="C504" t="e">
        <f t="shared" ca="1" si="23"/>
        <v>#REF!</v>
      </c>
    </row>
    <row r="505" spans="1:3">
      <c r="A505" s="3" t="str">
        <f t="shared" si="22"/>
        <v>Actionplan-Maßnahmenplan</v>
      </c>
      <c r="B505" t="str">
        <f>pos(Actionplan!K35)</f>
        <v>$K$35</v>
      </c>
      <c r="C505" t="e">
        <f t="shared" ca="1" si="23"/>
        <v>#REF!</v>
      </c>
    </row>
    <row r="506" spans="1:3">
      <c r="A506" s="3" t="str">
        <f t="shared" si="22"/>
        <v>Actionplan-Maßnahmenplan</v>
      </c>
      <c r="B506" t="str">
        <f>pos(Actionplan!K36)</f>
        <v>$K$36</v>
      </c>
      <c r="C506" t="e">
        <f t="shared" ca="1" si="23"/>
        <v>#REF!</v>
      </c>
    </row>
    <row r="507" spans="1:3">
      <c r="A507" s="3" t="str">
        <f t="shared" si="22"/>
        <v>Actionplan-Maßnahmenplan</v>
      </c>
      <c r="B507" t="str">
        <f>pos(Actionplan!K37)</f>
        <v>$K$37</v>
      </c>
      <c r="C507" t="e">
        <f t="shared" ca="1" si="23"/>
        <v>#REF!</v>
      </c>
    </row>
    <row r="508" spans="1:3">
      <c r="A508" s="3" t="str">
        <f t="shared" si="22"/>
        <v>Actionplan-Maßnahmenplan</v>
      </c>
      <c r="B508" t="str">
        <f>pos(Actionplan!K38)</f>
        <v>$K$38</v>
      </c>
      <c r="C508" t="e">
        <f t="shared" ca="1" si="23"/>
        <v>#REF!</v>
      </c>
    </row>
    <row r="509" spans="1:3">
      <c r="A509" s="3" t="str">
        <f t="shared" si="22"/>
        <v>Actionplan-Maßnahmenplan</v>
      </c>
      <c r="B509" t="str">
        <f>pos(Actionplan!K39)</f>
        <v>$K$39</v>
      </c>
      <c r="C509" t="e">
        <f t="shared" ca="1" si="23"/>
        <v>#REF!</v>
      </c>
    </row>
    <row r="510" spans="1:3">
      <c r="A510" s="3" t="str">
        <f t="shared" si="22"/>
        <v>Actionplan-Maßnahmenplan</v>
      </c>
      <c r="B510" t="str">
        <f>pos(Actionplan!K40)</f>
        <v>$K$40</v>
      </c>
      <c r="C510" t="e">
        <f t="shared" ca="1" si="23"/>
        <v>#REF!</v>
      </c>
    </row>
    <row r="511" spans="1:3">
      <c r="A511" s="3" t="str">
        <f t="shared" si="22"/>
        <v>Actionplan-Maßnahmenplan</v>
      </c>
      <c r="B511" t="str">
        <f>pos(Actionplan!K41)</f>
        <v>$K$41</v>
      </c>
      <c r="C511" t="e">
        <f t="shared" ca="1" si="23"/>
        <v>#REF!</v>
      </c>
    </row>
    <row r="512" spans="1:3">
      <c r="A512" s="3" t="str">
        <f t="shared" si="22"/>
        <v>Actionplan-Maßnahmenplan</v>
      </c>
      <c r="B512" t="str">
        <f>pos(Actionplan!K42)</f>
        <v>$K$42</v>
      </c>
      <c r="C512" t="e">
        <f t="shared" ca="1" si="23"/>
        <v>#REF!</v>
      </c>
    </row>
    <row r="513" spans="1:3">
      <c r="A513" s="3" t="str">
        <f t="shared" si="22"/>
        <v>Actionplan-Maßnahmenplan</v>
      </c>
      <c r="B513" t="str">
        <f>pos(Actionplan!K43)</f>
        <v>$K$43</v>
      </c>
      <c r="C513" t="e">
        <f t="shared" ca="1" si="23"/>
        <v>#REF!</v>
      </c>
    </row>
    <row r="514" spans="1:3">
      <c r="A514" s="3" t="str">
        <f t="shared" si="22"/>
        <v>Actionplan-Maßnahmenplan</v>
      </c>
      <c r="B514" t="str">
        <f>pos(Actionplan!K44)</f>
        <v>$K$44</v>
      </c>
      <c r="C514" t="e">
        <f t="shared" ca="1" si="23"/>
        <v>#REF!</v>
      </c>
    </row>
    <row r="515" spans="1:3">
      <c r="A515" s="3" t="str">
        <f t="shared" si="22"/>
        <v>Actionplan-Maßnahmenplan</v>
      </c>
      <c r="B515" t="str">
        <f>pos(Actionplan!K45)</f>
        <v>$K$45</v>
      </c>
      <c r="C515" t="e">
        <f t="shared" ca="1" si="23"/>
        <v>#REF!</v>
      </c>
    </row>
    <row r="516" spans="1:3">
      <c r="A516" s="3" t="str">
        <f t="shared" si="22"/>
        <v>Actionplan-Maßnahmenplan</v>
      </c>
      <c r="B516" t="str">
        <f>pos(Actionplan!K46)</f>
        <v>$K$46</v>
      </c>
      <c r="C516" t="e">
        <f t="shared" ca="1" si="23"/>
        <v>#REF!</v>
      </c>
    </row>
    <row r="517" spans="1:3">
      <c r="A517" s="3" t="str">
        <f t="shared" si="22"/>
        <v>Actionplan-Maßnahmenplan</v>
      </c>
      <c r="B517" t="str">
        <f>pos(Actionplan!K47)</f>
        <v>$K$47</v>
      </c>
      <c r="C517" t="e">
        <f t="shared" ca="1" si="23"/>
        <v>#REF!</v>
      </c>
    </row>
    <row r="518" spans="1:3">
      <c r="A518" s="3" t="str">
        <f t="shared" si="22"/>
        <v>Actionplan-Maßnahmenplan</v>
      </c>
      <c r="B518" t="str">
        <f>pos(Actionplan!K48)</f>
        <v>$K$48</v>
      </c>
      <c r="C518" t="e">
        <f t="shared" ca="1" si="23"/>
        <v>#REF!</v>
      </c>
    </row>
    <row r="519" spans="1:3">
      <c r="A519" s="3" t="str">
        <f t="shared" si="22"/>
        <v>Actionplan-Maßnahmenplan</v>
      </c>
      <c r="B519" t="str">
        <f>pos(Actionplan!K49)</f>
        <v>$K$49</v>
      </c>
      <c r="C519" t="e">
        <f t="shared" ca="1" si="23"/>
        <v>#REF!</v>
      </c>
    </row>
    <row r="520" spans="1:3">
      <c r="A520" s="3" t="str">
        <f t="shared" si="22"/>
        <v>Actionplan-Maßnahmenplan</v>
      </c>
      <c r="B520" t="str">
        <f>pos(Actionplan!K50)</f>
        <v>$K$50</v>
      </c>
      <c r="C520" t="e">
        <f t="shared" ca="1" si="23"/>
        <v>#REF!</v>
      </c>
    </row>
    <row r="521" spans="1:3">
      <c r="A521" s="3" t="str">
        <f t="shared" si="22"/>
        <v>Actionplan-Maßnahmenplan</v>
      </c>
      <c r="B521" t="str">
        <f>pos(Actionplan!K51)</f>
        <v>$K$51</v>
      </c>
      <c r="C521" t="e">
        <f t="shared" ca="1" si="23"/>
        <v>#REF!</v>
      </c>
    </row>
    <row r="522" spans="1:3">
      <c r="A522" s="3" t="str">
        <f t="shared" si="22"/>
        <v>Actionplan-Maßnahmenplan</v>
      </c>
      <c r="B522" t="str">
        <f>pos(Actionplan!K52)</f>
        <v>$K$52</v>
      </c>
      <c r="C522" t="e">
        <f t="shared" ca="1" si="23"/>
        <v>#REF!</v>
      </c>
    </row>
    <row r="523" spans="1:3">
      <c r="A523" s="3" t="str">
        <f t="shared" si="22"/>
        <v>Actionplan-Maßnahmenplan</v>
      </c>
      <c r="B523" t="str">
        <f>pos(Actionplan!K53)</f>
        <v>$K$53</v>
      </c>
      <c r="C523" t="e">
        <f t="shared" ca="1" si="23"/>
        <v>#REF!</v>
      </c>
    </row>
    <row r="524" spans="1:3">
      <c r="A524" s="3" t="str">
        <f t="shared" si="22"/>
        <v>Actionplan-Maßnahmenplan</v>
      </c>
      <c r="B524" t="str">
        <f>pos(Actionplan!K54)</f>
        <v>$K$54</v>
      </c>
      <c r="C524" t="e">
        <f t="shared" ca="1" si="23"/>
        <v>#REF!</v>
      </c>
    </row>
    <row r="525" spans="1:3">
      <c r="A525" s="3" t="str">
        <f t="shared" si="22"/>
        <v>Actionplan-Maßnahmenplan</v>
      </c>
      <c r="B525" t="str">
        <f>pos(Actionplan!K55)</f>
        <v>$K$55</v>
      </c>
      <c r="C525" t="e">
        <f t="shared" ca="1" si="23"/>
        <v>#REF!</v>
      </c>
    </row>
    <row r="526" spans="1:3">
      <c r="A526" s="3" t="str">
        <f t="shared" si="22"/>
        <v>Actionplan-Maßnahmenplan</v>
      </c>
      <c r="B526" t="str">
        <f>pos(Actionplan!K56)</f>
        <v>$K$56</v>
      </c>
      <c r="C526" t="e">
        <f t="shared" ca="1" si="23"/>
        <v>#REF!</v>
      </c>
    </row>
    <row r="527" spans="1:3">
      <c r="A527" s="3" t="str">
        <f t="shared" si="22"/>
        <v>Actionplan-Maßnahmenplan</v>
      </c>
      <c r="B527" t="str">
        <f>pos(Actionplan!K64)</f>
        <v>$K$64</v>
      </c>
      <c r="C527" t="e">
        <f t="shared" ca="1" si="23"/>
        <v>#REF!</v>
      </c>
    </row>
    <row r="528" spans="1:3">
      <c r="A528" s="3" t="str">
        <f t="shared" si="22"/>
        <v>Actionplan-Maßnahmenplan</v>
      </c>
      <c r="B528" t="str">
        <f>pos(Actionplan!K65)</f>
        <v>$K$65</v>
      </c>
      <c r="C528" t="e">
        <f t="shared" ca="1" si="23"/>
        <v>#REF!</v>
      </c>
    </row>
    <row r="529" spans="1:3">
      <c r="A529" s="3" t="str">
        <f t="shared" si="22"/>
        <v>Actionplan-Maßnahmenplan</v>
      </c>
      <c r="B529" t="str">
        <f>pos(Actionplan!K66)</f>
        <v>$K$66</v>
      </c>
      <c r="C529" t="e">
        <f t="shared" ca="1" si="23"/>
        <v>#REF!</v>
      </c>
    </row>
    <row r="530" spans="1:3">
      <c r="A530" s="3" t="str">
        <f t="shared" si="22"/>
        <v>Actionplan-Maßnahmenplan</v>
      </c>
      <c r="B530" t="str">
        <f>pos(Actionplan!K74)</f>
        <v>$K$74</v>
      </c>
      <c r="C530" t="e">
        <f t="shared" ca="1" si="23"/>
        <v>#REF!</v>
      </c>
    </row>
    <row r="531" spans="1:3">
      <c r="A531" s="3" t="str">
        <f t="shared" si="22"/>
        <v>Actionplan-Maßnahmenplan</v>
      </c>
      <c r="B531" t="str">
        <f>pos(Actionplan!K75)</f>
        <v>$K$75</v>
      </c>
      <c r="C531" t="e">
        <f t="shared" ca="1" si="23"/>
        <v>#REF!</v>
      </c>
    </row>
    <row r="532" spans="1:3">
      <c r="A532" s="3" t="str">
        <f t="shared" si="22"/>
        <v>Actionplan-Maßnahmenplan</v>
      </c>
      <c r="B532" t="str">
        <f>pos(Actionplan!K76)</f>
        <v>$K$76</v>
      </c>
      <c r="C532" t="e">
        <f t="shared" ca="1" si="23"/>
        <v>#REF!</v>
      </c>
    </row>
    <row r="533" spans="1:3">
      <c r="A533" s="3" t="str">
        <f t="shared" si="22"/>
        <v>Actionplan-Maßnahmenplan</v>
      </c>
      <c r="B533" t="str">
        <f>pos(Actionplan!K84)</f>
        <v>$K$84</v>
      </c>
      <c r="C533" t="e">
        <f t="shared" ref="C533:C550" ca="1" si="24">IF(INDIRECT("'"&amp;A533&amp;"'!"&amp;B533)=0,"",INDIRECT("'"&amp;A533&amp;"'!"&amp;B533))</f>
        <v>#REF!</v>
      </c>
    </row>
    <row r="534" spans="1:3">
      <c r="A534" s="3" t="str">
        <f t="shared" si="22"/>
        <v>Actionplan-Maßnahmenplan</v>
      </c>
      <c r="B534" t="str">
        <f>pos(Actionplan!K85)</f>
        <v>$K$85</v>
      </c>
      <c r="C534" t="e">
        <f t="shared" ca="1" si="24"/>
        <v>#REF!</v>
      </c>
    </row>
    <row r="535" spans="1:3">
      <c r="A535" s="3" t="str">
        <f t="shared" si="22"/>
        <v>Actionplan-Maßnahmenplan</v>
      </c>
      <c r="B535" t="str">
        <f>pos(Actionplan!K86)</f>
        <v>$K$86</v>
      </c>
      <c r="C535" t="e">
        <f t="shared" ca="1" si="24"/>
        <v>#REF!</v>
      </c>
    </row>
    <row r="536" spans="1:3">
      <c r="A536" s="3" t="str">
        <f t="shared" si="22"/>
        <v>Actionplan-Maßnahmenplan</v>
      </c>
      <c r="B536" t="str">
        <f>pos(Actionplan!K94)</f>
        <v>$K$94</v>
      </c>
      <c r="C536" t="e">
        <f t="shared" ca="1" si="24"/>
        <v>#REF!</v>
      </c>
    </row>
    <row r="537" spans="1:3">
      <c r="A537" s="3" t="str">
        <f t="shared" si="22"/>
        <v>Actionplan-Maßnahmenplan</v>
      </c>
      <c r="B537" t="str">
        <f>pos(Actionplan!K95)</f>
        <v>$K$95</v>
      </c>
      <c r="C537" t="e">
        <f t="shared" ca="1" si="24"/>
        <v>#REF!</v>
      </c>
    </row>
    <row r="538" spans="1:3">
      <c r="A538" s="3" t="str">
        <f t="shared" si="22"/>
        <v>Actionplan-Maßnahmenplan</v>
      </c>
      <c r="B538" t="str">
        <f>pos(Actionplan!K96)</f>
        <v>$K$96</v>
      </c>
      <c r="C538" t="e">
        <f t="shared" ca="1" si="24"/>
        <v>#REF!</v>
      </c>
    </row>
    <row r="539" spans="1:3">
      <c r="A539" s="3" t="str">
        <f t="shared" si="22"/>
        <v>Actionplan-Maßnahmenplan</v>
      </c>
      <c r="B539" t="str">
        <f>pos(Actionplan!K104)</f>
        <v>$K$104</v>
      </c>
      <c r="C539" t="e">
        <f t="shared" ca="1" si="24"/>
        <v>#REF!</v>
      </c>
    </row>
    <row r="540" spans="1:3">
      <c r="A540" s="3" t="str">
        <f t="shared" si="22"/>
        <v>Actionplan-Maßnahmenplan</v>
      </c>
      <c r="B540" t="str">
        <f>pos(Actionplan!K105)</f>
        <v>$K$105</v>
      </c>
      <c r="C540" t="e">
        <f t="shared" ca="1" si="24"/>
        <v>#REF!</v>
      </c>
    </row>
    <row r="541" spans="1:3">
      <c r="A541" s="3" t="str">
        <f t="shared" si="22"/>
        <v>Actionplan-Maßnahmenplan</v>
      </c>
      <c r="B541" t="str">
        <f>pos(Actionplan!K106)</f>
        <v>$K$106</v>
      </c>
      <c r="C541" t="e">
        <f t="shared" ca="1" si="24"/>
        <v>#REF!</v>
      </c>
    </row>
    <row r="542" spans="1:3">
      <c r="A542" s="3" t="str">
        <f t="shared" si="22"/>
        <v>Actionplan-Maßnahmenplan</v>
      </c>
      <c r="B542" t="str">
        <f>pos(Actionplan!K114)</f>
        <v>$K$114</v>
      </c>
      <c r="C542" t="e">
        <f t="shared" ca="1" si="24"/>
        <v>#REF!</v>
      </c>
    </row>
    <row r="543" spans="1:3">
      <c r="A543" s="3" t="str">
        <f t="shared" si="22"/>
        <v>Actionplan-Maßnahmenplan</v>
      </c>
      <c r="B543" t="str">
        <f>pos(Actionplan!K115)</f>
        <v>$K$115</v>
      </c>
      <c r="C543" t="e">
        <f t="shared" ca="1" si="24"/>
        <v>#REF!</v>
      </c>
    </row>
    <row r="544" spans="1:3">
      <c r="A544" s="3" t="str">
        <f t="shared" si="22"/>
        <v>Actionplan-Maßnahmenplan</v>
      </c>
      <c r="B544" t="str">
        <f>pos(Actionplan!K116)</f>
        <v>$K$116</v>
      </c>
      <c r="C544" t="e">
        <f t="shared" ca="1" si="24"/>
        <v>#REF!</v>
      </c>
    </row>
    <row r="545" spans="1:3">
      <c r="A545" s="3" t="str">
        <f t="shared" si="22"/>
        <v>Actionplan-Maßnahmenplan</v>
      </c>
      <c r="B545" t="str">
        <f>pos(Actionplan!K124)</f>
        <v>$K$124</v>
      </c>
      <c r="C545" t="e">
        <f t="shared" ca="1" si="24"/>
        <v>#REF!</v>
      </c>
    </row>
    <row r="546" spans="1:3">
      <c r="A546" s="3" t="str">
        <f t="shared" si="22"/>
        <v>Actionplan-Maßnahmenplan</v>
      </c>
      <c r="B546" t="str">
        <f>pos(Actionplan!K125)</f>
        <v>$K$125</v>
      </c>
      <c r="C546" t="e">
        <f t="shared" ca="1" si="24"/>
        <v>#REF!</v>
      </c>
    </row>
    <row r="547" spans="1:3">
      <c r="A547" s="3" t="str">
        <f t="shared" ref="A547:A610" si="25">$A$482</f>
        <v>Actionplan-Maßnahmenplan</v>
      </c>
      <c r="B547" t="str">
        <f>pos(Actionplan!K126)</f>
        <v>$K$126</v>
      </c>
      <c r="C547" t="e">
        <f t="shared" ca="1" si="24"/>
        <v>#REF!</v>
      </c>
    </row>
    <row r="548" spans="1:3">
      <c r="A548" s="3" t="str">
        <f t="shared" si="25"/>
        <v>Actionplan-Maßnahmenplan</v>
      </c>
      <c r="B548" t="str">
        <f>pos(Actionplan!K134)</f>
        <v>$K$134</v>
      </c>
      <c r="C548" t="e">
        <f t="shared" ca="1" si="24"/>
        <v>#REF!</v>
      </c>
    </row>
    <row r="549" spans="1:3">
      <c r="A549" s="3" t="str">
        <f t="shared" si="25"/>
        <v>Actionplan-Maßnahmenplan</v>
      </c>
      <c r="B549" t="str">
        <f>pos(Actionplan!K135)</f>
        <v>$K$135</v>
      </c>
      <c r="C549" t="e">
        <f t="shared" ca="1" si="24"/>
        <v>#REF!</v>
      </c>
    </row>
    <row r="550" spans="1:3">
      <c r="A550" s="3" t="str">
        <f t="shared" si="25"/>
        <v>Actionplan-Maßnahmenplan</v>
      </c>
      <c r="B550" t="str">
        <f>pos(Actionplan!K136)</f>
        <v>$K$136</v>
      </c>
      <c r="C550" t="e">
        <f t="shared" ca="1" si="24"/>
        <v>#REF!</v>
      </c>
    </row>
    <row r="551" spans="1:3">
      <c r="A551" s="3" t="str">
        <f t="shared" si="25"/>
        <v>Actionplan-Maßnahmenplan</v>
      </c>
      <c r="B551" t="str">
        <f>pos(Actionplan!K144)</f>
        <v>$K$144</v>
      </c>
      <c r="C551" t="e">
        <f t="shared" ref="C551:C569" ca="1" si="26">IF(INDIRECT("'"&amp;A551&amp;"'!"&amp;B551)=0,"",INDIRECT("'"&amp;A551&amp;"'!"&amp;B551))</f>
        <v>#REF!</v>
      </c>
    </row>
    <row r="552" spans="1:3">
      <c r="A552" s="3" t="str">
        <f t="shared" si="25"/>
        <v>Actionplan-Maßnahmenplan</v>
      </c>
      <c r="B552" t="str">
        <f>pos(Actionplan!K145)</f>
        <v>$K$145</v>
      </c>
      <c r="C552" t="e">
        <f t="shared" ca="1" si="26"/>
        <v>#REF!</v>
      </c>
    </row>
    <row r="553" spans="1:3">
      <c r="A553" s="3" t="str">
        <f t="shared" si="25"/>
        <v>Actionplan-Maßnahmenplan</v>
      </c>
      <c r="B553" t="str">
        <f>pos(Actionplan!K146)</f>
        <v>$K$146</v>
      </c>
      <c r="C553" t="e">
        <f t="shared" ca="1" si="26"/>
        <v>#REF!</v>
      </c>
    </row>
    <row r="554" spans="1:3">
      <c r="A554" s="3" t="str">
        <f t="shared" si="25"/>
        <v>Actionplan-Maßnahmenplan</v>
      </c>
      <c r="B554" t="str">
        <f>pos(Actionplan!K154)</f>
        <v>$K$154</v>
      </c>
      <c r="C554" t="e">
        <f t="shared" ca="1" si="26"/>
        <v>#REF!</v>
      </c>
    </row>
    <row r="555" spans="1:3">
      <c r="A555" s="3" t="str">
        <f t="shared" si="25"/>
        <v>Actionplan-Maßnahmenplan</v>
      </c>
      <c r="B555" t="str">
        <f>pos(Actionplan!K155)</f>
        <v>$K$155</v>
      </c>
      <c r="C555" t="e">
        <f t="shared" ca="1" si="26"/>
        <v>#REF!</v>
      </c>
    </row>
    <row r="556" spans="1:3">
      <c r="A556" s="3" t="str">
        <f t="shared" si="25"/>
        <v>Actionplan-Maßnahmenplan</v>
      </c>
      <c r="B556" t="str">
        <f>pos(Actionplan!K156)</f>
        <v>$K$156</v>
      </c>
      <c r="C556" t="e">
        <f t="shared" ca="1" si="26"/>
        <v>#REF!</v>
      </c>
    </row>
    <row r="557" spans="1:3">
      <c r="A557" s="3" t="str">
        <f t="shared" si="25"/>
        <v>Actionplan-Maßnahmenplan</v>
      </c>
      <c r="B557" t="str">
        <f>pos(Actionplan!K164)</f>
        <v>$K$164</v>
      </c>
      <c r="C557" t="e">
        <f t="shared" ca="1" si="26"/>
        <v>#REF!</v>
      </c>
    </row>
    <row r="558" spans="1:3">
      <c r="A558" s="3" t="str">
        <f t="shared" si="25"/>
        <v>Actionplan-Maßnahmenplan</v>
      </c>
      <c r="B558" t="str">
        <f>pos(Actionplan!K165)</f>
        <v>$K$165</v>
      </c>
      <c r="C558" t="e">
        <f t="shared" ca="1" si="26"/>
        <v>#REF!</v>
      </c>
    </row>
    <row r="559" spans="1:3">
      <c r="A559" s="3" t="str">
        <f t="shared" si="25"/>
        <v>Actionplan-Maßnahmenplan</v>
      </c>
      <c r="B559" t="str">
        <f>pos(Actionplan!K166)</f>
        <v>$K$166</v>
      </c>
      <c r="C559" t="e">
        <f t="shared" ca="1" si="26"/>
        <v>#REF!</v>
      </c>
    </row>
    <row r="560" spans="1:3">
      <c r="A560" s="3" t="str">
        <f t="shared" si="25"/>
        <v>Actionplan-Maßnahmenplan</v>
      </c>
      <c r="B560" t="str">
        <f>pos(Actionplan!K174)</f>
        <v>$K$174</v>
      </c>
      <c r="C560" t="e">
        <f t="shared" ca="1" si="26"/>
        <v>#REF!</v>
      </c>
    </row>
    <row r="561" spans="1:3">
      <c r="A561" s="3" t="str">
        <f t="shared" si="25"/>
        <v>Actionplan-Maßnahmenplan</v>
      </c>
      <c r="B561" t="str">
        <f>pos(Actionplan!K175)</f>
        <v>$K$175</v>
      </c>
      <c r="C561" t="e">
        <f t="shared" ca="1" si="26"/>
        <v>#REF!</v>
      </c>
    </row>
    <row r="562" spans="1:3">
      <c r="A562" s="3" t="str">
        <f t="shared" si="25"/>
        <v>Actionplan-Maßnahmenplan</v>
      </c>
      <c r="B562" t="str">
        <f>pos(Actionplan!K176)</f>
        <v>$K$176</v>
      </c>
      <c r="C562" t="e">
        <f t="shared" ca="1" si="26"/>
        <v>#REF!</v>
      </c>
    </row>
    <row r="563" spans="1:3">
      <c r="A563" s="3" t="str">
        <f t="shared" si="25"/>
        <v>Actionplan-Maßnahmenplan</v>
      </c>
      <c r="B563" t="str">
        <f>pos(Actionplan!K184)</f>
        <v>$K$184</v>
      </c>
      <c r="C563" t="e">
        <f t="shared" ca="1" si="26"/>
        <v>#REF!</v>
      </c>
    </row>
    <row r="564" spans="1:3">
      <c r="A564" s="3" t="str">
        <f t="shared" si="25"/>
        <v>Actionplan-Maßnahmenplan</v>
      </c>
      <c r="B564" t="str">
        <f>pos(Actionplan!K185)</f>
        <v>$K$185</v>
      </c>
      <c r="C564" t="e">
        <f t="shared" ca="1" si="26"/>
        <v>#REF!</v>
      </c>
    </row>
    <row r="565" spans="1:3">
      <c r="A565" s="3" t="str">
        <f t="shared" si="25"/>
        <v>Actionplan-Maßnahmenplan</v>
      </c>
      <c r="B565" t="str">
        <f>pos(Actionplan!K186)</f>
        <v>$K$186</v>
      </c>
      <c r="C565" t="e">
        <f t="shared" ca="1" si="26"/>
        <v>#REF!</v>
      </c>
    </row>
    <row r="566" spans="1:3">
      <c r="A566" s="3" t="str">
        <f t="shared" si="25"/>
        <v>Actionplan-Maßnahmenplan</v>
      </c>
      <c r="B566" t="str">
        <f>pos(Actionplan!K194)</f>
        <v>$K$194</v>
      </c>
      <c r="C566" t="e">
        <f t="shared" ca="1" si="26"/>
        <v>#REF!</v>
      </c>
    </row>
    <row r="567" spans="1:3">
      <c r="A567" s="3" t="str">
        <f t="shared" si="25"/>
        <v>Actionplan-Maßnahmenplan</v>
      </c>
      <c r="B567" t="str">
        <f>pos(Actionplan!K195)</f>
        <v>$K$195</v>
      </c>
      <c r="C567" t="e">
        <f t="shared" ca="1" si="26"/>
        <v>#REF!</v>
      </c>
    </row>
    <row r="568" spans="1:3">
      <c r="A568" s="3" t="str">
        <f t="shared" si="25"/>
        <v>Actionplan-Maßnahmenplan</v>
      </c>
      <c r="B568" t="str">
        <f>pos(Actionplan!K196)</f>
        <v>$K$196</v>
      </c>
      <c r="C568" t="e">
        <f t="shared" ca="1" si="26"/>
        <v>#REF!</v>
      </c>
    </row>
    <row r="569" spans="1:3">
      <c r="A569" s="3" t="str">
        <f t="shared" si="25"/>
        <v>Actionplan-Maßnahmenplan</v>
      </c>
      <c r="B569" t="str">
        <f>pos(Actionplan!K204)</f>
        <v>$K$204</v>
      </c>
      <c r="C569" t="e">
        <f t="shared" ca="1" si="26"/>
        <v>#REF!</v>
      </c>
    </row>
    <row r="570" spans="1:3">
      <c r="A570" s="3" t="str">
        <f t="shared" si="25"/>
        <v>Actionplan-Maßnahmenplan</v>
      </c>
      <c r="B570" t="str">
        <f>pos(Actionplan!K205)</f>
        <v>$K$205</v>
      </c>
      <c r="C570" t="e">
        <f t="shared" ref="C570:C589" ca="1" si="27">IF(INDIRECT("'"&amp;A570&amp;"'!"&amp;B570)=0,"",INDIRECT("'"&amp;A570&amp;"'!"&amp;B570))</f>
        <v>#REF!</v>
      </c>
    </row>
    <row r="571" spans="1:3">
      <c r="A571" s="3" t="str">
        <f t="shared" si="25"/>
        <v>Actionplan-Maßnahmenplan</v>
      </c>
      <c r="B571" t="str">
        <f>pos(Actionplan!K206)</f>
        <v>$K$206</v>
      </c>
      <c r="C571" t="e">
        <f t="shared" ca="1" si="27"/>
        <v>#REF!</v>
      </c>
    </row>
    <row r="572" spans="1:3">
      <c r="A572" s="3" t="str">
        <f t="shared" si="25"/>
        <v>Actionplan-Maßnahmenplan</v>
      </c>
      <c r="B572" t="str">
        <f>pos(Actionplan!K214)</f>
        <v>$K$214</v>
      </c>
      <c r="C572" t="e">
        <f t="shared" ca="1" si="27"/>
        <v>#REF!</v>
      </c>
    </row>
    <row r="573" spans="1:3">
      <c r="A573" s="3" t="str">
        <f t="shared" si="25"/>
        <v>Actionplan-Maßnahmenplan</v>
      </c>
      <c r="B573" t="str">
        <f>pos(Actionplan!K215)</f>
        <v>$K$215</v>
      </c>
      <c r="C573" t="e">
        <f t="shared" ca="1" si="27"/>
        <v>#REF!</v>
      </c>
    </row>
    <row r="574" spans="1:3">
      <c r="A574" s="3" t="str">
        <f t="shared" si="25"/>
        <v>Actionplan-Maßnahmenplan</v>
      </c>
      <c r="B574" t="str">
        <f>pos(Actionplan!K216)</f>
        <v>$K$216</v>
      </c>
      <c r="C574" t="e">
        <f t="shared" ca="1" si="27"/>
        <v>#REF!</v>
      </c>
    </row>
    <row r="575" spans="1:3">
      <c r="A575" s="3" t="str">
        <f t="shared" si="25"/>
        <v>Actionplan-Maßnahmenplan</v>
      </c>
      <c r="B575" t="str">
        <f>pos(Actionplan!K224)</f>
        <v>$K$224</v>
      </c>
      <c r="C575" t="e">
        <f t="shared" ca="1" si="27"/>
        <v>#REF!</v>
      </c>
    </row>
    <row r="576" spans="1:3">
      <c r="A576" s="3" t="str">
        <f t="shared" si="25"/>
        <v>Actionplan-Maßnahmenplan</v>
      </c>
      <c r="B576" t="str">
        <f>pos(Actionplan!K225)</f>
        <v>$K$225</v>
      </c>
      <c r="C576" t="e">
        <f t="shared" ca="1" si="27"/>
        <v>#REF!</v>
      </c>
    </row>
    <row r="577" spans="1:3">
      <c r="A577" s="3" t="str">
        <f t="shared" si="25"/>
        <v>Actionplan-Maßnahmenplan</v>
      </c>
      <c r="B577" t="str">
        <f>pos(Actionplan!K226)</f>
        <v>$K$226</v>
      </c>
      <c r="C577" t="e">
        <f t="shared" ca="1" si="27"/>
        <v>#REF!</v>
      </c>
    </row>
    <row r="578" spans="1:3">
      <c r="A578" s="3" t="str">
        <f t="shared" si="25"/>
        <v>Actionplan-Maßnahmenplan</v>
      </c>
      <c r="B578" t="str">
        <f>pos(Actionplan!K234)</f>
        <v>$K$234</v>
      </c>
      <c r="C578" t="e">
        <f t="shared" ca="1" si="27"/>
        <v>#REF!</v>
      </c>
    </row>
    <row r="579" spans="1:3">
      <c r="A579" s="3" t="str">
        <f t="shared" si="25"/>
        <v>Actionplan-Maßnahmenplan</v>
      </c>
      <c r="B579" t="str">
        <f>pos(Actionplan!K235)</f>
        <v>$K$235</v>
      </c>
      <c r="C579" t="e">
        <f t="shared" ca="1" si="27"/>
        <v>#REF!</v>
      </c>
    </row>
    <row r="580" spans="1:3">
      <c r="A580" s="3" t="str">
        <f t="shared" si="25"/>
        <v>Actionplan-Maßnahmenplan</v>
      </c>
      <c r="B580" t="str">
        <f>pos(Actionplan!K236)</f>
        <v>$K$236</v>
      </c>
      <c r="C580" t="e">
        <f t="shared" ca="1" si="27"/>
        <v>#REF!</v>
      </c>
    </row>
    <row r="581" spans="1:3">
      <c r="A581" s="3" t="str">
        <f t="shared" si="25"/>
        <v>Actionplan-Maßnahmenplan</v>
      </c>
      <c r="B581" t="str">
        <f>pos(Actionplan!K244)</f>
        <v>$K$244</v>
      </c>
      <c r="C581" t="e">
        <f t="shared" ca="1" si="27"/>
        <v>#REF!</v>
      </c>
    </row>
    <row r="582" spans="1:3">
      <c r="A582" s="3" t="str">
        <f t="shared" si="25"/>
        <v>Actionplan-Maßnahmenplan</v>
      </c>
      <c r="B582" t="str">
        <f>pos(Actionplan!K245)</f>
        <v>$K$245</v>
      </c>
      <c r="C582" t="e">
        <f t="shared" ca="1" si="27"/>
        <v>#REF!</v>
      </c>
    </row>
    <row r="583" spans="1:3">
      <c r="A583" s="3" t="str">
        <f t="shared" si="25"/>
        <v>Actionplan-Maßnahmenplan</v>
      </c>
      <c r="B583" t="str">
        <f>pos(Actionplan!K246)</f>
        <v>$K$246</v>
      </c>
      <c r="C583" t="e">
        <f t="shared" ca="1" si="27"/>
        <v>#REF!</v>
      </c>
    </row>
    <row r="584" spans="1:3">
      <c r="A584" s="3" t="str">
        <f t="shared" si="25"/>
        <v>Actionplan-Maßnahmenplan</v>
      </c>
      <c r="B584" t="str">
        <f>pos(Actionplan!K254)</f>
        <v>$K$254</v>
      </c>
      <c r="C584" t="e">
        <f t="shared" ca="1" si="27"/>
        <v>#REF!</v>
      </c>
    </row>
    <row r="585" spans="1:3">
      <c r="A585" s="3" t="str">
        <f t="shared" si="25"/>
        <v>Actionplan-Maßnahmenplan</v>
      </c>
      <c r="B585" t="str">
        <f>pos(Actionplan!K255)</f>
        <v>$K$255</v>
      </c>
      <c r="C585" t="e">
        <f t="shared" ca="1" si="27"/>
        <v>#REF!</v>
      </c>
    </row>
    <row r="586" spans="1:3">
      <c r="A586" s="3" t="str">
        <f t="shared" si="25"/>
        <v>Actionplan-Maßnahmenplan</v>
      </c>
      <c r="B586" t="str">
        <f>pos(Actionplan!K256)</f>
        <v>$K$256</v>
      </c>
      <c r="C586" t="e">
        <f t="shared" ca="1" si="27"/>
        <v>#REF!</v>
      </c>
    </row>
    <row r="587" spans="1:3">
      <c r="A587" s="3" t="str">
        <f t="shared" si="25"/>
        <v>Actionplan-Maßnahmenplan</v>
      </c>
      <c r="B587" t="str">
        <f>pos(Actionplan!K264)</f>
        <v>$K$264</v>
      </c>
      <c r="C587" t="e">
        <f t="shared" ca="1" si="27"/>
        <v>#REF!</v>
      </c>
    </row>
    <row r="588" spans="1:3">
      <c r="A588" s="3" t="str">
        <f t="shared" si="25"/>
        <v>Actionplan-Maßnahmenplan</v>
      </c>
      <c r="B588" t="str">
        <f>pos(Actionplan!K265)</f>
        <v>$K$265</v>
      </c>
      <c r="C588" t="e">
        <f t="shared" ca="1" si="27"/>
        <v>#REF!</v>
      </c>
    </row>
    <row r="589" spans="1:3">
      <c r="A589" s="3" t="str">
        <f t="shared" si="25"/>
        <v>Actionplan-Maßnahmenplan</v>
      </c>
      <c r="B589" t="str">
        <f>pos(Actionplan!K266)</f>
        <v>$K$266</v>
      </c>
      <c r="C589" t="e">
        <f t="shared" ca="1" si="27"/>
        <v>#REF!</v>
      </c>
    </row>
    <row r="590" spans="1:3">
      <c r="A590" s="3" t="str">
        <f t="shared" si="25"/>
        <v>Actionplan-Maßnahmenplan</v>
      </c>
      <c r="B590" t="str">
        <f>pos(Actionplan!K274)</f>
        <v>$K$274</v>
      </c>
      <c r="C590" t="e">
        <f t="shared" ref="C590:C620" ca="1" si="28">IF(INDIRECT("'"&amp;A590&amp;"'!"&amp;B590)=0,"",INDIRECT("'"&amp;A590&amp;"'!"&amp;B590))</f>
        <v>#REF!</v>
      </c>
    </row>
    <row r="591" spans="1:3">
      <c r="A591" s="3" t="str">
        <f t="shared" si="25"/>
        <v>Actionplan-Maßnahmenplan</v>
      </c>
      <c r="B591" t="str">
        <f>pos(Actionplan!K275)</f>
        <v>$K$275</v>
      </c>
      <c r="C591" t="e">
        <f t="shared" ca="1" si="28"/>
        <v>#REF!</v>
      </c>
    </row>
    <row r="592" spans="1:3">
      <c r="A592" s="3" t="str">
        <f t="shared" si="25"/>
        <v>Actionplan-Maßnahmenplan</v>
      </c>
      <c r="B592" t="str">
        <f>pos(Actionplan!K276)</f>
        <v>$K$276</v>
      </c>
      <c r="C592" t="e">
        <f t="shared" ca="1" si="28"/>
        <v>#REF!</v>
      </c>
    </row>
    <row r="593" spans="1:3">
      <c r="A593" s="3" t="str">
        <f t="shared" si="25"/>
        <v>Actionplan-Maßnahmenplan</v>
      </c>
      <c r="B593" t="str">
        <f>pos(Actionplan!K284)</f>
        <v>$K$284</v>
      </c>
      <c r="C593" t="e">
        <f t="shared" ca="1" si="28"/>
        <v>#REF!</v>
      </c>
    </row>
    <row r="594" spans="1:3">
      <c r="A594" s="3" t="str">
        <f t="shared" si="25"/>
        <v>Actionplan-Maßnahmenplan</v>
      </c>
      <c r="B594" t="str">
        <f>pos(Actionplan!K285)</f>
        <v>$K$285</v>
      </c>
      <c r="C594" t="e">
        <f t="shared" ca="1" si="28"/>
        <v>#REF!</v>
      </c>
    </row>
    <row r="595" spans="1:3">
      <c r="A595" s="3" t="str">
        <f t="shared" si="25"/>
        <v>Actionplan-Maßnahmenplan</v>
      </c>
      <c r="B595" t="str">
        <f>pos(Actionplan!K286)</f>
        <v>$K$286</v>
      </c>
      <c r="C595" t="e">
        <f t="shared" ca="1" si="28"/>
        <v>#REF!</v>
      </c>
    </row>
    <row r="596" spans="1:3">
      <c r="A596" s="3" t="str">
        <f t="shared" si="25"/>
        <v>Actionplan-Maßnahmenplan</v>
      </c>
      <c r="B596" t="str">
        <f>pos(Actionplan!K294)</f>
        <v>$K$294</v>
      </c>
      <c r="C596" t="e">
        <f t="shared" ca="1" si="28"/>
        <v>#REF!</v>
      </c>
    </row>
    <row r="597" spans="1:3">
      <c r="A597" s="3" t="str">
        <f t="shared" si="25"/>
        <v>Actionplan-Maßnahmenplan</v>
      </c>
      <c r="B597" t="str">
        <f>pos(Actionplan!K295)</f>
        <v>$K$295</v>
      </c>
      <c r="C597" t="e">
        <f t="shared" ca="1" si="28"/>
        <v>#REF!</v>
      </c>
    </row>
    <row r="598" spans="1:3">
      <c r="A598" s="3" t="str">
        <f t="shared" si="25"/>
        <v>Actionplan-Maßnahmenplan</v>
      </c>
      <c r="B598" t="str">
        <f>pos(Actionplan!K296)</f>
        <v>$K$296</v>
      </c>
      <c r="C598" t="e">
        <f t="shared" ca="1" si="28"/>
        <v>#REF!</v>
      </c>
    </row>
    <row r="599" spans="1:3">
      <c r="A599" s="3" t="str">
        <f t="shared" si="25"/>
        <v>Actionplan-Maßnahmenplan</v>
      </c>
      <c r="B599" t="str">
        <f>pos(Actionplan!K304)</f>
        <v>$K$304</v>
      </c>
      <c r="C599" t="e">
        <f t="shared" ca="1" si="28"/>
        <v>#REF!</v>
      </c>
    </row>
    <row r="600" spans="1:3">
      <c r="A600" s="3" t="str">
        <f t="shared" si="25"/>
        <v>Actionplan-Maßnahmenplan</v>
      </c>
      <c r="B600" t="str">
        <f>pos(Actionplan!K305)</f>
        <v>$K$305</v>
      </c>
      <c r="C600" t="e">
        <f t="shared" ca="1" si="28"/>
        <v>#REF!</v>
      </c>
    </row>
    <row r="601" spans="1:3">
      <c r="A601" s="3" t="str">
        <f t="shared" si="25"/>
        <v>Actionplan-Maßnahmenplan</v>
      </c>
      <c r="B601" t="str">
        <f>pos(Actionplan!K306)</f>
        <v>$K$306</v>
      </c>
      <c r="C601" t="e">
        <f t="shared" ca="1" si="28"/>
        <v>#REF!</v>
      </c>
    </row>
    <row r="602" spans="1:3">
      <c r="A602" s="3" t="str">
        <f t="shared" si="25"/>
        <v>Actionplan-Maßnahmenplan</v>
      </c>
      <c r="B602" t="str">
        <f>pos(Actionplan!K314)</f>
        <v>$K$314</v>
      </c>
      <c r="C602" t="e">
        <f t="shared" ca="1" si="28"/>
        <v>#REF!</v>
      </c>
    </row>
    <row r="603" spans="1:3">
      <c r="A603" s="3" t="str">
        <f t="shared" si="25"/>
        <v>Actionplan-Maßnahmenplan</v>
      </c>
      <c r="B603" t="str">
        <f>pos(Actionplan!K315)</f>
        <v>$K$315</v>
      </c>
      <c r="C603" t="e">
        <f t="shared" ca="1" si="28"/>
        <v>#REF!</v>
      </c>
    </row>
    <row r="604" spans="1:3">
      <c r="A604" s="3" t="str">
        <f t="shared" si="25"/>
        <v>Actionplan-Maßnahmenplan</v>
      </c>
      <c r="B604" t="str">
        <f>pos(Actionplan!K316)</f>
        <v>$K$316</v>
      </c>
      <c r="C604" t="e">
        <f t="shared" ca="1" si="28"/>
        <v>#REF!</v>
      </c>
    </row>
    <row r="605" spans="1:3">
      <c r="A605" s="3" t="str">
        <f t="shared" si="25"/>
        <v>Actionplan-Maßnahmenplan</v>
      </c>
      <c r="B605" t="str">
        <f>pos(Actionplan!K317)</f>
        <v>$K$317</v>
      </c>
      <c r="C605" t="e">
        <f t="shared" ca="1" si="28"/>
        <v>#REF!</v>
      </c>
    </row>
    <row r="606" spans="1:3">
      <c r="A606" s="3" t="str">
        <f t="shared" si="25"/>
        <v>Actionplan-Maßnahmenplan</v>
      </c>
      <c r="B606" t="str">
        <f>pos(Actionplan!K318)</f>
        <v>$K$318</v>
      </c>
      <c r="C606" t="e">
        <f t="shared" ca="1" si="28"/>
        <v>#REF!</v>
      </c>
    </row>
    <row r="607" spans="1:3">
      <c r="A607" s="3" t="str">
        <f t="shared" si="25"/>
        <v>Actionplan-Maßnahmenplan</v>
      </c>
      <c r="B607" t="str">
        <f>pos(Actionplan!K319)</f>
        <v>$K$319</v>
      </c>
      <c r="C607" t="e">
        <f t="shared" ca="1" si="28"/>
        <v>#REF!</v>
      </c>
    </row>
    <row r="608" spans="1:3">
      <c r="A608" s="3" t="str">
        <f t="shared" si="25"/>
        <v>Actionplan-Maßnahmenplan</v>
      </c>
      <c r="B608" t="str">
        <f>pos(Actionplan!K320)</f>
        <v>$K$320</v>
      </c>
      <c r="C608" t="e">
        <f t="shared" ca="1" si="28"/>
        <v>#REF!</v>
      </c>
    </row>
    <row r="609" spans="1:3">
      <c r="A609" s="3" t="str">
        <f t="shared" si="25"/>
        <v>Actionplan-Maßnahmenplan</v>
      </c>
      <c r="B609" t="str">
        <f>pos(Actionplan!M12)</f>
        <v>$M$12</v>
      </c>
      <c r="C609" t="e">
        <f t="shared" ca="1" si="28"/>
        <v>#REF!</v>
      </c>
    </row>
    <row r="610" spans="1:3">
      <c r="A610" s="3" t="str">
        <f t="shared" si="25"/>
        <v>Actionplan-Maßnahmenplan</v>
      </c>
      <c r="B610" t="str">
        <f>pos(Actionplan!M13)</f>
        <v>$M$13</v>
      </c>
      <c r="C610" t="e">
        <f t="shared" ca="1" si="28"/>
        <v>#REF!</v>
      </c>
    </row>
    <row r="611" spans="1:3">
      <c r="A611" s="3" t="str">
        <f t="shared" ref="A611:A674" si="29">$A$482</f>
        <v>Actionplan-Maßnahmenplan</v>
      </c>
      <c r="B611" t="str">
        <f>pos(Actionplan!M14)</f>
        <v>$M$14</v>
      </c>
      <c r="C611" t="e">
        <f t="shared" ca="1" si="28"/>
        <v>#REF!</v>
      </c>
    </row>
    <row r="612" spans="1:3">
      <c r="A612" s="3" t="str">
        <f t="shared" si="29"/>
        <v>Actionplan-Maßnahmenplan</v>
      </c>
      <c r="B612" t="str">
        <f>pos(Actionplan!M15)</f>
        <v>$M$15</v>
      </c>
      <c r="C612" t="e">
        <f t="shared" ca="1" si="28"/>
        <v>#REF!</v>
      </c>
    </row>
    <row r="613" spans="1:3">
      <c r="A613" s="3" t="str">
        <f t="shared" si="29"/>
        <v>Actionplan-Maßnahmenplan</v>
      </c>
      <c r="B613" t="str">
        <f>pos(Actionplan!M16)</f>
        <v>$M$16</v>
      </c>
      <c r="C613" t="e">
        <f t="shared" ca="1" si="28"/>
        <v>#REF!</v>
      </c>
    </row>
    <row r="614" spans="1:3">
      <c r="A614" s="3" t="str">
        <f t="shared" si="29"/>
        <v>Actionplan-Maßnahmenplan</v>
      </c>
      <c r="B614" t="str">
        <f>pos(Actionplan!M17)</f>
        <v>$M$17</v>
      </c>
      <c r="C614" t="e">
        <f t="shared" ca="1" si="28"/>
        <v>#REF!</v>
      </c>
    </row>
    <row r="615" spans="1:3">
      <c r="A615" s="3" t="str">
        <f t="shared" si="29"/>
        <v>Actionplan-Maßnahmenplan</v>
      </c>
      <c r="B615" t="str">
        <f>pos(Actionplan!M18)</f>
        <v>$M$18</v>
      </c>
      <c r="C615" t="e">
        <f t="shared" ca="1" si="28"/>
        <v>#REF!</v>
      </c>
    </row>
    <row r="616" spans="1:3">
      <c r="A616" s="3" t="str">
        <f t="shared" si="29"/>
        <v>Actionplan-Maßnahmenplan</v>
      </c>
      <c r="B616" t="str">
        <f>pos(Actionplan!M19)</f>
        <v>$M$19</v>
      </c>
      <c r="C616" t="e">
        <f t="shared" ca="1" si="28"/>
        <v>#REF!</v>
      </c>
    </row>
    <row r="617" spans="1:3">
      <c r="A617" s="3" t="str">
        <f t="shared" si="29"/>
        <v>Actionplan-Maßnahmenplan</v>
      </c>
      <c r="B617" t="str">
        <f>pos(Actionplan!M20)</f>
        <v>$M$20</v>
      </c>
      <c r="C617" t="e">
        <f t="shared" ca="1" si="28"/>
        <v>#REF!</v>
      </c>
    </row>
    <row r="618" spans="1:3">
      <c r="A618" s="3" t="str">
        <f t="shared" si="29"/>
        <v>Actionplan-Maßnahmenplan</v>
      </c>
      <c r="B618" t="str">
        <f>pos(Actionplan!M21)</f>
        <v>$M$21</v>
      </c>
      <c r="C618" t="e">
        <f t="shared" ca="1" si="28"/>
        <v>#REF!</v>
      </c>
    </row>
    <row r="619" spans="1:3">
      <c r="A619" s="3" t="str">
        <f t="shared" si="29"/>
        <v>Actionplan-Maßnahmenplan</v>
      </c>
      <c r="B619" t="str">
        <f>pos(Actionplan!M22)</f>
        <v>$M$22</v>
      </c>
      <c r="C619" t="e">
        <f t="shared" ca="1" si="28"/>
        <v>#REF!</v>
      </c>
    </row>
    <row r="620" spans="1:3">
      <c r="A620" s="3" t="str">
        <f t="shared" si="29"/>
        <v>Actionplan-Maßnahmenplan</v>
      </c>
      <c r="B620" t="str">
        <f>pos(Actionplan!M23)</f>
        <v>$M$23</v>
      </c>
      <c r="C620" t="e">
        <f t="shared" ca="1" si="28"/>
        <v>#REF!</v>
      </c>
    </row>
    <row r="621" spans="1:3">
      <c r="A621" s="3" t="str">
        <f t="shared" si="29"/>
        <v>Actionplan-Maßnahmenplan</v>
      </c>
      <c r="B621" t="str">
        <f>pos(Actionplan!M24)</f>
        <v>$M$24</v>
      </c>
      <c r="C621" t="e">
        <f t="shared" ref="C621:C662" ca="1" si="30">IF(INDIRECT("'"&amp;A621&amp;"'!"&amp;B621)=0,"",INDIRECT("'"&amp;A621&amp;"'!"&amp;B621))</f>
        <v>#REF!</v>
      </c>
    </row>
    <row r="622" spans="1:3">
      <c r="A622" s="3" t="str">
        <f t="shared" si="29"/>
        <v>Actionplan-Maßnahmenplan</v>
      </c>
      <c r="B622" t="str">
        <f>pos(Actionplan!M25)</f>
        <v>$M$25</v>
      </c>
      <c r="C622" t="e">
        <f t="shared" ca="1" si="30"/>
        <v>#REF!</v>
      </c>
    </row>
    <row r="623" spans="1:3">
      <c r="A623" s="3" t="str">
        <f t="shared" si="29"/>
        <v>Actionplan-Maßnahmenplan</v>
      </c>
      <c r="B623" t="str">
        <f>pos(Actionplan!M26)</f>
        <v>$M$26</v>
      </c>
      <c r="C623" t="e">
        <f t="shared" ca="1" si="30"/>
        <v>#REF!</v>
      </c>
    </row>
    <row r="624" spans="1:3">
      <c r="A624" s="3" t="str">
        <f t="shared" si="29"/>
        <v>Actionplan-Maßnahmenplan</v>
      </c>
      <c r="B624" t="str">
        <f>pos(Actionplan!M27)</f>
        <v>$M$27</v>
      </c>
      <c r="C624" t="e">
        <f t="shared" ca="1" si="30"/>
        <v>#REF!</v>
      </c>
    </row>
    <row r="625" spans="1:3">
      <c r="A625" s="3" t="str">
        <f t="shared" si="29"/>
        <v>Actionplan-Maßnahmenplan</v>
      </c>
      <c r="B625" t="str">
        <f>pos(Actionplan!M28)</f>
        <v>$M$28</v>
      </c>
      <c r="C625" t="e">
        <f t="shared" ca="1" si="30"/>
        <v>#REF!</v>
      </c>
    </row>
    <row r="626" spans="1:3">
      <c r="A626" s="3" t="str">
        <f t="shared" si="29"/>
        <v>Actionplan-Maßnahmenplan</v>
      </c>
      <c r="B626" t="str">
        <f>pos(Actionplan!M29)</f>
        <v>$M$29</v>
      </c>
      <c r="C626" t="e">
        <f t="shared" ca="1" si="30"/>
        <v>#REF!</v>
      </c>
    </row>
    <row r="627" spans="1:3">
      <c r="A627" s="3" t="str">
        <f t="shared" si="29"/>
        <v>Actionplan-Maßnahmenplan</v>
      </c>
      <c r="B627" t="str">
        <f>pos(Actionplan!M30)</f>
        <v>$M$30</v>
      </c>
      <c r="C627" t="e">
        <f t="shared" ca="1" si="30"/>
        <v>#REF!</v>
      </c>
    </row>
    <row r="628" spans="1:3">
      <c r="A628" s="3" t="str">
        <f t="shared" si="29"/>
        <v>Actionplan-Maßnahmenplan</v>
      </c>
      <c r="B628" t="str">
        <f>pos(Actionplan!M31)</f>
        <v>$M$31</v>
      </c>
      <c r="C628" t="e">
        <f t="shared" ca="1" si="30"/>
        <v>#REF!</v>
      </c>
    </row>
    <row r="629" spans="1:3">
      <c r="A629" s="3" t="str">
        <f t="shared" si="29"/>
        <v>Actionplan-Maßnahmenplan</v>
      </c>
      <c r="B629" t="str">
        <f>pos(Actionplan!M32)</f>
        <v>$M$32</v>
      </c>
      <c r="C629" t="e">
        <f t="shared" ca="1" si="30"/>
        <v>#REF!</v>
      </c>
    </row>
    <row r="630" spans="1:3">
      <c r="A630" s="3" t="str">
        <f t="shared" si="29"/>
        <v>Actionplan-Maßnahmenplan</v>
      </c>
      <c r="B630" t="str">
        <f>pos(Actionplan!M33)</f>
        <v>$M$33</v>
      </c>
      <c r="C630" t="e">
        <f t="shared" ca="1" si="30"/>
        <v>#REF!</v>
      </c>
    </row>
    <row r="631" spans="1:3">
      <c r="A631" s="3" t="str">
        <f t="shared" si="29"/>
        <v>Actionplan-Maßnahmenplan</v>
      </c>
      <c r="B631" t="str">
        <f>pos(Actionplan!M34)</f>
        <v>$M$34</v>
      </c>
      <c r="C631" t="e">
        <f t="shared" ca="1" si="30"/>
        <v>#REF!</v>
      </c>
    </row>
    <row r="632" spans="1:3">
      <c r="A632" s="3" t="str">
        <f t="shared" si="29"/>
        <v>Actionplan-Maßnahmenplan</v>
      </c>
      <c r="B632" t="str">
        <f>pos(Actionplan!M35)</f>
        <v>$M$35</v>
      </c>
      <c r="C632" t="e">
        <f t="shared" ca="1" si="30"/>
        <v>#REF!</v>
      </c>
    </row>
    <row r="633" spans="1:3">
      <c r="A633" s="3" t="str">
        <f t="shared" si="29"/>
        <v>Actionplan-Maßnahmenplan</v>
      </c>
      <c r="B633" t="str">
        <f>pos(Actionplan!M36)</f>
        <v>$M$36</v>
      </c>
      <c r="C633" t="e">
        <f t="shared" ca="1" si="30"/>
        <v>#REF!</v>
      </c>
    </row>
    <row r="634" spans="1:3">
      <c r="A634" s="3" t="str">
        <f t="shared" si="29"/>
        <v>Actionplan-Maßnahmenplan</v>
      </c>
      <c r="B634" t="str">
        <f>pos(Actionplan!M37)</f>
        <v>$M$37</v>
      </c>
      <c r="C634" t="e">
        <f t="shared" ca="1" si="30"/>
        <v>#REF!</v>
      </c>
    </row>
    <row r="635" spans="1:3">
      <c r="A635" s="3" t="str">
        <f t="shared" si="29"/>
        <v>Actionplan-Maßnahmenplan</v>
      </c>
      <c r="B635" t="str">
        <f>pos(Actionplan!M38)</f>
        <v>$M$38</v>
      </c>
      <c r="C635" t="e">
        <f t="shared" ca="1" si="30"/>
        <v>#REF!</v>
      </c>
    </row>
    <row r="636" spans="1:3">
      <c r="A636" s="3" t="str">
        <f t="shared" si="29"/>
        <v>Actionplan-Maßnahmenplan</v>
      </c>
      <c r="B636" t="str">
        <f>pos(Actionplan!M39)</f>
        <v>$M$39</v>
      </c>
      <c r="C636" t="e">
        <f t="shared" ca="1" si="30"/>
        <v>#REF!</v>
      </c>
    </row>
    <row r="637" spans="1:3">
      <c r="A637" s="3" t="str">
        <f t="shared" si="29"/>
        <v>Actionplan-Maßnahmenplan</v>
      </c>
      <c r="B637" t="str">
        <f>pos(Actionplan!M40)</f>
        <v>$M$40</v>
      </c>
      <c r="C637" t="e">
        <f t="shared" ca="1" si="30"/>
        <v>#REF!</v>
      </c>
    </row>
    <row r="638" spans="1:3">
      <c r="A638" s="3" t="str">
        <f t="shared" si="29"/>
        <v>Actionplan-Maßnahmenplan</v>
      </c>
      <c r="B638" t="str">
        <f>pos(Actionplan!M41)</f>
        <v>$M$41</v>
      </c>
      <c r="C638" t="e">
        <f t="shared" ca="1" si="30"/>
        <v>#REF!</v>
      </c>
    </row>
    <row r="639" spans="1:3">
      <c r="A639" s="3" t="str">
        <f t="shared" si="29"/>
        <v>Actionplan-Maßnahmenplan</v>
      </c>
      <c r="B639" t="str">
        <f>pos(Actionplan!M42)</f>
        <v>$M$42</v>
      </c>
      <c r="C639" t="e">
        <f t="shared" ca="1" si="30"/>
        <v>#REF!</v>
      </c>
    </row>
    <row r="640" spans="1:3">
      <c r="A640" s="3" t="str">
        <f t="shared" si="29"/>
        <v>Actionplan-Maßnahmenplan</v>
      </c>
      <c r="B640" t="str">
        <f>pos(Actionplan!M43)</f>
        <v>$M$43</v>
      </c>
      <c r="C640" t="e">
        <f t="shared" ca="1" si="30"/>
        <v>#REF!</v>
      </c>
    </row>
    <row r="641" spans="1:3">
      <c r="A641" s="3" t="str">
        <f t="shared" si="29"/>
        <v>Actionplan-Maßnahmenplan</v>
      </c>
      <c r="B641" t="str">
        <f>pos(Actionplan!M44)</f>
        <v>$M$44</v>
      </c>
      <c r="C641" t="e">
        <f t="shared" ca="1" si="30"/>
        <v>#REF!</v>
      </c>
    </row>
    <row r="642" spans="1:3">
      <c r="A642" s="3" t="str">
        <f t="shared" si="29"/>
        <v>Actionplan-Maßnahmenplan</v>
      </c>
      <c r="B642" t="str">
        <f>pos(Actionplan!M45)</f>
        <v>$M$45</v>
      </c>
      <c r="C642" t="e">
        <f t="shared" ca="1" si="30"/>
        <v>#REF!</v>
      </c>
    </row>
    <row r="643" spans="1:3">
      <c r="A643" s="3" t="str">
        <f t="shared" si="29"/>
        <v>Actionplan-Maßnahmenplan</v>
      </c>
      <c r="B643" t="str">
        <f>pos(Actionplan!M46)</f>
        <v>$M$46</v>
      </c>
      <c r="C643" t="e">
        <f t="shared" ca="1" si="30"/>
        <v>#REF!</v>
      </c>
    </row>
    <row r="644" spans="1:3">
      <c r="A644" s="3" t="str">
        <f t="shared" si="29"/>
        <v>Actionplan-Maßnahmenplan</v>
      </c>
      <c r="B644" t="str">
        <f>pos(Actionplan!M47)</f>
        <v>$M$47</v>
      </c>
      <c r="C644" t="e">
        <f t="shared" ca="1" si="30"/>
        <v>#REF!</v>
      </c>
    </row>
    <row r="645" spans="1:3">
      <c r="A645" s="3" t="str">
        <f t="shared" si="29"/>
        <v>Actionplan-Maßnahmenplan</v>
      </c>
      <c r="B645" t="str">
        <f>pos(Actionplan!M48)</f>
        <v>$M$48</v>
      </c>
      <c r="C645" t="e">
        <f t="shared" ca="1" si="30"/>
        <v>#REF!</v>
      </c>
    </row>
    <row r="646" spans="1:3">
      <c r="A646" s="3" t="str">
        <f t="shared" si="29"/>
        <v>Actionplan-Maßnahmenplan</v>
      </c>
      <c r="B646" t="str">
        <f>pos(Actionplan!M49)</f>
        <v>$M$49</v>
      </c>
      <c r="C646" t="e">
        <f t="shared" ca="1" si="30"/>
        <v>#REF!</v>
      </c>
    </row>
    <row r="647" spans="1:3">
      <c r="A647" s="3" t="str">
        <f t="shared" si="29"/>
        <v>Actionplan-Maßnahmenplan</v>
      </c>
      <c r="B647" t="str">
        <f>pos(Actionplan!M50)</f>
        <v>$M$50</v>
      </c>
      <c r="C647" t="e">
        <f t="shared" ca="1" si="30"/>
        <v>#REF!</v>
      </c>
    </row>
    <row r="648" spans="1:3">
      <c r="A648" s="3" t="str">
        <f t="shared" si="29"/>
        <v>Actionplan-Maßnahmenplan</v>
      </c>
      <c r="B648" t="str">
        <f>pos(Actionplan!M51)</f>
        <v>$M$51</v>
      </c>
      <c r="C648" t="e">
        <f t="shared" ca="1" si="30"/>
        <v>#REF!</v>
      </c>
    </row>
    <row r="649" spans="1:3">
      <c r="A649" s="3" t="str">
        <f t="shared" si="29"/>
        <v>Actionplan-Maßnahmenplan</v>
      </c>
      <c r="B649" t="str">
        <f>pos(Actionplan!M52)</f>
        <v>$M$52</v>
      </c>
      <c r="C649" t="e">
        <f t="shared" ca="1" si="30"/>
        <v>#REF!</v>
      </c>
    </row>
    <row r="650" spans="1:3">
      <c r="A650" s="3" t="str">
        <f t="shared" si="29"/>
        <v>Actionplan-Maßnahmenplan</v>
      </c>
      <c r="B650" t="str">
        <f>pos(Actionplan!M53)</f>
        <v>$M$53</v>
      </c>
      <c r="C650" t="e">
        <f t="shared" ca="1" si="30"/>
        <v>#REF!</v>
      </c>
    </row>
    <row r="651" spans="1:3">
      <c r="A651" s="3" t="str">
        <f t="shared" si="29"/>
        <v>Actionplan-Maßnahmenplan</v>
      </c>
      <c r="B651" t="str">
        <f>pos(Actionplan!M54)</f>
        <v>$M$54</v>
      </c>
      <c r="C651" t="e">
        <f t="shared" ca="1" si="30"/>
        <v>#REF!</v>
      </c>
    </row>
    <row r="652" spans="1:3">
      <c r="A652" s="3" t="str">
        <f t="shared" si="29"/>
        <v>Actionplan-Maßnahmenplan</v>
      </c>
      <c r="B652" t="str">
        <f>pos(Actionplan!M55)</f>
        <v>$M$55</v>
      </c>
      <c r="C652" t="e">
        <f t="shared" ca="1" si="30"/>
        <v>#REF!</v>
      </c>
    </row>
    <row r="653" spans="1:3">
      <c r="A653" s="3" t="str">
        <f t="shared" si="29"/>
        <v>Actionplan-Maßnahmenplan</v>
      </c>
      <c r="B653" t="str">
        <f>pos(Actionplan!M56)</f>
        <v>$M$56</v>
      </c>
      <c r="C653" t="e">
        <f t="shared" ca="1" si="30"/>
        <v>#REF!</v>
      </c>
    </row>
    <row r="654" spans="1:3">
      <c r="A654" s="3" t="str">
        <f t="shared" si="29"/>
        <v>Actionplan-Maßnahmenplan</v>
      </c>
      <c r="B654" t="str">
        <f>pos(Actionplan!M64)</f>
        <v>$M$64</v>
      </c>
      <c r="C654" t="e">
        <f t="shared" ca="1" si="30"/>
        <v>#REF!</v>
      </c>
    </row>
    <row r="655" spans="1:3">
      <c r="A655" s="3" t="str">
        <f t="shared" si="29"/>
        <v>Actionplan-Maßnahmenplan</v>
      </c>
      <c r="B655" t="str">
        <f>pos(Actionplan!M65)</f>
        <v>$M$65</v>
      </c>
      <c r="C655" t="e">
        <f t="shared" ca="1" si="30"/>
        <v>#REF!</v>
      </c>
    </row>
    <row r="656" spans="1:3">
      <c r="A656" s="3" t="str">
        <f t="shared" si="29"/>
        <v>Actionplan-Maßnahmenplan</v>
      </c>
      <c r="B656" t="str">
        <f>pos(Actionplan!M66)</f>
        <v>$M$66</v>
      </c>
      <c r="C656" t="e">
        <f t="shared" ca="1" si="30"/>
        <v>#REF!</v>
      </c>
    </row>
    <row r="657" spans="1:3">
      <c r="A657" s="3" t="str">
        <f t="shared" si="29"/>
        <v>Actionplan-Maßnahmenplan</v>
      </c>
      <c r="B657" t="str">
        <f>pos(Actionplan!M74)</f>
        <v>$M$74</v>
      </c>
      <c r="C657" t="e">
        <f t="shared" ca="1" si="30"/>
        <v>#REF!</v>
      </c>
    </row>
    <row r="658" spans="1:3">
      <c r="A658" s="3" t="str">
        <f t="shared" si="29"/>
        <v>Actionplan-Maßnahmenplan</v>
      </c>
      <c r="B658" t="str">
        <f>pos(Actionplan!M75)</f>
        <v>$M$75</v>
      </c>
      <c r="C658" t="e">
        <f t="shared" ca="1" si="30"/>
        <v>#REF!</v>
      </c>
    </row>
    <row r="659" spans="1:3">
      <c r="A659" s="3" t="str">
        <f t="shared" si="29"/>
        <v>Actionplan-Maßnahmenplan</v>
      </c>
      <c r="B659" t="str">
        <f>pos(Actionplan!M76)</f>
        <v>$M$76</v>
      </c>
      <c r="C659" t="e">
        <f t="shared" ca="1" si="30"/>
        <v>#REF!</v>
      </c>
    </row>
    <row r="660" spans="1:3">
      <c r="A660" s="3" t="str">
        <f t="shared" si="29"/>
        <v>Actionplan-Maßnahmenplan</v>
      </c>
      <c r="B660" t="str">
        <f>pos(Actionplan!M84)</f>
        <v>$M$84</v>
      </c>
      <c r="C660" t="e">
        <f t="shared" ca="1" si="30"/>
        <v>#REF!</v>
      </c>
    </row>
    <row r="661" spans="1:3">
      <c r="A661" s="3" t="str">
        <f t="shared" si="29"/>
        <v>Actionplan-Maßnahmenplan</v>
      </c>
      <c r="B661" t="str">
        <f>pos(Actionplan!M85)</f>
        <v>$M$85</v>
      </c>
      <c r="C661" t="e">
        <f t="shared" ca="1" si="30"/>
        <v>#REF!</v>
      </c>
    </row>
    <row r="662" spans="1:3">
      <c r="A662" s="3" t="str">
        <f t="shared" si="29"/>
        <v>Actionplan-Maßnahmenplan</v>
      </c>
      <c r="B662" t="str">
        <f>pos(Actionplan!M86)</f>
        <v>$M$86</v>
      </c>
      <c r="C662" t="e">
        <f t="shared" ca="1" si="30"/>
        <v>#REF!</v>
      </c>
    </row>
    <row r="663" spans="1:3">
      <c r="A663" s="3" t="str">
        <f t="shared" si="29"/>
        <v>Actionplan-Maßnahmenplan</v>
      </c>
      <c r="B663" t="str">
        <f>pos(Actionplan!M94)</f>
        <v>$M$94</v>
      </c>
      <c r="C663" t="e">
        <f t="shared" ref="C663:C680" ca="1" si="31">IF(INDIRECT("'"&amp;A663&amp;"'!"&amp;B663)=0,"",INDIRECT("'"&amp;A663&amp;"'!"&amp;B663))</f>
        <v>#REF!</v>
      </c>
    </row>
    <row r="664" spans="1:3">
      <c r="A664" s="3" t="str">
        <f t="shared" si="29"/>
        <v>Actionplan-Maßnahmenplan</v>
      </c>
      <c r="B664" t="str">
        <f>pos(Actionplan!M95)</f>
        <v>$M$95</v>
      </c>
      <c r="C664" t="e">
        <f t="shared" ca="1" si="31"/>
        <v>#REF!</v>
      </c>
    </row>
    <row r="665" spans="1:3">
      <c r="A665" s="3" t="str">
        <f t="shared" si="29"/>
        <v>Actionplan-Maßnahmenplan</v>
      </c>
      <c r="B665" t="str">
        <f>pos(Actionplan!M96)</f>
        <v>$M$96</v>
      </c>
      <c r="C665" t="e">
        <f t="shared" ca="1" si="31"/>
        <v>#REF!</v>
      </c>
    </row>
    <row r="666" spans="1:3">
      <c r="A666" s="3" t="str">
        <f t="shared" si="29"/>
        <v>Actionplan-Maßnahmenplan</v>
      </c>
      <c r="B666" t="str">
        <f>pos(Actionplan!M104)</f>
        <v>$M$104</v>
      </c>
      <c r="C666" t="e">
        <f t="shared" ca="1" si="31"/>
        <v>#REF!</v>
      </c>
    </row>
    <row r="667" spans="1:3">
      <c r="A667" s="3" t="str">
        <f t="shared" si="29"/>
        <v>Actionplan-Maßnahmenplan</v>
      </c>
      <c r="B667" t="str">
        <f>pos(Actionplan!M105)</f>
        <v>$M$105</v>
      </c>
      <c r="C667" t="e">
        <f t="shared" ca="1" si="31"/>
        <v>#REF!</v>
      </c>
    </row>
    <row r="668" spans="1:3">
      <c r="A668" s="3" t="str">
        <f t="shared" si="29"/>
        <v>Actionplan-Maßnahmenplan</v>
      </c>
      <c r="B668" t="str">
        <f>pos(Actionplan!M106)</f>
        <v>$M$106</v>
      </c>
      <c r="C668" t="e">
        <f t="shared" ca="1" si="31"/>
        <v>#REF!</v>
      </c>
    </row>
    <row r="669" spans="1:3">
      <c r="A669" s="3" t="str">
        <f t="shared" si="29"/>
        <v>Actionplan-Maßnahmenplan</v>
      </c>
      <c r="B669" t="str">
        <f>pos(Actionplan!M114)</f>
        <v>$M$114</v>
      </c>
      <c r="C669" t="e">
        <f t="shared" ca="1" si="31"/>
        <v>#REF!</v>
      </c>
    </row>
    <row r="670" spans="1:3">
      <c r="A670" s="3" t="str">
        <f t="shared" si="29"/>
        <v>Actionplan-Maßnahmenplan</v>
      </c>
      <c r="B670" t="str">
        <f>pos(Actionplan!M115)</f>
        <v>$M$115</v>
      </c>
      <c r="C670" t="e">
        <f t="shared" ca="1" si="31"/>
        <v>#REF!</v>
      </c>
    </row>
    <row r="671" spans="1:3">
      <c r="A671" s="3" t="str">
        <f t="shared" si="29"/>
        <v>Actionplan-Maßnahmenplan</v>
      </c>
      <c r="B671" t="str">
        <f>pos(Actionplan!M116)</f>
        <v>$M$116</v>
      </c>
      <c r="C671" t="e">
        <f t="shared" ca="1" si="31"/>
        <v>#REF!</v>
      </c>
    </row>
    <row r="672" spans="1:3">
      <c r="A672" s="3" t="str">
        <f t="shared" si="29"/>
        <v>Actionplan-Maßnahmenplan</v>
      </c>
      <c r="B672" t="str">
        <f>pos(Actionplan!M124)</f>
        <v>$M$124</v>
      </c>
      <c r="C672" t="e">
        <f t="shared" ca="1" si="31"/>
        <v>#REF!</v>
      </c>
    </row>
    <row r="673" spans="1:3">
      <c r="A673" s="3" t="str">
        <f t="shared" si="29"/>
        <v>Actionplan-Maßnahmenplan</v>
      </c>
      <c r="B673" t="str">
        <f>pos(Actionplan!M125)</f>
        <v>$M$125</v>
      </c>
      <c r="C673" t="e">
        <f t="shared" ca="1" si="31"/>
        <v>#REF!</v>
      </c>
    </row>
    <row r="674" spans="1:3">
      <c r="A674" s="3" t="str">
        <f t="shared" si="29"/>
        <v>Actionplan-Maßnahmenplan</v>
      </c>
      <c r="B674" t="str">
        <f>pos(Actionplan!M126)</f>
        <v>$M$126</v>
      </c>
      <c r="C674" t="e">
        <f t="shared" ca="1" si="31"/>
        <v>#REF!</v>
      </c>
    </row>
    <row r="675" spans="1:3">
      <c r="A675" s="3" t="str">
        <f t="shared" ref="A675:A738" si="32">$A$482</f>
        <v>Actionplan-Maßnahmenplan</v>
      </c>
      <c r="B675" t="str">
        <f>pos(Actionplan!M134)</f>
        <v>$M$134</v>
      </c>
      <c r="C675" t="e">
        <f t="shared" ca="1" si="31"/>
        <v>#REF!</v>
      </c>
    </row>
    <row r="676" spans="1:3">
      <c r="A676" s="3" t="str">
        <f t="shared" si="32"/>
        <v>Actionplan-Maßnahmenplan</v>
      </c>
      <c r="B676" t="str">
        <f>pos(Actionplan!M135)</f>
        <v>$M$135</v>
      </c>
      <c r="C676" t="e">
        <f t="shared" ca="1" si="31"/>
        <v>#REF!</v>
      </c>
    </row>
    <row r="677" spans="1:3">
      <c r="A677" s="3" t="str">
        <f t="shared" si="32"/>
        <v>Actionplan-Maßnahmenplan</v>
      </c>
      <c r="B677" t="str">
        <f>pos(Actionplan!M136)</f>
        <v>$M$136</v>
      </c>
      <c r="C677" t="e">
        <f t="shared" ca="1" si="31"/>
        <v>#REF!</v>
      </c>
    </row>
    <row r="678" spans="1:3">
      <c r="A678" s="3" t="str">
        <f t="shared" si="32"/>
        <v>Actionplan-Maßnahmenplan</v>
      </c>
      <c r="B678" t="str">
        <f>pos(Actionplan!M144)</f>
        <v>$M$144</v>
      </c>
      <c r="C678" t="e">
        <f t="shared" ca="1" si="31"/>
        <v>#REF!</v>
      </c>
    </row>
    <row r="679" spans="1:3">
      <c r="A679" s="3" t="str">
        <f t="shared" si="32"/>
        <v>Actionplan-Maßnahmenplan</v>
      </c>
      <c r="B679" t="str">
        <f>pos(Actionplan!M145)</f>
        <v>$M$145</v>
      </c>
      <c r="C679" t="e">
        <f t="shared" ca="1" si="31"/>
        <v>#REF!</v>
      </c>
    </row>
    <row r="680" spans="1:3">
      <c r="A680" s="3" t="str">
        <f t="shared" si="32"/>
        <v>Actionplan-Maßnahmenplan</v>
      </c>
      <c r="B680" t="str">
        <f>pos(Actionplan!M146)</f>
        <v>$M$146</v>
      </c>
      <c r="C680" t="e">
        <f t="shared" ca="1" si="31"/>
        <v>#REF!</v>
      </c>
    </row>
    <row r="681" spans="1:3">
      <c r="A681" s="3" t="str">
        <f t="shared" si="32"/>
        <v>Actionplan-Maßnahmenplan</v>
      </c>
      <c r="B681" t="str">
        <f>pos(Actionplan!M154)</f>
        <v>$M$154</v>
      </c>
      <c r="C681" t="e">
        <f t="shared" ref="C681:C700" ca="1" si="33">IF(INDIRECT("'"&amp;A681&amp;"'!"&amp;B681)=0,"",INDIRECT("'"&amp;A681&amp;"'!"&amp;B681))</f>
        <v>#REF!</v>
      </c>
    </row>
    <row r="682" spans="1:3">
      <c r="A682" s="3" t="str">
        <f t="shared" si="32"/>
        <v>Actionplan-Maßnahmenplan</v>
      </c>
      <c r="B682" t="str">
        <f>pos(Actionplan!M155)</f>
        <v>$M$155</v>
      </c>
      <c r="C682" t="e">
        <f t="shared" ca="1" si="33"/>
        <v>#REF!</v>
      </c>
    </row>
    <row r="683" spans="1:3">
      <c r="A683" s="3" t="str">
        <f t="shared" si="32"/>
        <v>Actionplan-Maßnahmenplan</v>
      </c>
      <c r="B683" t="str">
        <f>pos(Actionplan!M156)</f>
        <v>$M$156</v>
      </c>
      <c r="C683" t="e">
        <f t="shared" ca="1" si="33"/>
        <v>#REF!</v>
      </c>
    </row>
    <row r="684" spans="1:3">
      <c r="A684" s="3" t="str">
        <f t="shared" si="32"/>
        <v>Actionplan-Maßnahmenplan</v>
      </c>
      <c r="B684" t="str">
        <f>pos(Actionplan!M164)</f>
        <v>$M$164</v>
      </c>
      <c r="C684" t="e">
        <f t="shared" ca="1" si="33"/>
        <v>#REF!</v>
      </c>
    </row>
    <row r="685" spans="1:3">
      <c r="A685" s="3" t="str">
        <f t="shared" si="32"/>
        <v>Actionplan-Maßnahmenplan</v>
      </c>
      <c r="B685" t="str">
        <f>pos(Actionplan!M165)</f>
        <v>$M$165</v>
      </c>
      <c r="C685" t="e">
        <f t="shared" ca="1" si="33"/>
        <v>#REF!</v>
      </c>
    </row>
    <row r="686" spans="1:3">
      <c r="A686" s="3" t="str">
        <f t="shared" si="32"/>
        <v>Actionplan-Maßnahmenplan</v>
      </c>
      <c r="B686" t="str">
        <f>pos(Actionplan!M166)</f>
        <v>$M$166</v>
      </c>
      <c r="C686" t="e">
        <f t="shared" ca="1" si="33"/>
        <v>#REF!</v>
      </c>
    </row>
    <row r="687" spans="1:3">
      <c r="A687" s="3" t="str">
        <f t="shared" si="32"/>
        <v>Actionplan-Maßnahmenplan</v>
      </c>
      <c r="B687" t="str">
        <f>pos(Actionplan!M174)</f>
        <v>$M$174</v>
      </c>
      <c r="C687" t="e">
        <f t="shared" ca="1" si="33"/>
        <v>#REF!</v>
      </c>
    </row>
    <row r="688" spans="1:3">
      <c r="A688" s="3" t="str">
        <f t="shared" si="32"/>
        <v>Actionplan-Maßnahmenplan</v>
      </c>
      <c r="B688" t="str">
        <f>pos(Actionplan!M175)</f>
        <v>$M$175</v>
      </c>
      <c r="C688" t="e">
        <f t="shared" ca="1" si="33"/>
        <v>#REF!</v>
      </c>
    </row>
    <row r="689" spans="1:3">
      <c r="A689" s="3" t="str">
        <f t="shared" si="32"/>
        <v>Actionplan-Maßnahmenplan</v>
      </c>
      <c r="B689" t="str">
        <f>pos(Actionplan!M176)</f>
        <v>$M$176</v>
      </c>
      <c r="C689" t="e">
        <f t="shared" ca="1" si="33"/>
        <v>#REF!</v>
      </c>
    </row>
    <row r="690" spans="1:3">
      <c r="A690" s="3" t="str">
        <f t="shared" si="32"/>
        <v>Actionplan-Maßnahmenplan</v>
      </c>
      <c r="B690" t="str">
        <f>pos(Actionplan!M184)</f>
        <v>$M$184</v>
      </c>
      <c r="C690" t="e">
        <f t="shared" ca="1" si="33"/>
        <v>#REF!</v>
      </c>
    </row>
    <row r="691" spans="1:3">
      <c r="A691" s="3" t="str">
        <f t="shared" si="32"/>
        <v>Actionplan-Maßnahmenplan</v>
      </c>
      <c r="B691" t="str">
        <f>pos(Actionplan!M185)</f>
        <v>$M$185</v>
      </c>
      <c r="C691" t="e">
        <f t="shared" ca="1" si="33"/>
        <v>#REF!</v>
      </c>
    </row>
    <row r="692" spans="1:3">
      <c r="A692" s="3" t="str">
        <f t="shared" si="32"/>
        <v>Actionplan-Maßnahmenplan</v>
      </c>
      <c r="B692" t="str">
        <f>pos(Actionplan!M186)</f>
        <v>$M$186</v>
      </c>
      <c r="C692" t="e">
        <f t="shared" ca="1" si="33"/>
        <v>#REF!</v>
      </c>
    </row>
    <row r="693" spans="1:3">
      <c r="A693" s="3" t="str">
        <f t="shared" si="32"/>
        <v>Actionplan-Maßnahmenplan</v>
      </c>
      <c r="B693" t="str">
        <f>pos(Actionplan!M194)</f>
        <v>$M$194</v>
      </c>
      <c r="C693" t="e">
        <f t="shared" ca="1" si="33"/>
        <v>#REF!</v>
      </c>
    </row>
    <row r="694" spans="1:3">
      <c r="A694" s="3" t="str">
        <f t="shared" si="32"/>
        <v>Actionplan-Maßnahmenplan</v>
      </c>
      <c r="B694" t="str">
        <f>pos(Actionplan!M195)</f>
        <v>$M$195</v>
      </c>
      <c r="C694" t="e">
        <f t="shared" ca="1" si="33"/>
        <v>#REF!</v>
      </c>
    </row>
    <row r="695" spans="1:3">
      <c r="A695" s="3" t="str">
        <f t="shared" si="32"/>
        <v>Actionplan-Maßnahmenplan</v>
      </c>
      <c r="B695" t="str">
        <f>pos(Actionplan!M196)</f>
        <v>$M$196</v>
      </c>
      <c r="C695" t="e">
        <f t="shared" ca="1" si="33"/>
        <v>#REF!</v>
      </c>
    </row>
    <row r="696" spans="1:3">
      <c r="A696" s="3" t="str">
        <f t="shared" si="32"/>
        <v>Actionplan-Maßnahmenplan</v>
      </c>
      <c r="B696" t="str">
        <f>pos(Actionplan!M204)</f>
        <v>$M$204</v>
      </c>
      <c r="C696" t="e">
        <f t="shared" ca="1" si="33"/>
        <v>#REF!</v>
      </c>
    </row>
    <row r="697" spans="1:3">
      <c r="A697" s="3" t="str">
        <f t="shared" si="32"/>
        <v>Actionplan-Maßnahmenplan</v>
      </c>
      <c r="B697" t="str">
        <f>pos(Actionplan!M205)</f>
        <v>$M$205</v>
      </c>
      <c r="C697" t="e">
        <f t="shared" ca="1" si="33"/>
        <v>#REF!</v>
      </c>
    </row>
    <row r="698" spans="1:3">
      <c r="A698" s="3" t="str">
        <f t="shared" si="32"/>
        <v>Actionplan-Maßnahmenplan</v>
      </c>
      <c r="B698" t="str">
        <f>pos(Actionplan!M206)</f>
        <v>$M$206</v>
      </c>
      <c r="C698" t="e">
        <f t="shared" ca="1" si="33"/>
        <v>#REF!</v>
      </c>
    </row>
    <row r="699" spans="1:3">
      <c r="A699" s="3" t="str">
        <f t="shared" si="32"/>
        <v>Actionplan-Maßnahmenplan</v>
      </c>
      <c r="B699" t="str">
        <f>pos(Actionplan!M214)</f>
        <v>$M$214</v>
      </c>
      <c r="C699" t="e">
        <f t="shared" ca="1" si="33"/>
        <v>#REF!</v>
      </c>
    </row>
    <row r="700" spans="1:3">
      <c r="A700" s="3" t="str">
        <f t="shared" si="32"/>
        <v>Actionplan-Maßnahmenplan</v>
      </c>
      <c r="B700" t="str">
        <f>pos(Actionplan!M215)</f>
        <v>$M$215</v>
      </c>
      <c r="C700" t="e">
        <f t="shared" ca="1" si="33"/>
        <v>#REF!</v>
      </c>
    </row>
    <row r="701" spans="1:3">
      <c r="A701" s="3" t="str">
        <f t="shared" si="32"/>
        <v>Actionplan-Maßnahmenplan</v>
      </c>
      <c r="B701" t="str">
        <f>pos(Actionplan!M216)</f>
        <v>$M$216</v>
      </c>
      <c r="C701" t="e">
        <f t="shared" ref="C701:C719" ca="1" si="34">IF(INDIRECT("'"&amp;A701&amp;"'!"&amp;B701)=0,"",INDIRECT("'"&amp;A701&amp;"'!"&amp;B701))</f>
        <v>#REF!</v>
      </c>
    </row>
    <row r="702" spans="1:3">
      <c r="A702" s="3" t="str">
        <f t="shared" si="32"/>
        <v>Actionplan-Maßnahmenplan</v>
      </c>
      <c r="B702" t="str">
        <f>pos(Actionplan!M224)</f>
        <v>$M$224</v>
      </c>
      <c r="C702" t="e">
        <f t="shared" ca="1" si="34"/>
        <v>#REF!</v>
      </c>
    </row>
    <row r="703" spans="1:3">
      <c r="A703" s="3" t="str">
        <f t="shared" si="32"/>
        <v>Actionplan-Maßnahmenplan</v>
      </c>
      <c r="B703" t="str">
        <f>pos(Actionplan!M225)</f>
        <v>$M$225</v>
      </c>
      <c r="C703" t="e">
        <f t="shared" ca="1" si="34"/>
        <v>#REF!</v>
      </c>
    </row>
    <row r="704" spans="1:3">
      <c r="A704" s="3" t="str">
        <f t="shared" si="32"/>
        <v>Actionplan-Maßnahmenplan</v>
      </c>
      <c r="B704" t="str">
        <f>pos(Actionplan!M226)</f>
        <v>$M$226</v>
      </c>
      <c r="C704" t="e">
        <f t="shared" ca="1" si="34"/>
        <v>#REF!</v>
      </c>
    </row>
    <row r="705" spans="1:3">
      <c r="A705" s="3" t="str">
        <f t="shared" si="32"/>
        <v>Actionplan-Maßnahmenplan</v>
      </c>
      <c r="B705" t="str">
        <f>pos(Actionplan!M234)</f>
        <v>$M$234</v>
      </c>
      <c r="C705" t="e">
        <f t="shared" ca="1" si="34"/>
        <v>#REF!</v>
      </c>
    </row>
    <row r="706" spans="1:3">
      <c r="A706" s="3" t="str">
        <f t="shared" si="32"/>
        <v>Actionplan-Maßnahmenplan</v>
      </c>
      <c r="B706" t="str">
        <f>pos(Actionplan!M235)</f>
        <v>$M$235</v>
      </c>
      <c r="C706" t="e">
        <f t="shared" ca="1" si="34"/>
        <v>#REF!</v>
      </c>
    </row>
    <row r="707" spans="1:3">
      <c r="A707" s="3" t="str">
        <f t="shared" si="32"/>
        <v>Actionplan-Maßnahmenplan</v>
      </c>
      <c r="B707" t="str">
        <f>pos(Actionplan!M236)</f>
        <v>$M$236</v>
      </c>
      <c r="C707" t="e">
        <f t="shared" ca="1" si="34"/>
        <v>#REF!</v>
      </c>
    </row>
    <row r="708" spans="1:3">
      <c r="A708" s="3" t="str">
        <f t="shared" si="32"/>
        <v>Actionplan-Maßnahmenplan</v>
      </c>
      <c r="B708" t="str">
        <f>pos(Actionplan!M244)</f>
        <v>$M$244</v>
      </c>
      <c r="C708" t="e">
        <f t="shared" ca="1" si="34"/>
        <v>#REF!</v>
      </c>
    </row>
    <row r="709" spans="1:3">
      <c r="A709" s="3" t="str">
        <f t="shared" si="32"/>
        <v>Actionplan-Maßnahmenplan</v>
      </c>
      <c r="B709" t="str">
        <f>pos(Actionplan!M245)</f>
        <v>$M$245</v>
      </c>
      <c r="C709" t="e">
        <f t="shared" ca="1" si="34"/>
        <v>#REF!</v>
      </c>
    </row>
    <row r="710" spans="1:3">
      <c r="A710" s="3" t="str">
        <f t="shared" si="32"/>
        <v>Actionplan-Maßnahmenplan</v>
      </c>
      <c r="B710" t="str">
        <f>pos(Actionplan!M246)</f>
        <v>$M$246</v>
      </c>
      <c r="C710" t="e">
        <f t="shared" ca="1" si="34"/>
        <v>#REF!</v>
      </c>
    </row>
    <row r="711" spans="1:3">
      <c r="A711" s="3" t="str">
        <f t="shared" si="32"/>
        <v>Actionplan-Maßnahmenplan</v>
      </c>
      <c r="B711" t="str">
        <f>pos(Actionplan!M254)</f>
        <v>$M$254</v>
      </c>
      <c r="C711" t="e">
        <f t="shared" ca="1" si="34"/>
        <v>#REF!</v>
      </c>
    </row>
    <row r="712" spans="1:3">
      <c r="A712" s="3" t="str">
        <f t="shared" si="32"/>
        <v>Actionplan-Maßnahmenplan</v>
      </c>
      <c r="B712" t="str">
        <f>pos(Actionplan!M255)</f>
        <v>$M$255</v>
      </c>
      <c r="C712" t="e">
        <f t="shared" ca="1" si="34"/>
        <v>#REF!</v>
      </c>
    </row>
    <row r="713" spans="1:3">
      <c r="A713" s="3" t="str">
        <f t="shared" si="32"/>
        <v>Actionplan-Maßnahmenplan</v>
      </c>
      <c r="B713" t="str">
        <f>pos(Actionplan!M256)</f>
        <v>$M$256</v>
      </c>
      <c r="C713" t="e">
        <f t="shared" ca="1" si="34"/>
        <v>#REF!</v>
      </c>
    </row>
    <row r="714" spans="1:3">
      <c r="A714" s="3" t="str">
        <f t="shared" si="32"/>
        <v>Actionplan-Maßnahmenplan</v>
      </c>
      <c r="B714" t="str">
        <f>pos(Actionplan!M264)</f>
        <v>$M$264</v>
      </c>
      <c r="C714" t="e">
        <f t="shared" ca="1" si="34"/>
        <v>#REF!</v>
      </c>
    </row>
    <row r="715" spans="1:3">
      <c r="A715" s="3" t="str">
        <f t="shared" si="32"/>
        <v>Actionplan-Maßnahmenplan</v>
      </c>
      <c r="B715" t="str">
        <f>pos(Actionplan!M265)</f>
        <v>$M$265</v>
      </c>
      <c r="C715" t="e">
        <f t="shared" ca="1" si="34"/>
        <v>#REF!</v>
      </c>
    </row>
    <row r="716" spans="1:3">
      <c r="A716" s="3" t="str">
        <f t="shared" si="32"/>
        <v>Actionplan-Maßnahmenplan</v>
      </c>
      <c r="B716" t="str">
        <f>pos(Actionplan!M266)</f>
        <v>$M$266</v>
      </c>
      <c r="C716" t="e">
        <f t="shared" ca="1" si="34"/>
        <v>#REF!</v>
      </c>
    </row>
    <row r="717" spans="1:3">
      <c r="A717" s="3" t="str">
        <f t="shared" si="32"/>
        <v>Actionplan-Maßnahmenplan</v>
      </c>
      <c r="B717" t="str">
        <f>pos(Actionplan!M274)</f>
        <v>$M$274</v>
      </c>
      <c r="C717" t="e">
        <f t="shared" ca="1" si="34"/>
        <v>#REF!</v>
      </c>
    </row>
    <row r="718" spans="1:3">
      <c r="A718" s="3" t="str">
        <f t="shared" si="32"/>
        <v>Actionplan-Maßnahmenplan</v>
      </c>
      <c r="B718" t="str">
        <f>pos(Actionplan!M275)</f>
        <v>$M$275</v>
      </c>
      <c r="C718" t="e">
        <f t="shared" ca="1" si="34"/>
        <v>#REF!</v>
      </c>
    </row>
    <row r="719" spans="1:3">
      <c r="A719" s="3" t="str">
        <f t="shared" si="32"/>
        <v>Actionplan-Maßnahmenplan</v>
      </c>
      <c r="B719" t="str">
        <f>pos(Actionplan!M276)</f>
        <v>$M$276</v>
      </c>
      <c r="C719" t="e">
        <f t="shared" ca="1" si="34"/>
        <v>#REF!</v>
      </c>
    </row>
    <row r="720" spans="1:3">
      <c r="A720" s="3" t="str">
        <f t="shared" si="32"/>
        <v>Actionplan-Maßnahmenplan</v>
      </c>
      <c r="B720" t="str">
        <f>pos(Actionplan!M284)</f>
        <v>$M$284</v>
      </c>
      <c r="C720" t="e">
        <f t="shared" ref="C720:C758" ca="1" si="35">IF(INDIRECT("'"&amp;A720&amp;"'!"&amp;B720)=0,"",INDIRECT("'"&amp;A720&amp;"'!"&amp;B720))</f>
        <v>#REF!</v>
      </c>
    </row>
    <row r="721" spans="1:3">
      <c r="A721" s="3" t="str">
        <f t="shared" si="32"/>
        <v>Actionplan-Maßnahmenplan</v>
      </c>
      <c r="B721" t="str">
        <f>pos(Actionplan!M285)</f>
        <v>$M$285</v>
      </c>
      <c r="C721" t="e">
        <f t="shared" ca="1" si="35"/>
        <v>#REF!</v>
      </c>
    </row>
    <row r="722" spans="1:3">
      <c r="A722" s="3" t="str">
        <f t="shared" si="32"/>
        <v>Actionplan-Maßnahmenplan</v>
      </c>
      <c r="B722" t="str">
        <f>pos(Actionplan!M286)</f>
        <v>$M$286</v>
      </c>
      <c r="C722" t="e">
        <f t="shared" ca="1" si="35"/>
        <v>#REF!</v>
      </c>
    </row>
    <row r="723" spans="1:3">
      <c r="A723" s="3" t="str">
        <f t="shared" si="32"/>
        <v>Actionplan-Maßnahmenplan</v>
      </c>
      <c r="B723" t="str">
        <f>pos(Actionplan!M294)</f>
        <v>$M$294</v>
      </c>
      <c r="C723" t="e">
        <f t="shared" ca="1" si="35"/>
        <v>#REF!</v>
      </c>
    </row>
    <row r="724" spans="1:3">
      <c r="A724" s="3" t="str">
        <f t="shared" si="32"/>
        <v>Actionplan-Maßnahmenplan</v>
      </c>
      <c r="B724" t="str">
        <f>pos(Actionplan!M295)</f>
        <v>$M$295</v>
      </c>
      <c r="C724" t="e">
        <f t="shared" ca="1" si="35"/>
        <v>#REF!</v>
      </c>
    </row>
    <row r="725" spans="1:3">
      <c r="A725" s="3" t="str">
        <f t="shared" si="32"/>
        <v>Actionplan-Maßnahmenplan</v>
      </c>
      <c r="B725" t="str">
        <f>pos(Actionplan!M296)</f>
        <v>$M$296</v>
      </c>
      <c r="C725" t="e">
        <f t="shared" ca="1" si="35"/>
        <v>#REF!</v>
      </c>
    </row>
    <row r="726" spans="1:3">
      <c r="A726" s="3" t="str">
        <f t="shared" si="32"/>
        <v>Actionplan-Maßnahmenplan</v>
      </c>
      <c r="B726" t="str">
        <f>pos(Actionplan!M304)</f>
        <v>$M$304</v>
      </c>
      <c r="C726" t="e">
        <f t="shared" ca="1" si="35"/>
        <v>#REF!</v>
      </c>
    </row>
    <row r="727" spans="1:3">
      <c r="A727" s="3" t="str">
        <f t="shared" si="32"/>
        <v>Actionplan-Maßnahmenplan</v>
      </c>
      <c r="B727" t="str">
        <f>pos(Actionplan!M305)</f>
        <v>$M$305</v>
      </c>
      <c r="C727" t="e">
        <f t="shared" ca="1" si="35"/>
        <v>#REF!</v>
      </c>
    </row>
    <row r="728" spans="1:3">
      <c r="A728" s="3" t="str">
        <f t="shared" si="32"/>
        <v>Actionplan-Maßnahmenplan</v>
      </c>
      <c r="B728" t="str">
        <f>pos(Actionplan!M306)</f>
        <v>$M$306</v>
      </c>
      <c r="C728" t="e">
        <f t="shared" ca="1" si="35"/>
        <v>#REF!</v>
      </c>
    </row>
    <row r="729" spans="1:3">
      <c r="A729" s="3" t="str">
        <f t="shared" si="32"/>
        <v>Actionplan-Maßnahmenplan</v>
      </c>
      <c r="B729" t="str">
        <f>pos(Actionplan!M314)</f>
        <v>$M$314</v>
      </c>
      <c r="C729" t="e">
        <f t="shared" ca="1" si="35"/>
        <v>#REF!</v>
      </c>
    </row>
    <row r="730" spans="1:3">
      <c r="A730" s="3" t="str">
        <f t="shared" si="32"/>
        <v>Actionplan-Maßnahmenplan</v>
      </c>
      <c r="B730" t="str">
        <f>pos(Actionplan!M315)</f>
        <v>$M$315</v>
      </c>
      <c r="C730" t="e">
        <f t="shared" ca="1" si="35"/>
        <v>#REF!</v>
      </c>
    </row>
    <row r="731" spans="1:3">
      <c r="A731" s="3" t="str">
        <f t="shared" si="32"/>
        <v>Actionplan-Maßnahmenplan</v>
      </c>
      <c r="B731" t="str">
        <f>pos(Actionplan!M316)</f>
        <v>$M$316</v>
      </c>
      <c r="C731" t="e">
        <f t="shared" ca="1" si="35"/>
        <v>#REF!</v>
      </c>
    </row>
    <row r="732" spans="1:3">
      <c r="A732" s="3" t="str">
        <f t="shared" si="32"/>
        <v>Actionplan-Maßnahmenplan</v>
      </c>
      <c r="B732" t="str">
        <f>pos(Actionplan!M317)</f>
        <v>$M$317</v>
      </c>
      <c r="C732" t="e">
        <f t="shared" ca="1" si="35"/>
        <v>#REF!</v>
      </c>
    </row>
    <row r="733" spans="1:3">
      <c r="A733" s="3" t="str">
        <f t="shared" si="32"/>
        <v>Actionplan-Maßnahmenplan</v>
      </c>
      <c r="B733" t="str">
        <f>pos(Actionplan!M318)</f>
        <v>$M$318</v>
      </c>
      <c r="C733" t="e">
        <f t="shared" ca="1" si="35"/>
        <v>#REF!</v>
      </c>
    </row>
    <row r="734" spans="1:3">
      <c r="A734" s="3" t="str">
        <f t="shared" si="32"/>
        <v>Actionplan-Maßnahmenplan</v>
      </c>
      <c r="B734" t="str">
        <f>pos(Actionplan!M319)</f>
        <v>$M$319</v>
      </c>
      <c r="C734" t="e">
        <f t="shared" ca="1" si="35"/>
        <v>#REF!</v>
      </c>
    </row>
    <row r="735" spans="1:3">
      <c r="A735" s="3" t="str">
        <f t="shared" si="32"/>
        <v>Actionplan-Maßnahmenplan</v>
      </c>
      <c r="B735" t="str">
        <f>pos(Actionplan!M320)</f>
        <v>$M$320</v>
      </c>
      <c r="C735" t="e">
        <f t="shared" ca="1" si="35"/>
        <v>#REF!</v>
      </c>
    </row>
    <row r="736" spans="1:3">
      <c r="A736" s="3" t="str">
        <f t="shared" si="32"/>
        <v>Actionplan-Maßnahmenplan</v>
      </c>
      <c r="B736" t="str">
        <f>pos(Actionplan!O12)</f>
        <v>$O$12</v>
      </c>
      <c r="C736" t="e">
        <f t="shared" ca="1" si="35"/>
        <v>#REF!</v>
      </c>
    </row>
    <row r="737" spans="1:3">
      <c r="A737" s="3" t="str">
        <f t="shared" si="32"/>
        <v>Actionplan-Maßnahmenplan</v>
      </c>
      <c r="B737" t="str">
        <f>pos(Actionplan!O13)</f>
        <v>$O$13</v>
      </c>
      <c r="C737" t="e">
        <f t="shared" ca="1" si="35"/>
        <v>#REF!</v>
      </c>
    </row>
    <row r="738" spans="1:3">
      <c r="A738" s="3" t="str">
        <f t="shared" si="32"/>
        <v>Actionplan-Maßnahmenplan</v>
      </c>
      <c r="B738" t="str">
        <f>pos(Actionplan!O14)</f>
        <v>$O$14</v>
      </c>
      <c r="C738" t="e">
        <f t="shared" ca="1" si="35"/>
        <v>#REF!</v>
      </c>
    </row>
    <row r="739" spans="1:3">
      <c r="A739" s="3" t="str">
        <f t="shared" ref="A739:A802" si="36">$A$482</f>
        <v>Actionplan-Maßnahmenplan</v>
      </c>
      <c r="B739" t="str">
        <f>pos(Actionplan!O15)</f>
        <v>$O$15</v>
      </c>
      <c r="C739" t="e">
        <f t="shared" ca="1" si="35"/>
        <v>#REF!</v>
      </c>
    </row>
    <row r="740" spans="1:3">
      <c r="A740" s="3" t="str">
        <f t="shared" si="36"/>
        <v>Actionplan-Maßnahmenplan</v>
      </c>
      <c r="B740" t="str">
        <f>pos(Actionplan!O16)</f>
        <v>$O$16</v>
      </c>
      <c r="C740" t="e">
        <f t="shared" ca="1" si="35"/>
        <v>#REF!</v>
      </c>
    </row>
    <row r="741" spans="1:3">
      <c r="A741" s="3" t="str">
        <f t="shared" si="36"/>
        <v>Actionplan-Maßnahmenplan</v>
      </c>
      <c r="B741" t="str">
        <f>pos(Actionplan!O17)</f>
        <v>$O$17</v>
      </c>
      <c r="C741" t="e">
        <f t="shared" ca="1" si="35"/>
        <v>#REF!</v>
      </c>
    </row>
    <row r="742" spans="1:3">
      <c r="A742" s="3" t="str">
        <f t="shared" si="36"/>
        <v>Actionplan-Maßnahmenplan</v>
      </c>
      <c r="B742" t="str">
        <f>pos(Actionplan!O18)</f>
        <v>$O$18</v>
      </c>
      <c r="C742" t="e">
        <f t="shared" ca="1" si="35"/>
        <v>#REF!</v>
      </c>
    </row>
    <row r="743" spans="1:3">
      <c r="A743" s="3" t="str">
        <f t="shared" si="36"/>
        <v>Actionplan-Maßnahmenplan</v>
      </c>
      <c r="B743" t="str">
        <f>pos(Actionplan!O19)</f>
        <v>$O$19</v>
      </c>
      <c r="C743" t="e">
        <f t="shared" ca="1" si="35"/>
        <v>#REF!</v>
      </c>
    </row>
    <row r="744" spans="1:3">
      <c r="A744" s="3" t="str">
        <f t="shared" si="36"/>
        <v>Actionplan-Maßnahmenplan</v>
      </c>
      <c r="B744" t="str">
        <f>pos(Actionplan!O20)</f>
        <v>$O$20</v>
      </c>
      <c r="C744" t="e">
        <f t="shared" ca="1" si="35"/>
        <v>#REF!</v>
      </c>
    </row>
    <row r="745" spans="1:3">
      <c r="A745" s="3" t="str">
        <f t="shared" si="36"/>
        <v>Actionplan-Maßnahmenplan</v>
      </c>
      <c r="B745" t="str">
        <f>pos(Actionplan!O21)</f>
        <v>$O$21</v>
      </c>
      <c r="C745" t="e">
        <f t="shared" ca="1" si="35"/>
        <v>#REF!</v>
      </c>
    </row>
    <row r="746" spans="1:3">
      <c r="A746" s="3" t="str">
        <f t="shared" si="36"/>
        <v>Actionplan-Maßnahmenplan</v>
      </c>
      <c r="B746" t="str">
        <f>pos(Actionplan!O22)</f>
        <v>$O$22</v>
      </c>
      <c r="C746" t="e">
        <f t="shared" ca="1" si="35"/>
        <v>#REF!</v>
      </c>
    </row>
    <row r="747" spans="1:3">
      <c r="A747" s="3" t="str">
        <f t="shared" si="36"/>
        <v>Actionplan-Maßnahmenplan</v>
      </c>
      <c r="B747" t="str">
        <f>pos(Actionplan!O23)</f>
        <v>$O$23</v>
      </c>
      <c r="C747" t="e">
        <f t="shared" ca="1" si="35"/>
        <v>#REF!</v>
      </c>
    </row>
    <row r="748" spans="1:3">
      <c r="A748" s="3" t="str">
        <f t="shared" si="36"/>
        <v>Actionplan-Maßnahmenplan</v>
      </c>
      <c r="B748" t="str">
        <f>pos(Actionplan!O24)</f>
        <v>$O$24</v>
      </c>
      <c r="C748" t="e">
        <f t="shared" ca="1" si="35"/>
        <v>#REF!</v>
      </c>
    </row>
    <row r="749" spans="1:3">
      <c r="A749" s="3" t="str">
        <f t="shared" si="36"/>
        <v>Actionplan-Maßnahmenplan</v>
      </c>
      <c r="B749" t="str">
        <f>pos(Actionplan!O25)</f>
        <v>$O$25</v>
      </c>
      <c r="C749" t="e">
        <f t="shared" ca="1" si="35"/>
        <v>#REF!</v>
      </c>
    </row>
    <row r="750" spans="1:3">
      <c r="A750" s="3" t="str">
        <f t="shared" si="36"/>
        <v>Actionplan-Maßnahmenplan</v>
      </c>
      <c r="B750" t="str">
        <f>pos(Actionplan!O26)</f>
        <v>$O$26</v>
      </c>
      <c r="C750" t="e">
        <f t="shared" ca="1" si="35"/>
        <v>#REF!</v>
      </c>
    </row>
    <row r="751" spans="1:3">
      <c r="A751" s="3" t="str">
        <f t="shared" si="36"/>
        <v>Actionplan-Maßnahmenplan</v>
      </c>
      <c r="B751" t="str">
        <f>pos(Actionplan!O27)</f>
        <v>$O$27</v>
      </c>
      <c r="C751" t="e">
        <f t="shared" ca="1" si="35"/>
        <v>#REF!</v>
      </c>
    </row>
    <row r="752" spans="1:3">
      <c r="A752" s="3" t="str">
        <f t="shared" si="36"/>
        <v>Actionplan-Maßnahmenplan</v>
      </c>
      <c r="B752" t="str">
        <f>pos(Actionplan!O28)</f>
        <v>$O$28</v>
      </c>
      <c r="C752" t="e">
        <f t="shared" ca="1" si="35"/>
        <v>#REF!</v>
      </c>
    </row>
    <row r="753" spans="1:3">
      <c r="A753" s="3" t="str">
        <f t="shared" si="36"/>
        <v>Actionplan-Maßnahmenplan</v>
      </c>
      <c r="B753" t="str">
        <f>pos(Actionplan!O29)</f>
        <v>$O$29</v>
      </c>
      <c r="C753" t="e">
        <f t="shared" ca="1" si="35"/>
        <v>#REF!</v>
      </c>
    </row>
    <row r="754" spans="1:3">
      <c r="A754" s="3" t="str">
        <f t="shared" si="36"/>
        <v>Actionplan-Maßnahmenplan</v>
      </c>
      <c r="B754" t="str">
        <f>pos(Actionplan!O30)</f>
        <v>$O$30</v>
      </c>
      <c r="C754" t="e">
        <f t="shared" ca="1" si="35"/>
        <v>#REF!</v>
      </c>
    </row>
    <row r="755" spans="1:3">
      <c r="A755" s="3" t="str">
        <f t="shared" si="36"/>
        <v>Actionplan-Maßnahmenplan</v>
      </c>
      <c r="B755" t="str">
        <f>pos(Actionplan!O31)</f>
        <v>$O$31</v>
      </c>
      <c r="C755" t="e">
        <f t="shared" ca="1" si="35"/>
        <v>#REF!</v>
      </c>
    </row>
    <row r="756" spans="1:3">
      <c r="A756" s="3" t="str">
        <f t="shared" si="36"/>
        <v>Actionplan-Maßnahmenplan</v>
      </c>
      <c r="B756" t="str">
        <f>pos(Actionplan!O32)</f>
        <v>$O$32</v>
      </c>
      <c r="C756" t="e">
        <f t="shared" ca="1" si="35"/>
        <v>#REF!</v>
      </c>
    </row>
    <row r="757" spans="1:3">
      <c r="A757" s="3" t="str">
        <f t="shared" si="36"/>
        <v>Actionplan-Maßnahmenplan</v>
      </c>
      <c r="B757" t="str">
        <f>pos(Actionplan!O33)</f>
        <v>$O$33</v>
      </c>
      <c r="C757" t="e">
        <f t="shared" ca="1" si="35"/>
        <v>#REF!</v>
      </c>
    </row>
    <row r="758" spans="1:3">
      <c r="A758" s="3" t="str">
        <f t="shared" si="36"/>
        <v>Actionplan-Maßnahmenplan</v>
      </c>
      <c r="B758" t="str">
        <f>pos(Actionplan!O34)</f>
        <v>$O$34</v>
      </c>
      <c r="C758" t="e">
        <f t="shared" ca="1" si="35"/>
        <v>#REF!</v>
      </c>
    </row>
    <row r="759" spans="1:3">
      <c r="A759" s="3" t="str">
        <f t="shared" si="36"/>
        <v>Actionplan-Maßnahmenplan</v>
      </c>
      <c r="B759" t="str">
        <f>pos(Actionplan!O35)</f>
        <v>$O$35</v>
      </c>
      <c r="C759" t="e">
        <f t="shared" ref="C759:C792" ca="1" si="37">IF(INDIRECT("'"&amp;A759&amp;"'!"&amp;B759)=0,"",INDIRECT("'"&amp;A759&amp;"'!"&amp;B759))</f>
        <v>#REF!</v>
      </c>
    </row>
    <row r="760" spans="1:3">
      <c r="A760" s="3" t="str">
        <f t="shared" si="36"/>
        <v>Actionplan-Maßnahmenplan</v>
      </c>
      <c r="B760" t="str">
        <f>pos(Actionplan!O36)</f>
        <v>$O$36</v>
      </c>
      <c r="C760" t="e">
        <f t="shared" ca="1" si="37"/>
        <v>#REF!</v>
      </c>
    </row>
    <row r="761" spans="1:3">
      <c r="A761" s="3" t="str">
        <f t="shared" si="36"/>
        <v>Actionplan-Maßnahmenplan</v>
      </c>
      <c r="B761" t="str">
        <f>pos(Actionplan!O37)</f>
        <v>$O$37</v>
      </c>
      <c r="C761" t="e">
        <f t="shared" ca="1" si="37"/>
        <v>#REF!</v>
      </c>
    </row>
    <row r="762" spans="1:3">
      <c r="A762" s="3" t="str">
        <f t="shared" si="36"/>
        <v>Actionplan-Maßnahmenplan</v>
      </c>
      <c r="B762" t="str">
        <f>pos(Actionplan!O38)</f>
        <v>$O$38</v>
      </c>
      <c r="C762" t="e">
        <f t="shared" ca="1" si="37"/>
        <v>#REF!</v>
      </c>
    </row>
    <row r="763" spans="1:3">
      <c r="A763" s="3" t="str">
        <f t="shared" si="36"/>
        <v>Actionplan-Maßnahmenplan</v>
      </c>
      <c r="B763" t="str">
        <f>pos(Actionplan!O39)</f>
        <v>$O$39</v>
      </c>
      <c r="C763" t="e">
        <f t="shared" ca="1" si="37"/>
        <v>#REF!</v>
      </c>
    </row>
    <row r="764" spans="1:3">
      <c r="A764" s="3" t="str">
        <f t="shared" si="36"/>
        <v>Actionplan-Maßnahmenplan</v>
      </c>
      <c r="B764" t="str">
        <f>pos(Actionplan!O40)</f>
        <v>$O$40</v>
      </c>
      <c r="C764" t="e">
        <f t="shared" ca="1" si="37"/>
        <v>#REF!</v>
      </c>
    </row>
    <row r="765" spans="1:3">
      <c r="A765" s="3" t="str">
        <f t="shared" si="36"/>
        <v>Actionplan-Maßnahmenplan</v>
      </c>
      <c r="B765" t="str">
        <f>pos(Actionplan!O41)</f>
        <v>$O$41</v>
      </c>
      <c r="C765" t="e">
        <f t="shared" ca="1" si="37"/>
        <v>#REF!</v>
      </c>
    </row>
    <row r="766" spans="1:3">
      <c r="A766" s="3" t="str">
        <f t="shared" si="36"/>
        <v>Actionplan-Maßnahmenplan</v>
      </c>
      <c r="B766" t="str">
        <f>pos(Actionplan!O42)</f>
        <v>$O$42</v>
      </c>
      <c r="C766" t="e">
        <f t="shared" ca="1" si="37"/>
        <v>#REF!</v>
      </c>
    </row>
    <row r="767" spans="1:3">
      <c r="A767" s="3" t="str">
        <f t="shared" si="36"/>
        <v>Actionplan-Maßnahmenplan</v>
      </c>
      <c r="B767" t="str">
        <f>pos(Actionplan!O43)</f>
        <v>$O$43</v>
      </c>
      <c r="C767" t="e">
        <f t="shared" ca="1" si="37"/>
        <v>#REF!</v>
      </c>
    </row>
    <row r="768" spans="1:3">
      <c r="A768" s="3" t="str">
        <f t="shared" si="36"/>
        <v>Actionplan-Maßnahmenplan</v>
      </c>
      <c r="B768" t="str">
        <f>pos(Actionplan!O44)</f>
        <v>$O$44</v>
      </c>
      <c r="C768" t="e">
        <f t="shared" ca="1" si="37"/>
        <v>#REF!</v>
      </c>
    </row>
    <row r="769" spans="1:3">
      <c r="A769" s="3" t="str">
        <f t="shared" si="36"/>
        <v>Actionplan-Maßnahmenplan</v>
      </c>
      <c r="B769" t="str">
        <f>pos(Actionplan!O45)</f>
        <v>$O$45</v>
      </c>
      <c r="C769" t="e">
        <f t="shared" ca="1" si="37"/>
        <v>#REF!</v>
      </c>
    </row>
    <row r="770" spans="1:3">
      <c r="A770" s="3" t="str">
        <f t="shared" si="36"/>
        <v>Actionplan-Maßnahmenplan</v>
      </c>
      <c r="B770" t="str">
        <f>pos(Actionplan!O46)</f>
        <v>$O$46</v>
      </c>
      <c r="C770" t="e">
        <f t="shared" ca="1" si="37"/>
        <v>#REF!</v>
      </c>
    </row>
    <row r="771" spans="1:3">
      <c r="A771" s="3" t="str">
        <f t="shared" si="36"/>
        <v>Actionplan-Maßnahmenplan</v>
      </c>
      <c r="B771" t="str">
        <f>pos(Actionplan!O47)</f>
        <v>$O$47</v>
      </c>
      <c r="C771" t="e">
        <f t="shared" ca="1" si="37"/>
        <v>#REF!</v>
      </c>
    </row>
    <row r="772" spans="1:3">
      <c r="A772" s="3" t="str">
        <f t="shared" si="36"/>
        <v>Actionplan-Maßnahmenplan</v>
      </c>
      <c r="B772" t="str">
        <f>pos(Actionplan!O48)</f>
        <v>$O$48</v>
      </c>
      <c r="C772" t="e">
        <f t="shared" ca="1" si="37"/>
        <v>#REF!</v>
      </c>
    </row>
    <row r="773" spans="1:3">
      <c r="A773" s="3" t="str">
        <f t="shared" si="36"/>
        <v>Actionplan-Maßnahmenplan</v>
      </c>
      <c r="B773" t="str">
        <f>pos(Actionplan!O49)</f>
        <v>$O$49</v>
      </c>
      <c r="C773" t="e">
        <f t="shared" ca="1" si="37"/>
        <v>#REF!</v>
      </c>
    </row>
    <row r="774" spans="1:3">
      <c r="A774" s="3" t="str">
        <f t="shared" si="36"/>
        <v>Actionplan-Maßnahmenplan</v>
      </c>
      <c r="B774" t="str">
        <f>pos(Actionplan!O50)</f>
        <v>$O$50</v>
      </c>
      <c r="C774" t="e">
        <f t="shared" ca="1" si="37"/>
        <v>#REF!</v>
      </c>
    </row>
    <row r="775" spans="1:3">
      <c r="A775" s="3" t="str">
        <f t="shared" si="36"/>
        <v>Actionplan-Maßnahmenplan</v>
      </c>
      <c r="B775" t="str">
        <f>pos(Actionplan!O51)</f>
        <v>$O$51</v>
      </c>
      <c r="C775" t="e">
        <f t="shared" ca="1" si="37"/>
        <v>#REF!</v>
      </c>
    </row>
    <row r="776" spans="1:3">
      <c r="A776" s="3" t="str">
        <f t="shared" si="36"/>
        <v>Actionplan-Maßnahmenplan</v>
      </c>
      <c r="B776" t="str">
        <f>pos(Actionplan!O52)</f>
        <v>$O$52</v>
      </c>
      <c r="C776" t="e">
        <f t="shared" ca="1" si="37"/>
        <v>#REF!</v>
      </c>
    </row>
    <row r="777" spans="1:3">
      <c r="A777" s="3" t="str">
        <f t="shared" si="36"/>
        <v>Actionplan-Maßnahmenplan</v>
      </c>
      <c r="B777" t="str">
        <f>pos(Actionplan!O53)</f>
        <v>$O$53</v>
      </c>
      <c r="C777" t="e">
        <f t="shared" ca="1" si="37"/>
        <v>#REF!</v>
      </c>
    </row>
    <row r="778" spans="1:3">
      <c r="A778" s="3" t="str">
        <f t="shared" si="36"/>
        <v>Actionplan-Maßnahmenplan</v>
      </c>
      <c r="B778" t="str">
        <f>pos(Actionplan!O54)</f>
        <v>$O$54</v>
      </c>
      <c r="C778" t="e">
        <f t="shared" ca="1" si="37"/>
        <v>#REF!</v>
      </c>
    </row>
    <row r="779" spans="1:3">
      <c r="A779" s="3" t="str">
        <f t="shared" si="36"/>
        <v>Actionplan-Maßnahmenplan</v>
      </c>
      <c r="B779" t="str">
        <f>pos(Actionplan!O55)</f>
        <v>$O$55</v>
      </c>
      <c r="C779" t="e">
        <f t="shared" ca="1" si="37"/>
        <v>#REF!</v>
      </c>
    </row>
    <row r="780" spans="1:3">
      <c r="A780" s="3" t="str">
        <f t="shared" si="36"/>
        <v>Actionplan-Maßnahmenplan</v>
      </c>
      <c r="B780" t="str">
        <f>pos(Actionplan!O56)</f>
        <v>$O$56</v>
      </c>
      <c r="C780" t="e">
        <f t="shared" ca="1" si="37"/>
        <v>#REF!</v>
      </c>
    </row>
    <row r="781" spans="1:3">
      <c r="A781" s="3" t="str">
        <f t="shared" si="36"/>
        <v>Actionplan-Maßnahmenplan</v>
      </c>
      <c r="B781" t="str">
        <f>pos(Actionplan!O64)</f>
        <v>$O$64</v>
      </c>
      <c r="C781" t="e">
        <f t="shared" ca="1" si="37"/>
        <v>#REF!</v>
      </c>
    </row>
    <row r="782" spans="1:3">
      <c r="A782" s="3" t="str">
        <f t="shared" si="36"/>
        <v>Actionplan-Maßnahmenplan</v>
      </c>
      <c r="B782" t="str">
        <f>pos(Actionplan!O65)</f>
        <v>$O$65</v>
      </c>
      <c r="C782" t="e">
        <f t="shared" ca="1" si="37"/>
        <v>#REF!</v>
      </c>
    </row>
    <row r="783" spans="1:3">
      <c r="A783" s="3" t="str">
        <f t="shared" si="36"/>
        <v>Actionplan-Maßnahmenplan</v>
      </c>
      <c r="B783" t="str">
        <f>pos(Actionplan!O66)</f>
        <v>$O$66</v>
      </c>
      <c r="C783" t="e">
        <f t="shared" ca="1" si="37"/>
        <v>#REF!</v>
      </c>
    </row>
    <row r="784" spans="1:3">
      <c r="A784" s="3" t="str">
        <f t="shared" si="36"/>
        <v>Actionplan-Maßnahmenplan</v>
      </c>
      <c r="B784" t="str">
        <f>pos(Actionplan!O74)</f>
        <v>$O$74</v>
      </c>
      <c r="C784" t="e">
        <f t="shared" ca="1" si="37"/>
        <v>#REF!</v>
      </c>
    </row>
    <row r="785" spans="1:3">
      <c r="A785" s="3" t="str">
        <f t="shared" si="36"/>
        <v>Actionplan-Maßnahmenplan</v>
      </c>
      <c r="B785" t="str">
        <f>pos(Actionplan!O75)</f>
        <v>$O$75</v>
      </c>
      <c r="C785" t="e">
        <f t="shared" ca="1" si="37"/>
        <v>#REF!</v>
      </c>
    </row>
    <row r="786" spans="1:3">
      <c r="A786" s="3" t="str">
        <f t="shared" si="36"/>
        <v>Actionplan-Maßnahmenplan</v>
      </c>
      <c r="B786" t="str">
        <f>pos(Actionplan!O76)</f>
        <v>$O$76</v>
      </c>
      <c r="C786" t="e">
        <f t="shared" ca="1" si="37"/>
        <v>#REF!</v>
      </c>
    </row>
    <row r="787" spans="1:3">
      <c r="A787" s="3" t="str">
        <f t="shared" si="36"/>
        <v>Actionplan-Maßnahmenplan</v>
      </c>
      <c r="B787" t="str">
        <f>pos(Actionplan!O84)</f>
        <v>$O$84</v>
      </c>
      <c r="C787" t="e">
        <f t="shared" ca="1" si="37"/>
        <v>#REF!</v>
      </c>
    </row>
    <row r="788" spans="1:3">
      <c r="A788" s="3" t="str">
        <f t="shared" si="36"/>
        <v>Actionplan-Maßnahmenplan</v>
      </c>
      <c r="B788" t="str">
        <f>pos(Actionplan!O85)</f>
        <v>$O$85</v>
      </c>
      <c r="C788" t="e">
        <f t="shared" ca="1" si="37"/>
        <v>#REF!</v>
      </c>
    </row>
    <row r="789" spans="1:3">
      <c r="A789" s="3" t="str">
        <f t="shared" si="36"/>
        <v>Actionplan-Maßnahmenplan</v>
      </c>
      <c r="B789" t="str">
        <f>pos(Actionplan!O86)</f>
        <v>$O$86</v>
      </c>
      <c r="C789" t="e">
        <f t="shared" ca="1" si="37"/>
        <v>#REF!</v>
      </c>
    </row>
    <row r="790" spans="1:3">
      <c r="A790" s="3" t="str">
        <f t="shared" si="36"/>
        <v>Actionplan-Maßnahmenplan</v>
      </c>
      <c r="B790" t="str">
        <f>pos(Actionplan!O94)</f>
        <v>$O$94</v>
      </c>
      <c r="C790" t="e">
        <f t="shared" ca="1" si="37"/>
        <v>#REF!</v>
      </c>
    </row>
    <row r="791" spans="1:3">
      <c r="A791" s="3" t="str">
        <f t="shared" si="36"/>
        <v>Actionplan-Maßnahmenplan</v>
      </c>
      <c r="B791" t="str">
        <f>pos(Actionplan!O95)</f>
        <v>$O$95</v>
      </c>
      <c r="C791" t="e">
        <f t="shared" ca="1" si="37"/>
        <v>#REF!</v>
      </c>
    </row>
    <row r="792" spans="1:3">
      <c r="A792" s="3" t="str">
        <f t="shared" si="36"/>
        <v>Actionplan-Maßnahmenplan</v>
      </c>
      <c r="B792" t="str">
        <f>pos(Actionplan!O96)</f>
        <v>$O$96</v>
      </c>
      <c r="C792" t="e">
        <f t="shared" ca="1" si="37"/>
        <v>#REF!</v>
      </c>
    </row>
    <row r="793" spans="1:3">
      <c r="A793" s="3" t="str">
        <f t="shared" si="36"/>
        <v>Actionplan-Maßnahmenplan</v>
      </c>
      <c r="B793" t="str">
        <f>pos(Actionplan!O104)</f>
        <v>$O$104</v>
      </c>
      <c r="C793" t="e">
        <f t="shared" ref="C793:C810" ca="1" si="38">IF(INDIRECT("'"&amp;A793&amp;"'!"&amp;B793)=0,"",INDIRECT("'"&amp;A793&amp;"'!"&amp;B793))</f>
        <v>#REF!</v>
      </c>
    </row>
    <row r="794" spans="1:3">
      <c r="A794" s="3" t="str">
        <f t="shared" si="36"/>
        <v>Actionplan-Maßnahmenplan</v>
      </c>
      <c r="B794" t="str">
        <f>pos(Actionplan!O105)</f>
        <v>$O$105</v>
      </c>
      <c r="C794" t="e">
        <f t="shared" ca="1" si="38"/>
        <v>#REF!</v>
      </c>
    </row>
    <row r="795" spans="1:3">
      <c r="A795" s="3" t="str">
        <f t="shared" si="36"/>
        <v>Actionplan-Maßnahmenplan</v>
      </c>
      <c r="B795" t="str">
        <f>pos(Actionplan!O106)</f>
        <v>$O$106</v>
      </c>
      <c r="C795" t="e">
        <f t="shared" ca="1" si="38"/>
        <v>#REF!</v>
      </c>
    </row>
    <row r="796" spans="1:3">
      <c r="A796" s="3" t="str">
        <f t="shared" si="36"/>
        <v>Actionplan-Maßnahmenplan</v>
      </c>
      <c r="B796" t="str">
        <f>pos(Actionplan!O114)</f>
        <v>$O$114</v>
      </c>
      <c r="C796" t="e">
        <f t="shared" ca="1" si="38"/>
        <v>#REF!</v>
      </c>
    </row>
    <row r="797" spans="1:3">
      <c r="A797" s="3" t="str">
        <f t="shared" si="36"/>
        <v>Actionplan-Maßnahmenplan</v>
      </c>
      <c r="B797" t="str">
        <f>pos(Actionplan!O115)</f>
        <v>$O$115</v>
      </c>
      <c r="C797" t="e">
        <f t="shared" ca="1" si="38"/>
        <v>#REF!</v>
      </c>
    </row>
    <row r="798" spans="1:3">
      <c r="A798" s="3" t="str">
        <f t="shared" si="36"/>
        <v>Actionplan-Maßnahmenplan</v>
      </c>
      <c r="B798" t="str">
        <f>pos(Actionplan!O116)</f>
        <v>$O$116</v>
      </c>
      <c r="C798" t="e">
        <f t="shared" ca="1" si="38"/>
        <v>#REF!</v>
      </c>
    </row>
    <row r="799" spans="1:3">
      <c r="A799" s="3" t="str">
        <f t="shared" si="36"/>
        <v>Actionplan-Maßnahmenplan</v>
      </c>
      <c r="B799" t="str">
        <f>pos(Actionplan!O124)</f>
        <v>$O$124</v>
      </c>
      <c r="C799" t="e">
        <f t="shared" ca="1" si="38"/>
        <v>#REF!</v>
      </c>
    </row>
    <row r="800" spans="1:3">
      <c r="A800" s="3" t="str">
        <f t="shared" si="36"/>
        <v>Actionplan-Maßnahmenplan</v>
      </c>
      <c r="B800" t="str">
        <f>pos(Actionplan!O125)</f>
        <v>$O$125</v>
      </c>
      <c r="C800" t="e">
        <f t="shared" ca="1" si="38"/>
        <v>#REF!</v>
      </c>
    </row>
    <row r="801" spans="1:3">
      <c r="A801" s="3" t="str">
        <f t="shared" si="36"/>
        <v>Actionplan-Maßnahmenplan</v>
      </c>
      <c r="B801" t="str">
        <f>pos(Actionplan!O126)</f>
        <v>$O$126</v>
      </c>
      <c r="C801" t="e">
        <f t="shared" ca="1" si="38"/>
        <v>#REF!</v>
      </c>
    </row>
    <row r="802" spans="1:3">
      <c r="A802" s="3" t="str">
        <f t="shared" si="36"/>
        <v>Actionplan-Maßnahmenplan</v>
      </c>
      <c r="B802" t="str">
        <f>pos(Actionplan!O134)</f>
        <v>$O$134</v>
      </c>
      <c r="C802" t="e">
        <f t="shared" ca="1" si="38"/>
        <v>#REF!</v>
      </c>
    </row>
    <row r="803" spans="1:3">
      <c r="A803" s="3" t="str">
        <f t="shared" ref="A803:A866" si="39">$A$482</f>
        <v>Actionplan-Maßnahmenplan</v>
      </c>
      <c r="B803" t="str">
        <f>pos(Actionplan!O135)</f>
        <v>$O$135</v>
      </c>
      <c r="C803" t="e">
        <f t="shared" ca="1" si="38"/>
        <v>#REF!</v>
      </c>
    </row>
    <row r="804" spans="1:3">
      <c r="A804" s="3" t="str">
        <f t="shared" si="39"/>
        <v>Actionplan-Maßnahmenplan</v>
      </c>
      <c r="B804" t="str">
        <f>pos(Actionplan!O136)</f>
        <v>$O$136</v>
      </c>
      <c r="C804" t="e">
        <f t="shared" ca="1" si="38"/>
        <v>#REF!</v>
      </c>
    </row>
    <row r="805" spans="1:3">
      <c r="A805" s="3" t="str">
        <f t="shared" si="39"/>
        <v>Actionplan-Maßnahmenplan</v>
      </c>
      <c r="B805" t="str">
        <f>pos(Actionplan!O144)</f>
        <v>$O$144</v>
      </c>
      <c r="C805" t="e">
        <f t="shared" ca="1" si="38"/>
        <v>#REF!</v>
      </c>
    </row>
    <row r="806" spans="1:3">
      <c r="A806" s="3" t="str">
        <f t="shared" si="39"/>
        <v>Actionplan-Maßnahmenplan</v>
      </c>
      <c r="B806" t="str">
        <f>pos(Actionplan!O145)</f>
        <v>$O$145</v>
      </c>
      <c r="C806" t="e">
        <f t="shared" ca="1" si="38"/>
        <v>#REF!</v>
      </c>
    </row>
    <row r="807" spans="1:3">
      <c r="A807" s="3" t="str">
        <f t="shared" si="39"/>
        <v>Actionplan-Maßnahmenplan</v>
      </c>
      <c r="B807" t="str">
        <f>pos(Actionplan!O146)</f>
        <v>$O$146</v>
      </c>
      <c r="C807" t="e">
        <f t="shared" ca="1" si="38"/>
        <v>#REF!</v>
      </c>
    </row>
    <row r="808" spans="1:3">
      <c r="A808" s="3" t="str">
        <f t="shared" si="39"/>
        <v>Actionplan-Maßnahmenplan</v>
      </c>
      <c r="B808" t="str">
        <f>pos(Actionplan!O154)</f>
        <v>$O$154</v>
      </c>
      <c r="C808" t="e">
        <f t="shared" ca="1" si="38"/>
        <v>#REF!</v>
      </c>
    </row>
    <row r="809" spans="1:3">
      <c r="A809" s="3" t="str">
        <f t="shared" si="39"/>
        <v>Actionplan-Maßnahmenplan</v>
      </c>
      <c r="B809" t="str">
        <f>pos(Actionplan!O155)</f>
        <v>$O$155</v>
      </c>
      <c r="C809" t="e">
        <f t="shared" ca="1" si="38"/>
        <v>#REF!</v>
      </c>
    </row>
    <row r="810" spans="1:3">
      <c r="A810" s="3" t="str">
        <f t="shared" si="39"/>
        <v>Actionplan-Maßnahmenplan</v>
      </c>
      <c r="B810" t="str">
        <f>pos(Actionplan!O156)</f>
        <v>$O$156</v>
      </c>
      <c r="C810" t="e">
        <f t="shared" ca="1" si="38"/>
        <v>#REF!</v>
      </c>
    </row>
    <row r="811" spans="1:3">
      <c r="A811" s="3" t="str">
        <f t="shared" si="39"/>
        <v>Actionplan-Maßnahmenplan</v>
      </c>
      <c r="B811" t="str">
        <f>pos(Actionplan!O164)</f>
        <v>$O$164</v>
      </c>
      <c r="C811" t="e">
        <f t="shared" ref="C811:C831" ca="1" si="40">IF(INDIRECT("'"&amp;A811&amp;"'!"&amp;B811)=0,"",INDIRECT("'"&amp;A811&amp;"'!"&amp;B811))</f>
        <v>#REF!</v>
      </c>
    </row>
    <row r="812" spans="1:3">
      <c r="A812" s="3" t="str">
        <f t="shared" si="39"/>
        <v>Actionplan-Maßnahmenplan</v>
      </c>
      <c r="B812" t="str">
        <f>pos(Actionplan!O165)</f>
        <v>$O$165</v>
      </c>
      <c r="C812" t="e">
        <f t="shared" ca="1" si="40"/>
        <v>#REF!</v>
      </c>
    </row>
    <row r="813" spans="1:3">
      <c r="A813" s="3" t="str">
        <f t="shared" si="39"/>
        <v>Actionplan-Maßnahmenplan</v>
      </c>
      <c r="B813" t="str">
        <f>pos(Actionplan!O166)</f>
        <v>$O$166</v>
      </c>
      <c r="C813" t="e">
        <f t="shared" ca="1" si="40"/>
        <v>#REF!</v>
      </c>
    </row>
    <row r="814" spans="1:3">
      <c r="A814" s="3" t="str">
        <f t="shared" si="39"/>
        <v>Actionplan-Maßnahmenplan</v>
      </c>
      <c r="B814" t="str">
        <f>pos(Actionplan!O174)</f>
        <v>$O$174</v>
      </c>
      <c r="C814" t="e">
        <f t="shared" ca="1" si="40"/>
        <v>#REF!</v>
      </c>
    </row>
    <row r="815" spans="1:3">
      <c r="A815" s="3" t="str">
        <f t="shared" si="39"/>
        <v>Actionplan-Maßnahmenplan</v>
      </c>
      <c r="B815" t="str">
        <f>pos(Actionplan!O175)</f>
        <v>$O$175</v>
      </c>
      <c r="C815" t="e">
        <f t="shared" ca="1" si="40"/>
        <v>#REF!</v>
      </c>
    </row>
    <row r="816" spans="1:3">
      <c r="A816" s="3" t="str">
        <f t="shared" si="39"/>
        <v>Actionplan-Maßnahmenplan</v>
      </c>
      <c r="B816" t="str">
        <f>pos(Actionplan!O176)</f>
        <v>$O$176</v>
      </c>
      <c r="C816" t="e">
        <f t="shared" ca="1" si="40"/>
        <v>#REF!</v>
      </c>
    </row>
    <row r="817" spans="1:3">
      <c r="A817" s="3" t="str">
        <f t="shared" si="39"/>
        <v>Actionplan-Maßnahmenplan</v>
      </c>
      <c r="B817" t="str">
        <f>pos(Actionplan!O184)</f>
        <v>$O$184</v>
      </c>
      <c r="C817" t="e">
        <f t="shared" ca="1" si="40"/>
        <v>#REF!</v>
      </c>
    </row>
    <row r="818" spans="1:3">
      <c r="A818" s="3" t="str">
        <f t="shared" si="39"/>
        <v>Actionplan-Maßnahmenplan</v>
      </c>
      <c r="B818" t="str">
        <f>pos(Actionplan!O185)</f>
        <v>$O$185</v>
      </c>
      <c r="C818" t="e">
        <f t="shared" ca="1" si="40"/>
        <v>#REF!</v>
      </c>
    </row>
    <row r="819" spans="1:3">
      <c r="A819" s="3" t="str">
        <f t="shared" si="39"/>
        <v>Actionplan-Maßnahmenplan</v>
      </c>
      <c r="B819" t="str">
        <f>pos(Actionplan!O186)</f>
        <v>$O$186</v>
      </c>
      <c r="C819" t="e">
        <f t="shared" ca="1" si="40"/>
        <v>#REF!</v>
      </c>
    </row>
    <row r="820" spans="1:3">
      <c r="A820" s="3" t="str">
        <f t="shared" si="39"/>
        <v>Actionplan-Maßnahmenplan</v>
      </c>
      <c r="B820" t="str">
        <f>pos(Actionplan!O194)</f>
        <v>$O$194</v>
      </c>
      <c r="C820" t="e">
        <f t="shared" ca="1" si="40"/>
        <v>#REF!</v>
      </c>
    </row>
    <row r="821" spans="1:3">
      <c r="A821" s="3" t="str">
        <f t="shared" si="39"/>
        <v>Actionplan-Maßnahmenplan</v>
      </c>
      <c r="B821" t="str">
        <f>pos(Actionplan!O195)</f>
        <v>$O$195</v>
      </c>
      <c r="C821" t="e">
        <f t="shared" ca="1" si="40"/>
        <v>#REF!</v>
      </c>
    </row>
    <row r="822" spans="1:3">
      <c r="A822" s="3" t="str">
        <f t="shared" si="39"/>
        <v>Actionplan-Maßnahmenplan</v>
      </c>
      <c r="B822" t="str">
        <f>pos(Actionplan!O196)</f>
        <v>$O$196</v>
      </c>
      <c r="C822" t="e">
        <f t="shared" ca="1" si="40"/>
        <v>#REF!</v>
      </c>
    </row>
    <row r="823" spans="1:3">
      <c r="A823" s="3" t="str">
        <f t="shared" si="39"/>
        <v>Actionplan-Maßnahmenplan</v>
      </c>
      <c r="B823" t="str">
        <f>pos(Actionplan!O204)</f>
        <v>$O$204</v>
      </c>
      <c r="C823" t="e">
        <f t="shared" ca="1" si="40"/>
        <v>#REF!</v>
      </c>
    </row>
    <row r="824" spans="1:3">
      <c r="A824" s="3" t="str">
        <f t="shared" si="39"/>
        <v>Actionplan-Maßnahmenplan</v>
      </c>
      <c r="B824" t="str">
        <f>pos(Actionplan!O205)</f>
        <v>$O$205</v>
      </c>
      <c r="C824" t="e">
        <f t="shared" ca="1" si="40"/>
        <v>#REF!</v>
      </c>
    </row>
    <row r="825" spans="1:3">
      <c r="A825" s="3" t="str">
        <f t="shared" si="39"/>
        <v>Actionplan-Maßnahmenplan</v>
      </c>
      <c r="B825" t="str">
        <f>pos(Actionplan!O206)</f>
        <v>$O$206</v>
      </c>
      <c r="C825" t="e">
        <f t="shared" ca="1" si="40"/>
        <v>#REF!</v>
      </c>
    </row>
    <row r="826" spans="1:3">
      <c r="A826" s="3" t="str">
        <f t="shared" si="39"/>
        <v>Actionplan-Maßnahmenplan</v>
      </c>
      <c r="B826" t="str">
        <f>pos(Actionplan!O214)</f>
        <v>$O$214</v>
      </c>
      <c r="C826" t="e">
        <f t="shared" ca="1" si="40"/>
        <v>#REF!</v>
      </c>
    </row>
    <row r="827" spans="1:3">
      <c r="A827" s="3" t="str">
        <f t="shared" si="39"/>
        <v>Actionplan-Maßnahmenplan</v>
      </c>
      <c r="B827" t="str">
        <f>pos(Actionplan!O215)</f>
        <v>$O$215</v>
      </c>
      <c r="C827" t="e">
        <f t="shared" ca="1" si="40"/>
        <v>#REF!</v>
      </c>
    </row>
    <row r="828" spans="1:3">
      <c r="A828" s="3" t="str">
        <f t="shared" si="39"/>
        <v>Actionplan-Maßnahmenplan</v>
      </c>
      <c r="B828" t="str">
        <f>pos(Actionplan!O216)</f>
        <v>$O$216</v>
      </c>
      <c r="C828" t="e">
        <f t="shared" ca="1" si="40"/>
        <v>#REF!</v>
      </c>
    </row>
    <row r="829" spans="1:3">
      <c r="A829" s="3" t="str">
        <f t="shared" si="39"/>
        <v>Actionplan-Maßnahmenplan</v>
      </c>
      <c r="B829" t="str">
        <f>pos(Actionplan!O224)</f>
        <v>$O$224</v>
      </c>
      <c r="C829" t="e">
        <f t="shared" ca="1" si="40"/>
        <v>#REF!</v>
      </c>
    </row>
    <row r="830" spans="1:3">
      <c r="A830" s="3" t="str">
        <f t="shared" si="39"/>
        <v>Actionplan-Maßnahmenplan</v>
      </c>
      <c r="B830" t="str">
        <f>pos(Actionplan!O225)</f>
        <v>$O$225</v>
      </c>
      <c r="C830" t="e">
        <f t="shared" ca="1" si="40"/>
        <v>#REF!</v>
      </c>
    </row>
    <row r="831" spans="1:3">
      <c r="A831" s="3" t="str">
        <f t="shared" si="39"/>
        <v>Actionplan-Maßnahmenplan</v>
      </c>
      <c r="B831" t="str">
        <f>pos(Actionplan!O226)</f>
        <v>$O$226</v>
      </c>
      <c r="C831" t="e">
        <f t="shared" ca="1" si="40"/>
        <v>#REF!</v>
      </c>
    </row>
    <row r="832" spans="1:3">
      <c r="A832" s="3" t="str">
        <f t="shared" si="39"/>
        <v>Actionplan-Maßnahmenplan</v>
      </c>
      <c r="B832" t="str">
        <f>pos(Actionplan!O234)</f>
        <v>$O$234</v>
      </c>
      <c r="C832" t="e">
        <f t="shared" ref="C832:C849" ca="1" si="41">IF(INDIRECT("'"&amp;A832&amp;"'!"&amp;B832)=0,"",INDIRECT("'"&amp;A832&amp;"'!"&amp;B832))</f>
        <v>#REF!</v>
      </c>
    </row>
    <row r="833" spans="1:3">
      <c r="A833" s="3" t="str">
        <f t="shared" si="39"/>
        <v>Actionplan-Maßnahmenplan</v>
      </c>
      <c r="B833" t="str">
        <f>pos(Actionplan!O235)</f>
        <v>$O$235</v>
      </c>
      <c r="C833" t="e">
        <f t="shared" ca="1" si="41"/>
        <v>#REF!</v>
      </c>
    </row>
    <row r="834" spans="1:3">
      <c r="A834" s="3" t="str">
        <f t="shared" si="39"/>
        <v>Actionplan-Maßnahmenplan</v>
      </c>
      <c r="B834" t="str">
        <f>pos(Actionplan!O236)</f>
        <v>$O$236</v>
      </c>
      <c r="C834" t="e">
        <f t="shared" ca="1" si="41"/>
        <v>#REF!</v>
      </c>
    </row>
    <row r="835" spans="1:3">
      <c r="A835" s="3" t="str">
        <f t="shared" si="39"/>
        <v>Actionplan-Maßnahmenplan</v>
      </c>
      <c r="B835" t="str">
        <f>pos(Actionplan!O244)</f>
        <v>$O$244</v>
      </c>
      <c r="C835" t="e">
        <f t="shared" ca="1" si="41"/>
        <v>#REF!</v>
      </c>
    </row>
    <row r="836" spans="1:3">
      <c r="A836" s="3" t="str">
        <f t="shared" si="39"/>
        <v>Actionplan-Maßnahmenplan</v>
      </c>
      <c r="B836" t="str">
        <f>pos(Actionplan!O245)</f>
        <v>$O$245</v>
      </c>
      <c r="C836" t="e">
        <f t="shared" ca="1" si="41"/>
        <v>#REF!</v>
      </c>
    </row>
    <row r="837" spans="1:3">
      <c r="A837" s="3" t="str">
        <f t="shared" si="39"/>
        <v>Actionplan-Maßnahmenplan</v>
      </c>
      <c r="B837" t="str">
        <f>pos(Actionplan!O246)</f>
        <v>$O$246</v>
      </c>
      <c r="C837" t="e">
        <f t="shared" ca="1" si="41"/>
        <v>#REF!</v>
      </c>
    </row>
    <row r="838" spans="1:3">
      <c r="A838" s="3" t="str">
        <f t="shared" si="39"/>
        <v>Actionplan-Maßnahmenplan</v>
      </c>
      <c r="B838" t="str">
        <f>pos(Actionplan!O254)</f>
        <v>$O$254</v>
      </c>
      <c r="C838" t="e">
        <f t="shared" ca="1" si="41"/>
        <v>#REF!</v>
      </c>
    </row>
    <row r="839" spans="1:3">
      <c r="A839" s="3" t="str">
        <f t="shared" si="39"/>
        <v>Actionplan-Maßnahmenplan</v>
      </c>
      <c r="B839" t="str">
        <f>pos(Actionplan!O255)</f>
        <v>$O$255</v>
      </c>
      <c r="C839" t="e">
        <f t="shared" ca="1" si="41"/>
        <v>#REF!</v>
      </c>
    </row>
    <row r="840" spans="1:3">
      <c r="A840" s="3" t="str">
        <f t="shared" si="39"/>
        <v>Actionplan-Maßnahmenplan</v>
      </c>
      <c r="B840" t="str">
        <f>pos(Actionplan!O256)</f>
        <v>$O$256</v>
      </c>
      <c r="C840" t="e">
        <f t="shared" ca="1" si="41"/>
        <v>#REF!</v>
      </c>
    </row>
    <row r="841" spans="1:3">
      <c r="A841" s="3" t="str">
        <f t="shared" si="39"/>
        <v>Actionplan-Maßnahmenplan</v>
      </c>
      <c r="B841" t="str">
        <f>pos(Actionplan!O264)</f>
        <v>$O$264</v>
      </c>
      <c r="C841" t="e">
        <f t="shared" ca="1" si="41"/>
        <v>#REF!</v>
      </c>
    </row>
    <row r="842" spans="1:3">
      <c r="A842" s="3" t="str">
        <f t="shared" si="39"/>
        <v>Actionplan-Maßnahmenplan</v>
      </c>
      <c r="B842" t="str">
        <f>pos(Actionplan!O265)</f>
        <v>$O$265</v>
      </c>
      <c r="C842" t="e">
        <f t="shared" ca="1" si="41"/>
        <v>#REF!</v>
      </c>
    </row>
    <row r="843" spans="1:3">
      <c r="A843" s="3" t="str">
        <f t="shared" si="39"/>
        <v>Actionplan-Maßnahmenplan</v>
      </c>
      <c r="B843" t="str">
        <f>pos(Actionplan!O266)</f>
        <v>$O$266</v>
      </c>
      <c r="C843" t="e">
        <f t="shared" ca="1" si="41"/>
        <v>#REF!</v>
      </c>
    </row>
    <row r="844" spans="1:3">
      <c r="A844" s="3" t="str">
        <f t="shared" si="39"/>
        <v>Actionplan-Maßnahmenplan</v>
      </c>
      <c r="B844" t="str">
        <f>pos(Actionplan!O274)</f>
        <v>$O$274</v>
      </c>
      <c r="C844" t="e">
        <f t="shared" ca="1" si="41"/>
        <v>#REF!</v>
      </c>
    </row>
    <row r="845" spans="1:3">
      <c r="A845" s="3" t="str">
        <f t="shared" si="39"/>
        <v>Actionplan-Maßnahmenplan</v>
      </c>
      <c r="B845" t="str">
        <f>pos(Actionplan!O275)</f>
        <v>$O$275</v>
      </c>
      <c r="C845" t="e">
        <f t="shared" ca="1" si="41"/>
        <v>#REF!</v>
      </c>
    </row>
    <row r="846" spans="1:3">
      <c r="A846" s="3" t="str">
        <f t="shared" si="39"/>
        <v>Actionplan-Maßnahmenplan</v>
      </c>
      <c r="B846" t="str">
        <f>pos(Actionplan!O276)</f>
        <v>$O$276</v>
      </c>
      <c r="C846" t="e">
        <f t="shared" ca="1" si="41"/>
        <v>#REF!</v>
      </c>
    </row>
    <row r="847" spans="1:3">
      <c r="A847" s="3" t="str">
        <f t="shared" si="39"/>
        <v>Actionplan-Maßnahmenplan</v>
      </c>
      <c r="B847" t="str">
        <f>pos(Actionplan!O284)</f>
        <v>$O$284</v>
      </c>
      <c r="C847" t="e">
        <f t="shared" ca="1" si="41"/>
        <v>#REF!</v>
      </c>
    </row>
    <row r="848" spans="1:3">
      <c r="A848" s="3" t="str">
        <f t="shared" si="39"/>
        <v>Actionplan-Maßnahmenplan</v>
      </c>
      <c r="B848" t="str">
        <f>pos(Actionplan!O285)</f>
        <v>$O$285</v>
      </c>
      <c r="C848" t="e">
        <f t="shared" ca="1" si="41"/>
        <v>#REF!</v>
      </c>
    </row>
    <row r="849" spans="1:3">
      <c r="A849" s="3" t="str">
        <f t="shared" si="39"/>
        <v>Actionplan-Maßnahmenplan</v>
      </c>
      <c r="B849" t="str">
        <f>pos(Actionplan!O286)</f>
        <v>$O$286</v>
      </c>
      <c r="C849" t="e">
        <f t="shared" ca="1" si="41"/>
        <v>#REF!</v>
      </c>
    </row>
    <row r="850" spans="1:3">
      <c r="A850" s="3" t="str">
        <f t="shared" si="39"/>
        <v>Actionplan-Maßnahmenplan</v>
      </c>
      <c r="B850" t="str">
        <f>pos(Actionplan!O294)</f>
        <v>$O$294</v>
      </c>
      <c r="C850" t="e">
        <f t="shared" ref="C850:C896" ca="1" si="42">IF(INDIRECT("'"&amp;A850&amp;"'!"&amp;B850)=0,"",INDIRECT("'"&amp;A850&amp;"'!"&amp;B850))</f>
        <v>#REF!</v>
      </c>
    </row>
    <row r="851" spans="1:3">
      <c r="A851" s="3" t="str">
        <f t="shared" si="39"/>
        <v>Actionplan-Maßnahmenplan</v>
      </c>
      <c r="B851" t="str">
        <f>pos(Actionplan!O295)</f>
        <v>$O$295</v>
      </c>
      <c r="C851" t="e">
        <f t="shared" ca="1" si="42"/>
        <v>#REF!</v>
      </c>
    </row>
    <row r="852" spans="1:3">
      <c r="A852" s="3" t="str">
        <f t="shared" si="39"/>
        <v>Actionplan-Maßnahmenplan</v>
      </c>
      <c r="B852" t="str">
        <f>pos(Actionplan!O296)</f>
        <v>$O$296</v>
      </c>
      <c r="C852" t="e">
        <f t="shared" ca="1" si="42"/>
        <v>#REF!</v>
      </c>
    </row>
    <row r="853" spans="1:3">
      <c r="A853" s="3" t="str">
        <f t="shared" si="39"/>
        <v>Actionplan-Maßnahmenplan</v>
      </c>
      <c r="B853" t="str">
        <f>pos(Actionplan!O304)</f>
        <v>$O$304</v>
      </c>
      <c r="C853" t="e">
        <f t="shared" ca="1" si="42"/>
        <v>#REF!</v>
      </c>
    </row>
    <row r="854" spans="1:3">
      <c r="A854" s="3" t="str">
        <f t="shared" si="39"/>
        <v>Actionplan-Maßnahmenplan</v>
      </c>
      <c r="B854" t="str">
        <f>pos(Actionplan!O305)</f>
        <v>$O$305</v>
      </c>
      <c r="C854" t="e">
        <f t="shared" ca="1" si="42"/>
        <v>#REF!</v>
      </c>
    </row>
    <row r="855" spans="1:3">
      <c r="A855" s="3" t="str">
        <f t="shared" si="39"/>
        <v>Actionplan-Maßnahmenplan</v>
      </c>
      <c r="B855" t="str">
        <f>pos(Actionplan!O306)</f>
        <v>$O$306</v>
      </c>
      <c r="C855" t="e">
        <f t="shared" ca="1" si="42"/>
        <v>#REF!</v>
      </c>
    </row>
    <row r="856" spans="1:3">
      <c r="A856" s="3" t="str">
        <f t="shared" si="39"/>
        <v>Actionplan-Maßnahmenplan</v>
      </c>
      <c r="B856" t="str">
        <f>pos(Actionplan!O314)</f>
        <v>$O$314</v>
      </c>
      <c r="C856" t="e">
        <f t="shared" ca="1" si="42"/>
        <v>#REF!</v>
      </c>
    </row>
    <row r="857" spans="1:3">
      <c r="A857" s="3" t="str">
        <f t="shared" si="39"/>
        <v>Actionplan-Maßnahmenplan</v>
      </c>
      <c r="B857" t="str">
        <f>pos(Actionplan!O315)</f>
        <v>$O$315</v>
      </c>
      <c r="C857" t="e">
        <f t="shared" ca="1" si="42"/>
        <v>#REF!</v>
      </c>
    </row>
    <row r="858" spans="1:3">
      <c r="A858" s="3" t="str">
        <f t="shared" si="39"/>
        <v>Actionplan-Maßnahmenplan</v>
      </c>
      <c r="B858" t="str">
        <f>pos(Actionplan!O316)</f>
        <v>$O$316</v>
      </c>
      <c r="C858" t="e">
        <f t="shared" ca="1" si="42"/>
        <v>#REF!</v>
      </c>
    </row>
    <row r="859" spans="1:3">
      <c r="A859" s="3" t="str">
        <f t="shared" si="39"/>
        <v>Actionplan-Maßnahmenplan</v>
      </c>
      <c r="B859" t="str">
        <f>pos(Actionplan!O317)</f>
        <v>$O$317</v>
      </c>
      <c r="C859" t="e">
        <f t="shared" ca="1" si="42"/>
        <v>#REF!</v>
      </c>
    </row>
    <row r="860" spans="1:3">
      <c r="A860" s="3" t="str">
        <f t="shared" si="39"/>
        <v>Actionplan-Maßnahmenplan</v>
      </c>
      <c r="B860" t="str">
        <f>pos(Actionplan!O318)</f>
        <v>$O$318</v>
      </c>
      <c r="C860" t="e">
        <f t="shared" ca="1" si="42"/>
        <v>#REF!</v>
      </c>
    </row>
    <row r="861" spans="1:3">
      <c r="A861" s="3" t="str">
        <f t="shared" si="39"/>
        <v>Actionplan-Maßnahmenplan</v>
      </c>
      <c r="B861" t="str">
        <f>pos(Actionplan!O319)</f>
        <v>$O$319</v>
      </c>
      <c r="C861" t="e">
        <f t="shared" ca="1" si="42"/>
        <v>#REF!</v>
      </c>
    </row>
    <row r="862" spans="1:3">
      <c r="A862" s="3" t="str">
        <f t="shared" si="39"/>
        <v>Actionplan-Maßnahmenplan</v>
      </c>
      <c r="B862" t="str">
        <f>pos(Actionplan!O320)</f>
        <v>$O$320</v>
      </c>
      <c r="C862" t="e">
        <f t="shared" ca="1" si="42"/>
        <v>#REF!</v>
      </c>
    </row>
    <row r="863" spans="1:3">
      <c r="A863" s="3" t="str">
        <f t="shared" si="39"/>
        <v>Actionplan-Maßnahmenplan</v>
      </c>
      <c r="B863" t="str">
        <f>pos(Actionplan!Q12)</f>
        <v>$Q$12</v>
      </c>
      <c r="C863" t="e">
        <f t="shared" ca="1" si="42"/>
        <v>#REF!</v>
      </c>
    </row>
    <row r="864" spans="1:3">
      <c r="A864" s="3" t="str">
        <f t="shared" si="39"/>
        <v>Actionplan-Maßnahmenplan</v>
      </c>
      <c r="B864" t="str">
        <f>pos(Actionplan!Q13)</f>
        <v>$Q$13</v>
      </c>
      <c r="C864" t="e">
        <f t="shared" ca="1" si="42"/>
        <v>#REF!</v>
      </c>
    </row>
    <row r="865" spans="1:3">
      <c r="A865" s="3" t="str">
        <f t="shared" si="39"/>
        <v>Actionplan-Maßnahmenplan</v>
      </c>
      <c r="B865" t="str">
        <f>pos(Actionplan!Q14)</f>
        <v>$Q$14</v>
      </c>
      <c r="C865" t="e">
        <f t="shared" ca="1" si="42"/>
        <v>#REF!</v>
      </c>
    </row>
    <row r="866" spans="1:3">
      <c r="A866" s="3" t="str">
        <f t="shared" si="39"/>
        <v>Actionplan-Maßnahmenplan</v>
      </c>
      <c r="B866" t="str">
        <f>pos(Actionplan!Q15)</f>
        <v>$Q$15</v>
      </c>
      <c r="C866" t="e">
        <f t="shared" ca="1" si="42"/>
        <v>#REF!</v>
      </c>
    </row>
    <row r="867" spans="1:3">
      <c r="A867" s="3" t="str">
        <f t="shared" ref="A867:A930" si="43">$A$482</f>
        <v>Actionplan-Maßnahmenplan</v>
      </c>
      <c r="B867" t="str">
        <f>pos(Actionplan!Q16)</f>
        <v>$Q$16</v>
      </c>
      <c r="C867" t="e">
        <f t="shared" ca="1" si="42"/>
        <v>#REF!</v>
      </c>
    </row>
    <row r="868" spans="1:3">
      <c r="A868" s="3" t="str">
        <f t="shared" si="43"/>
        <v>Actionplan-Maßnahmenplan</v>
      </c>
      <c r="B868" t="str">
        <f>pos(Actionplan!Q17)</f>
        <v>$Q$17</v>
      </c>
      <c r="C868" t="e">
        <f t="shared" ca="1" si="42"/>
        <v>#REF!</v>
      </c>
    </row>
    <row r="869" spans="1:3">
      <c r="A869" s="3" t="str">
        <f t="shared" si="43"/>
        <v>Actionplan-Maßnahmenplan</v>
      </c>
      <c r="B869" t="str">
        <f>pos(Actionplan!Q18)</f>
        <v>$Q$18</v>
      </c>
      <c r="C869" t="e">
        <f t="shared" ca="1" si="42"/>
        <v>#REF!</v>
      </c>
    </row>
    <row r="870" spans="1:3">
      <c r="A870" s="3" t="str">
        <f t="shared" si="43"/>
        <v>Actionplan-Maßnahmenplan</v>
      </c>
      <c r="B870" t="str">
        <f>pos(Actionplan!Q19)</f>
        <v>$Q$19</v>
      </c>
      <c r="C870" t="e">
        <f t="shared" ca="1" si="42"/>
        <v>#REF!</v>
      </c>
    </row>
    <row r="871" spans="1:3">
      <c r="A871" s="3" t="str">
        <f t="shared" si="43"/>
        <v>Actionplan-Maßnahmenplan</v>
      </c>
      <c r="B871" t="str">
        <f>pos(Actionplan!Q20)</f>
        <v>$Q$20</v>
      </c>
      <c r="C871" t="e">
        <f t="shared" ca="1" si="42"/>
        <v>#REF!</v>
      </c>
    </row>
    <row r="872" spans="1:3">
      <c r="A872" s="3" t="str">
        <f t="shared" si="43"/>
        <v>Actionplan-Maßnahmenplan</v>
      </c>
      <c r="B872" t="str">
        <f>pos(Actionplan!Q21)</f>
        <v>$Q$21</v>
      </c>
      <c r="C872" t="e">
        <f t="shared" ca="1" si="42"/>
        <v>#REF!</v>
      </c>
    </row>
    <row r="873" spans="1:3">
      <c r="A873" s="3" t="str">
        <f t="shared" si="43"/>
        <v>Actionplan-Maßnahmenplan</v>
      </c>
      <c r="B873" t="str">
        <f>pos(Actionplan!Q22)</f>
        <v>$Q$22</v>
      </c>
      <c r="C873" t="e">
        <f t="shared" ca="1" si="42"/>
        <v>#REF!</v>
      </c>
    </row>
    <row r="874" spans="1:3">
      <c r="A874" s="3" t="str">
        <f t="shared" si="43"/>
        <v>Actionplan-Maßnahmenplan</v>
      </c>
      <c r="B874" t="str">
        <f>pos(Actionplan!Q23)</f>
        <v>$Q$23</v>
      </c>
      <c r="C874" t="e">
        <f t="shared" ca="1" si="42"/>
        <v>#REF!</v>
      </c>
    </row>
    <row r="875" spans="1:3">
      <c r="A875" s="3" t="str">
        <f t="shared" si="43"/>
        <v>Actionplan-Maßnahmenplan</v>
      </c>
      <c r="B875" t="str">
        <f>pos(Actionplan!Q24)</f>
        <v>$Q$24</v>
      </c>
      <c r="C875" t="e">
        <f t="shared" ca="1" si="42"/>
        <v>#REF!</v>
      </c>
    </row>
    <row r="876" spans="1:3">
      <c r="A876" s="3" t="str">
        <f t="shared" si="43"/>
        <v>Actionplan-Maßnahmenplan</v>
      </c>
      <c r="B876" t="str">
        <f>pos(Actionplan!Q25)</f>
        <v>$Q$25</v>
      </c>
      <c r="C876" t="e">
        <f t="shared" ca="1" si="42"/>
        <v>#REF!</v>
      </c>
    </row>
    <row r="877" spans="1:3">
      <c r="A877" s="3" t="str">
        <f t="shared" si="43"/>
        <v>Actionplan-Maßnahmenplan</v>
      </c>
      <c r="B877" t="str">
        <f>pos(Actionplan!Q26)</f>
        <v>$Q$26</v>
      </c>
      <c r="C877" t="e">
        <f t="shared" ca="1" si="42"/>
        <v>#REF!</v>
      </c>
    </row>
    <row r="878" spans="1:3">
      <c r="A878" s="3" t="str">
        <f t="shared" si="43"/>
        <v>Actionplan-Maßnahmenplan</v>
      </c>
      <c r="B878" t="str">
        <f>pos(Actionplan!Q27)</f>
        <v>$Q$27</v>
      </c>
      <c r="C878" t="e">
        <f t="shared" ca="1" si="42"/>
        <v>#REF!</v>
      </c>
    </row>
    <row r="879" spans="1:3">
      <c r="A879" s="3" t="str">
        <f t="shared" si="43"/>
        <v>Actionplan-Maßnahmenplan</v>
      </c>
      <c r="B879" t="str">
        <f>pos(Actionplan!Q28)</f>
        <v>$Q$28</v>
      </c>
      <c r="C879" t="e">
        <f t="shared" ca="1" si="42"/>
        <v>#REF!</v>
      </c>
    </row>
    <row r="880" spans="1:3">
      <c r="A880" s="3" t="str">
        <f t="shared" si="43"/>
        <v>Actionplan-Maßnahmenplan</v>
      </c>
      <c r="B880" t="str">
        <f>pos(Actionplan!Q29)</f>
        <v>$Q$29</v>
      </c>
      <c r="C880" t="e">
        <f t="shared" ca="1" si="42"/>
        <v>#REF!</v>
      </c>
    </row>
    <row r="881" spans="1:3">
      <c r="A881" s="3" t="str">
        <f t="shared" si="43"/>
        <v>Actionplan-Maßnahmenplan</v>
      </c>
      <c r="B881" t="str">
        <f>pos(Actionplan!Q30)</f>
        <v>$Q$30</v>
      </c>
      <c r="C881" t="e">
        <f t="shared" ca="1" si="42"/>
        <v>#REF!</v>
      </c>
    </row>
    <row r="882" spans="1:3">
      <c r="A882" s="3" t="str">
        <f t="shared" si="43"/>
        <v>Actionplan-Maßnahmenplan</v>
      </c>
      <c r="B882" t="str">
        <f>pos(Actionplan!Q31)</f>
        <v>$Q$31</v>
      </c>
      <c r="C882" t="e">
        <f t="shared" ca="1" si="42"/>
        <v>#REF!</v>
      </c>
    </row>
    <row r="883" spans="1:3">
      <c r="A883" s="3" t="str">
        <f t="shared" si="43"/>
        <v>Actionplan-Maßnahmenplan</v>
      </c>
      <c r="B883" t="str">
        <f>pos(Actionplan!Q32)</f>
        <v>$Q$32</v>
      </c>
      <c r="C883" t="e">
        <f t="shared" ca="1" si="42"/>
        <v>#REF!</v>
      </c>
    </row>
    <row r="884" spans="1:3">
      <c r="A884" s="3" t="str">
        <f t="shared" si="43"/>
        <v>Actionplan-Maßnahmenplan</v>
      </c>
      <c r="B884" t="str">
        <f>pos(Actionplan!Q33)</f>
        <v>$Q$33</v>
      </c>
      <c r="C884" t="e">
        <f t="shared" ca="1" si="42"/>
        <v>#REF!</v>
      </c>
    </row>
    <row r="885" spans="1:3">
      <c r="A885" s="3" t="str">
        <f t="shared" si="43"/>
        <v>Actionplan-Maßnahmenplan</v>
      </c>
      <c r="B885" t="str">
        <f>pos(Actionplan!Q34)</f>
        <v>$Q$34</v>
      </c>
      <c r="C885" t="e">
        <f t="shared" ca="1" si="42"/>
        <v>#REF!</v>
      </c>
    </row>
    <row r="886" spans="1:3">
      <c r="A886" s="3" t="str">
        <f t="shared" si="43"/>
        <v>Actionplan-Maßnahmenplan</v>
      </c>
      <c r="B886" t="str">
        <f>pos(Actionplan!Q35)</f>
        <v>$Q$35</v>
      </c>
      <c r="C886" t="e">
        <f t="shared" ca="1" si="42"/>
        <v>#REF!</v>
      </c>
    </row>
    <row r="887" spans="1:3">
      <c r="A887" s="3" t="str">
        <f t="shared" si="43"/>
        <v>Actionplan-Maßnahmenplan</v>
      </c>
      <c r="B887" t="str">
        <f>pos(Actionplan!Q36)</f>
        <v>$Q$36</v>
      </c>
      <c r="C887" t="e">
        <f t="shared" ca="1" si="42"/>
        <v>#REF!</v>
      </c>
    </row>
    <row r="888" spans="1:3">
      <c r="A888" s="3" t="str">
        <f t="shared" si="43"/>
        <v>Actionplan-Maßnahmenplan</v>
      </c>
      <c r="B888" t="str">
        <f>pos(Actionplan!Q37)</f>
        <v>$Q$37</v>
      </c>
      <c r="C888" t="e">
        <f t="shared" ca="1" si="42"/>
        <v>#REF!</v>
      </c>
    </row>
    <row r="889" spans="1:3">
      <c r="A889" s="3" t="str">
        <f t="shared" si="43"/>
        <v>Actionplan-Maßnahmenplan</v>
      </c>
      <c r="B889" t="str">
        <f>pos(Actionplan!Q38)</f>
        <v>$Q$38</v>
      </c>
      <c r="C889" t="e">
        <f t="shared" ca="1" si="42"/>
        <v>#REF!</v>
      </c>
    </row>
    <row r="890" spans="1:3">
      <c r="A890" s="3" t="str">
        <f t="shared" si="43"/>
        <v>Actionplan-Maßnahmenplan</v>
      </c>
      <c r="B890" t="str">
        <f>pos(Actionplan!Q39)</f>
        <v>$Q$39</v>
      </c>
      <c r="C890" t="e">
        <f t="shared" ca="1" si="42"/>
        <v>#REF!</v>
      </c>
    </row>
    <row r="891" spans="1:3">
      <c r="A891" s="3" t="str">
        <f t="shared" si="43"/>
        <v>Actionplan-Maßnahmenplan</v>
      </c>
      <c r="B891" t="str">
        <f>pos(Actionplan!Q40)</f>
        <v>$Q$40</v>
      </c>
      <c r="C891" t="e">
        <f t="shared" ca="1" si="42"/>
        <v>#REF!</v>
      </c>
    </row>
    <row r="892" spans="1:3">
      <c r="A892" s="3" t="str">
        <f t="shared" si="43"/>
        <v>Actionplan-Maßnahmenplan</v>
      </c>
      <c r="B892" t="str">
        <f>pos(Actionplan!Q41)</f>
        <v>$Q$41</v>
      </c>
      <c r="C892" t="e">
        <f t="shared" ca="1" si="42"/>
        <v>#REF!</v>
      </c>
    </row>
    <row r="893" spans="1:3">
      <c r="A893" s="3" t="str">
        <f t="shared" si="43"/>
        <v>Actionplan-Maßnahmenplan</v>
      </c>
      <c r="B893" t="str">
        <f>pos(Actionplan!Q42)</f>
        <v>$Q$42</v>
      </c>
      <c r="C893" t="e">
        <f t="shared" ca="1" si="42"/>
        <v>#REF!</v>
      </c>
    </row>
    <row r="894" spans="1:3">
      <c r="A894" s="3" t="str">
        <f t="shared" si="43"/>
        <v>Actionplan-Maßnahmenplan</v>
      </c>
      <c r="B894" t="str">
        <f>pos(Actionplan!Q43)</f>
        <v>$Q$43</v>
      </c>
      <c r="C894" t="e">
        <f t="shared" ca="1" si="42"/>
        <v>#REF!</v>
      </c>
    </row>
    <row r="895" spans="1:3">
      <c r="A895" s="3" t="str">
        <f t="shared" si="43"/>
        <v>Actionplan-Maßnahmenplan</v>
      </c>
      <c r="B895" t="str">
        <f>pos(Actionplan!Q44)</f>
        <v>$Q$44</v>
      </c>
      <c r="C895" t="e">
        <f t="shared" ca="1" si="42"/>
        <v>#REF!</v>
      </c>
    </row>
    <row r="896" spans="1:3">
      <c r="A896" s="3" t="str">
        <f t="shared" si="43"/>
        <v>Actionplan-Maßnahmenplan</v>
      </c>
      <c r="B896" t="str">
        <f>pos(Actionplan!Q45)</f>
        <v>$Q$45</v>
      </c>
      <c r="C896" t="e">
        <f t="shared" ca="1" si="42"/>
        <v>#REF!</v>
      </c>
    </row>
    <row r="897" spans="1:3">
      <c r="A897" s="3" t="str">
        <f t="shared" si="43"/>
        <v>Actionplan-Maßnahmenplan</v>
      </c>
      <c r="B897" t="str">
        <f>pos(Actionplan!Q46)</f>
        <v>$Q$46</v>
      </c>
      <c r="C897" t="e">
        <f t="shared" ref="C897:C922" ca="1" si="44">IF(INDIRECT("'"&amp;A897&amp;"'!"&amp;B897)=0,"",INDIRECT("'"&amp;A897&amp;"'!"&amp;B897))</f>
        <v>#REF!</v>
      </c>
    </row>
    <row r="898" spans="1:3">
      <c r="A898" s="3" t="str">
        <f t="shared" si="43"/>
        <v>Actionplan-Maßnahmenplan</v>
      </c>
      <c r="B898" t="str">
        <f>pos(Actionplan!Q47)</f>
        <v>$Q$47</v>
      </c>
      <c r="C898" t="e">
        <f t="shared" ca="1" si="44"/>
        <v>#REF!</v>
      </c>
    </row>
    <row r="899" spans="1:3">
      <c r="A899" s="3" t="str">
        <f t="shared" si="43"/>
        <v>Actionplan-Maßnahmenplan</v>
      </c>
      <c r="B899" t="str">
        <f>pos(Actionplan!Q48)</f>
        <v>$Q$48</v>
      </c>
      <c r="C899" t="e">
        <f t="shared" ca="1" si="44"/>
        <v>#REF!</v>
      </c>
    </row>
    <row r="900" spans="1:3">
      <c r="A900" s="3" t="str">
        <f t="shared" si="43"/>
        <v>Actionplan-Maßnahmenplan</v>
      </c>
      <c r="B900" t="str">
        <f>pos(Actionplan!Q49)</f>
        <v>$Q$49</v>
      </c>
      <c r="C900" t="e">
        <f t="shared" ca="1" si="44"/>
        <v>#REF!</v>
      </c>
    </row>
    <row r="901" spans="1:3">
      <c r="A901" s="3" t="str">
        <f t="shared" si="43"/>
        <v>Actionplan-Maßnahmenplan</v>
      </c>
      <c r="B901" t="str">
        <f>pos(Actionplan!Q50)</f>
        <v>$Q$50</v>
      </c>
      <c r="C901" t="e">
        <f t="shared" ca="1" si="44"/>
        <v>#REF!</v>
      </c>
    </row>
    <row r="902" spans="1:3">
      <c r="A902" s="3" t="str">
        <f t="shared" si="43"/>
        <v>Actionplan-Maßnahmenplan</v>
      </c>
      <c r="B902" t="str">
        <f>pos(Actionplan!Q51)</f>
        <v>$Q$51</v>
      </c>
      <c r="C902" t="e">
        <f t="shared" ca="1" si="44"/>
        <v>#REF!</v>
      </c>
    </row>
    <row r="903" spans="1:3">
      <c r="A903" s="3" t="str">
        <f t="shared" si="43"/>
        <v>Actionplan-Maßnahmenplan</v>
      </c>
      <c r="B903" t="str">
        <f>pos(Actionplan!Q52)</f>
        <v>$Q$52</v>
      </c>
      <c r="C903" t="e">
        <f t="shared" ca="1" si="44"/>
        <v>#REF!</v>
      </c>
    </row>
    <row r="904" spans="1:3">
      <c r="A904" s="3" t="str">
        <f t="shared" si="43"/>
        <v>Actionplan-Maßnahmenplan</v>
      </c>
      <c r="B904" t="str">
        <f>pos(Actionplan!Q53)</f>
        <v>$Q$53</v>
      </c>
      <c r="C904" t="e">
        <f t="shared" ca="1" si="44"/>
        <v>#REF!</v>
      </c>
    </row>
    <row r="905" spans="1:3">
      <c r="A905" s="3" t="str">
        <f t="shared" si="43"/>
        <v>Actionplan-Maßnahmenplan</v>
      </c>
      <c r="B905" t="str">
        <f>pos(Actionplan!Q54)</f>
        <v>$Q$54</v>
      </c>
      <c r="C905" t="e">
        <f t="shared" ca="1" si="44"/>
        <v>#REF!</v>
      </c>
    </row>
    <row r="906" spans="1:3">
      <c r="A906" s="3" t="str">
        <f t="shared" si="43"/>
        <v>Actionplan-Maßnahmenplan</v>
      </c>
      <c r="B906" t="str">
        <f>pos(Actionplan!Q55)</f>
        <v>$Q$55</v>
      </c>
      <c r="C906" t="e">
        <f t="shared" ca="1" si="44"/>
        <v>#REF!</v>
      </c>
    </row>
    <row r="907" spans="1:3">
      <c r="A907" s="3" t="str">
        <f t="shared" si="43"/>
        <v>Actionplan-Maßnahmenplan</v>
      </c>
      <c r="B907" t="str">
        <f>pos(Actionplan!Q56)</f>
        <v>$Q$56</v>
      </c>
      <c r="C907" t="e">
        <f t="shared" ca="1" si="44"/>
        <v>#REF!</v>
      </c>
    </row>
    <row r="908" spans="1:3">
      <c r="A908" s="3" t="str">
        <f t="shared" si="43"/>
        <v>Actionplan-Maßnahmenplan</v>
      </c>
      <c r="B908" t="str">
        <f>pos(Actionplan!Q64)</f>
        <v>$Q$64</v>
      </c>
      <c r="C908" t="e">
        <f t="shared" ca="1" si="44"/>
        <v>#REF!</v>
      </c>
    </row>
    <row r="909" spans="1:3">
      <c r="A909" s="3" t="str">
        <f t="shared" si="43"/>
        <v>Actionplan-Maßnahmenplan</v>
      </c>
      <c r="B909" t="str">
        <f>pos(Actionplan!Q65)</f>
        <v>$Q$65</v>
      </c>
      <c r="C909" t="e">
        <f t="shared" ca="1" si="44"/>
        <v>#REF!</v>
      </c>
    </row>
    <row r="910" spans="1:3">
      <c r="A910" s="3" t="str">
        <f t="shared" si="43"/>
        <v>Actionplan-Maßnahmenplan</v>
      </c>
      <c r="B910" t="str">
        <f>pos(Actionplan!Q66)</f>
        <v>$Q$66</v>
      </c>
      <c r="C910" t="e">
        <f t="shared" ca="1" si="44"/>
        <v>#REF!</v>
      </c>
    </row>
    <row r="911" spans="1:3">
      <c r="A911" s="3" t="str">
        <f t="shared" si="43"/>
        <v>Actionplan-Maßnahmenplan</v>
      </c>
      <c r="B911" t="str">
        <f>pos(Actionplan!Q74)</f>
        <v>$Q$74</v>
      </c>
      <c r="C911" t="e">
        <f t="shared" ca="1" si="44"/>
        <v>#REF!</v>
      </c>
    </row>
    <row r="912" spans="1:3">
      <c r="A912" s="3" t="str">
        <f t="shared" si="43"/>
        <v>Actionplan-Maßnahmenplan</v>
      </c>
      <c r="B912" t="str">
        <f>pos(Actionplan!Q75)</f>
        <v>$Q$75</v>
      </c>
      <c r="C912" t="e">
        <f t="shared" ca="1" si="44"/>
        <v>#REF!</v>
      </c>
    </row>
    <row r="913" spans="1:3">
      <c r="A913" s="3" t="str">
        <f t="shared" si="43"/>
        <v>Actionplan-Maßnahmenplan</v>
      </c>
      <c r="B913" t="str">
        <f>pos(Actionplan!Q76)</f>
        <v>$Q$76</v>
      </c>
      <c r="C913" t="e">
        <f t="shared" ca="1" si="44"/>
        <v>#REF!</v>
      </c>
    </row>
    <row r="914" spans="1:3">
      <c r="A914" s="3" t="str">
        <f t="shared" si="43"/>
        <v>Actionplan-Maßnahmenplan</v>
      </c>
      <c r="B914" t="str">
        <f>pos(Actionplan!Q84)</f>
        <v>$Q$84</v>
      </c>
      <c r="C914" t="e">
        <f t="shared" ca="1" si="44"/>
        <v>#REF!</v>
      </c>
    </row>
    <row r="915" spans="1:3">
      <c r="A915" s="3" t="str">
        <f t="shared" si="43"/>
        <v>Actionplan-Maßnahmenplan</v>
      </c>
      <c r="B915" t="str">
        <f>pos(Actionplan!Q85)</f>
        <v>$Q$85</v>
      </c>
      <c r="C915" t="e">
        <f t="shared" ca="1" si="44"/>
        <v>#REF!</v>
      </c>
    </row>
    <row r="916" spans="1:3">
      <c r="A916" s="3" t="str">
        <f t="shared" si="43"/>
        <v>Actionplan-Maßnahmenplan</v>
      </c>
      <c r="B916" t="str">
        <f>pos(Actionplan!Q86)</f>
        <v>$Q$86</v>
      </c>
      <c r="C916" t="e">
        <f t="shared" ca="1" si="44"/>
        <v>#REF!</v>
      </c>
    </row>
    <row r="917" spans="1:3">
      <c r="A917" s="3" t="str">
        <f t="shared" si="43"/>
        <v>Actionplan-Maßnahmenplan</v>
      </c>
      <c r="B917" t="str">
        <f>pos(Actionplan!Q94)</f>
        <v>$Q$94</v>
      </c>
      <c r="C917" t="e">
        <f t="shared" ca="1" si="44"/>
        <v>#REF!</v>
      </c>
    </row>
    <row r="918" spans="1:3">
      <c r="A918" s="3" t="str">
        <f t="shared" si="43"/>
        <v>Actionplan-Maßnahmenplan</v>
      </c>
      <c r="B918" t="str">
        <f>pos(Actionplan!Q95)</f>
        <v>$Q$95</v>
      </c>
      <c r="C918" t="e">
        <f t="shared" ca="1" si="44"/>
        <v>#REF!</v>
      </c>
    </row>
    <row r="919" spans="1:3">
      <c r="A919" s="3" t="str">
        <f t="shared" si="43"/>
        <v>Actionplan-Maßnahmenplan</v>
      </c>
      <c r="B919" t="str">
        <f>pos(Actionplan!Q96)</f>
        <v>$Q$96</v>
      </c>
      <c r="C919" t="e">
        <f t="shared" ca="1" si="44"/>
        <v>#REF!</v>
      </c>
    </row>
    <row r="920" spans="1:3">
      <c r="A920" s="3" t="str">
        <f t="shared" si="43"/>
        <v>Actionplan-Maßnahmenplan</v>
      </c>
      <c r="B920" t="str">
        <f>pos(Actionplan!Q104)</f>
        <v>$Q$104</v>
      </c>
      <c r="C920" t="e">
        <f t="shared" ca="1" si="44"/>
        <v>#REF!</v>
      </c>
    </row>
    <row r="921" spans="1:3">
      <c r="A921" s="3" t="str">
        <f t="shared" si="43"/>
        <v>Actionplan-Maßnahmenplan</v>
      </c>
      <c r="B921" t="str">
        <f>pos(Actionplan!Q105)</f>
        <v>$Q$105</v>
      </c>
      <c r="C921" t="e">
        <f t="shared" ca="1" si="44"/>
        <v>#REF!</v>
      </c>
    </row>
    <row r="922" spans="1:3">
      <c r="A922" s="3" t="str">
        <f t="shared" si="43"/>
        <v>Actionplan-Maßnahmenplan</v>
      </c>
      <c r="B922" t="str">
        <f>pos(Actionplan!Q106)</f>
        <v>$Q$106</v>
      </c>
      <c r="C922" t="e">
        <f t="shared" ca="1" si="44"/>
        <v>#REF!</v>
      </c>
    </row>
    <row r="923" spans="1:3">
      <c r="A923" s="3" t="str">
        <f t="shared" si="43"/>
        <v>Actionplan-Maßnahmenplan</v>
      </c>
      <c r="B923" t="str">
        <f>pos(Actionplan!Q114)</f>
        <v>$Q$114</v>
      </c>
      <c r="C923" t="e">
        <f t="shared" ref="C923:C940" ca="1" si="45">IF(INDIRECT("'"&amp;A923&amp;"'!"&amp;B923)=0,"",INDIRECT("'"&amp;A923&amp;"'!"&amp;B923))</f>
        <v>#REF!</v>
      </c>
    </row>
    <row r="924" spans="1:3">
      <c r="A924" s="3" t="str">
        <f t="shared" si="43"/>
        <v>Actionplan-Maßnahmenplan</v>
      </c>
      <c r="B924" t="str">
        <f>pos(Actionplan!Q115)</f>
        <v>$Q$115</v>
      </c>
      <c r="C924" t="e">
        <f t="shared" ca="1" si="45"/>
        <v>#REF!</v>
      </c>
    </row>
    <row r="925" spans="1:3">
      <c r="A925" s="3" t="str">
        <f t="shared" si="43"/>
        <v>Actionplan-Maßnahmenplan</v>
      </c>
      <c r="B925" t="str">
        <f>pos(Actionplan!Q116)</f>
        <v>$Q$116</v>
      </c>
      <c r="C925" t="e">
        <f t="shared" ca="1" si="45"/>
        <v>#REF!</v>
      </c>
    </row>
    <row r="926" spans="1:3">
      <c r="A926" s="3" t="str">
        <f t="shared" si="43"/>
        <v>Actionplan-Maßnahmenplan</v>
      </c>
      <c r="B926" t="str">
        <f>pos(Actionplan!Q124)</f>
        <v>$Q$124</v>
      </c>
      <c r="C926" t="e">
        <f t="shared" ca="1" si="45"/>
        <v>#REF!</v>
      </c>
    </row>
    <row r="927" spans="1:3">
      <c r="A927" s="3" t="str">
        <f t="shared" si="43"/>
        <v>Actionplan-Maßnahmenplan</v>
      </c>
      <c r="B927" t="str">
        <f>pos(Actionplan!Q125)</f>
        <v>$Q$125</v>
      </c>
      <c r="C927" t="e">
        <f t="shared" ca="1" si="45"/>
        <v>#REF!</v>
      </c>
    </row>
    <row r="928" spans="1:3">
      <c r="A928" s="3" t="str">
        <f t="shared" si="43"/>
        <v>Actionplan-Maßnahmenplan</v>
      </c>
      <c r="B928" t="str">
        <f>pos(Actionplan!Q126)</f>
        <v>$Q$126</v>
      </c>
      <c r="C928" t="e">
        <f t="shared" ca="1" si="45"/>
        <v>#REF!</v>
      </c>
    </row>
    <row r="929" spans="1:3">
      <c r="A929" s="3" t="str">
        <f t="shared" si="43"/>
        <v>Actionplan-Maßnahmenplan</v>
      </c>
      <c r="B929" t="str">
        <f>pos(Actionplan!Q134)</f>
        <v>$Q$134</v>
      </c>
      <c r="C929" t="e">
        <f t="shared" ca="1" si="45"/>
        <v>#REF!</v>
      </c>
    </row>
    <row r="930" spans="1:3">
      <c r="A930" s="3" t="str">
        <f t="shared" si="43"/>
        <v>Actionplan-Maßnahmenplan</v>
      </c>
      <c r="B930" t="str">
        <f>pos(Actionplan!Q135)</f>
        <v>$Q$135</v>
      </c>
      <c r="C930" t="e">
        <f t="shared" ca="1" si="45"/>
        <v>#REF!</v>
      </c>
    </row>
    <row r="931" spans="1:3">
      <c r="A931" s="3" t="str">
        <f t="shared" ref="A931:A994" si="46">$A$482</f>
        <v>Actionplan-Maßnahmenplan</v>
      </c>
      <c r="B931" t="str">
        <f>pos(Actionplan!Q136)</f>
        <v>$Q$136</v>
      </c>
      <c r="C931" t="e">
        <f t="shared" ca="1" si="45"/>
        <v>#REF!</v>
      </c>
    </row>
    <row r="932" spans="1:3">
      <c r="A932" s="3" t="str">
        <f t="shared" si="46"/>
        <v>Actionplan-Maßnahmenplan</v>
      </c>
      <c r="B932" t="str">
        <f>pos(Actionplan!Q144)</f>
        <v>$Q$144</v>
      </c>
      <c r="C932" t="e">
        <f t="shared" ca="1" si="45"/>
        <v>#REF!</v>
      </c>
    </row>
    <row r="933" spans="1:3">
      <c r="A933" s="3" t="str">
        <f t="shared" si="46"/>
        <v>Actionplan-Maßnahmenplan</v>
      </c>
      <c r="B933" t="str">
        <f>pos(Actionplan!Q145)</f>
        <v>$Q$145</v>
      </c>
      <c r="C933" t="e">
        <f t="shared" ca="1" si="45"/>
        <v>#REF!</v>
      </c>
    </row>
    <row r="934" spans="1:3">
      <c r="A934" s="3" t="str">
        <f t="shared" si="46"/>
        <v>Actionplan-Maßnahmenplan</v>
      </c>
      <c r="B934" t="str">
        <f>pos(Actionplan!Q146)</f>
        <v>$Q$146</v>
      </c>
      <c r="C934" t="e">
        <f t="shared" ca="1" si="45"/>
        <v>#REF!</v>
      </c>
    </row>
    <row r="935" spans="1:3">
      <c r="A935" s="3" t="str">
        <f t="shared" si="46"/>
        <v>Actionplan-Maßnahmenplan</v>
      </c>
      <c r="B935" t="str">
        <f>pos(Actionplan!Q154)</f>
        <v>$Q$154</v>
      </c>
      <c r="C935" t="e">
        <f t="shared" ca="1" si="45"/>
        <v>#REF!</v>
      </c>
    </row>
    <row r="936" spans="1:3">
      <c r="A936" s="3" t="str">
        <f t="shared" si="46"/>
        <v>Actionplan-Maßnahmenplan</v>
      </c>
      <c r="B936" t="str">
        <f>pos(Actionplan!Q155)</f>
        <v>$Q$155</v>
      </c>
      <c r="C936" t="e">
        <f t="shared" ca="1" si="45"/>
        <v>#REF!</v>
      </c>
    </row>
    <row r="937" spans="1:3">
      <c r="A937" s="3" t="str">
        <f t="shared" si="46"/>
        <v>Actionplan-Maßnahmenplan</v>
      </c>
      <c r="B937" t="str">
        <f>pos(Actionplan!Q156)</f>
        <v>$Q$156</v>
      </c>
      <c r="C937" t="e">
        <f t="shared" ca="1" si="45"/>
        <v>#REF!</v>
      </c>
    </row>
    <row r="938" spans="1:3">
      <c r="A938" s="3" t="str">
        <f t="shared" si="46"/>
        <v>Actionplan-Maßnahmenplan</v>
      </c>
      <c r="B938" t="str">
        <f>pos(Actionplan!Q164)</f>
        <v>$Q$164</v>
      </c>
      <c r="C938" t="e">
        <f t="shared" ca="1" si="45"/>
        <v>#REF!</v>
      </c>
    </row>
    <row r="939" spans="1:3">
      <c r="A939" s="3" t="str">
        <f t="shared" si="46"/>
        <v>Actionplan-Maßnahmenplan</v>
      </c>
      <c r="B939" t="str">
        <f>pos(Actionplan!Q165)</f>
        <v>$Q$165</v>
      </c>
      <c r="C939" t="e">
        <f t="shared" ca="1" si="45"/>
        <v>#REF!</v>
      </c>
    </row>
    <row r="940" spans="1:3">
      <c r="A940" s="3" t="str">
        <f t="shared" si="46"/>
        <v>Actionplan-Maßnahmenplan</v>
      </c>
      <c r="B940" t="str">
        <f>pos(Actionplan!Q166)</f>
        <v>$Q$166</v>
      </c>
      <c r="C940" t="e">
        <f t="shared" ca="1" si="45"/>
        <v>#REF!</v>
      </c>
    </row>
    <row r="941" spans="1:3">
      <c r="A941" s="3" t="str">
        <f t="shared" si="46"/>
        <v>Actionplan-Maßnahmenplan</v>
      </c>
      <c r="B941" t="str">
        <f>pos(Actionplan!Q174)</f>
        <v>$Q$174</v>
      </c>
      <c r="C941" t="e">
        <f t="shared" ref="C941:C961" ca="1" si="47">IF(INDIRECT("'"&amp;A941&amp;"'!"&amp;B941)=0,"",INDIRECT("'"&amp;A941&amp;"'!"&amp;B941))</f>
        <v>#REF!</v>
      </c>
    </row>
    <row r="942" spans="1:3">
      <c r="A942" s="3" t="str">
        <f t="shared" si="46"/>
        <v>Actionplan-Maßnahmenplan</v>
      </c>
      <c r="B942" t="str">
        <f>pos(Actionplan!Q175)</f>
        <v>$Q$175</v>
      </c>
      <c r="C942" t="e">
        <f t="shared" ca="1" si="47"/>
        <v>#REF!</v>
      </c>
    </row>
    <row r="943" spans="1:3">
      <c r="A943" s="3" t="str">
        <f t="shared" si="46"/>
        <v>Actionplan-Maßnahmenplan</v>
      </c>
      <c r="B943" t="str">
        <f>pos(Actionplan!Q176)</f>
        <v>$Q$176</v>
      </c>
      <c r="C943" t="e">
        <f t="shared" ca="1" si="47"/>
        <v>#REF!</v>
      </c>
    </row>
    <row r="944" spans="1:3">
      <c r="A944" s="3" t="str">
        <f t="shared" si="46"/>
        <v>Actionplan-Maßnahmenplan</v>
      </c>
      <c r="B944" t="str">
        <f>pos(Actionplan!Q184)</f>
        <v>$Q$184</v>
      </c>
      <c r="C944" t="e">
        <f t="shared" ca="1" si="47"/>
        <v>#REF!</v>
      </c>
    </row>
    <row r="945" spans="1:3">
      <c r="A945" s="3" t="str">
        <f t="shared" si="46"/>
        <v>Actionplan-Maßnahmenplan</v>
      </c>
      <c r="B945" t="str">
        <f>pos(Actionplan!Q185)</f>
        <v>$Q$185</v>
      </c>
      <c r="C945" t="e">
        <f t="shared" ca="1" si="47"/>
        <v>#REF!</v>
      </c>
    </row>
    <row r="946" spans="1:3">
      <c r="A946" s="3" t="str">
        <f t="shared" si="46"/>
        <v>Actionplan-Maßnahmenplan</v>
      </c>
      <c r="B946" t="str">
        <f>pos(Actionplan!Q186)</f>
        <v>$Q$186</v>
      </c>
      <c r="C946" t="e">
        <f t="shared" ca="1" si="47"/>
        <v>#REF!</v>
      </c>
    </row>
    <row r="947" spans="1:3">
      <c r="A947" s="3" t="str">
        <f t="shared" si="46"/>
        <v>Actionplan-Maßnahmenplan</v>
      </c>
      <c r="B947" t="str">
        <f>pos(Actionplan!Q194)</f>
        <v>$Q$194</v>
      </c>
      <c r="C947" t="e">
        <f t="shared" ca="1" si="47"/>
        <v>#REF!</v>
      </c>
    </row>
    <row r="948" spans="1:3">
      <c r="A948" s="3" t="str">
        <f t="shared" si="46"/>
        <v>Actionplan-Maßnahmenplan</v>
      </c>
      <c r="B948" t="str">
        <f>pos(Actionplan!Q195)</f>
        <v>$Q$195</v>
      </c>
      <c r="C948" t="e">
        <f t="shared" ca="1" si="47"/>
        <v>#REF!</v>
      </c>
    </row>
    <row r="949" spans="1:3">
      <c r="A949" s="3" t="str">
        <f t="shared" si="46"/>
        <v>Actionplan-Maßnahmenplan</v>
      </c>
      <c r="B949" t="str">
        <f>pos(Actionplan!Q196)</f>
        <v>$Q$196</v>
      </c>
      <c r="C949" t="e">
        <f t="shared" ca="1" si="47"/>
        <v>#REF!</v>
      </c>
    </row>
    <row r="950" spans="1:3">
      <c r="A950" s="3" t="str">
        <f t="shared" si="46"/>
        <v>Actionplan-Maßnahmenplan</v>
      </c>
      <c r="B950" t="str">
        <f>pos(Actionplan!Q204)</f>
        <v>$Q$204</v>
      </c>
      <c r="C950" t="e">
        <f t="shared" ca="1" si="47"/>
        <v>#REF!</v>
      </c>
    </row>
    <row r="951" spans="1:3">
      <c r="A951" s="3" t="str">
        <f t="shared" si="46"/>
        <v>Actionplan-Maßnahmenplan</v>
      </c>
      <c r="B951" t="str">
        <f>pos(Actionplan!Q205)</f>
        <v>$Q$205</v>
      </c>
      <c r="C951" t="e">
        <f t="shared" ca="1" si="47"/>
        <v>#REF!</v>
      </c>
    </row>
    <row r="952" spans="1:3">
      <c r="A952" s="3" t="str">
        <f t="shared" si="46"/>
        <v>Actionplan-Maßnahmenplan</v>
      </c>
      <c r="B952" t="str">
        <f>pos(Actionplan!Q206)</f>
        <v>$Q$206</v>
      </c>
      <c r="C952" t="e">
        <f t="shared" ca="1" si="47"/>
        <v>#REF!</v>
      </c>
    </row>
    <row r="953" spans="1:3">
      <c r="A953" s="3" t="str">
        <f t="shared" si="46"/>
        <v>Actionplan-Maßnahmenplan</v>
      </c>
      <c r="B953" t="str">
        <f>pos(Actionplan!Q214)</f>
        <v>$Q$214</v>
      </c>
      <c r="C953" t="e">
        <f t="shared" ca="1" si="47"/>
        <v>#REF!</v>
      </c>
    </row>
    <row r="954" spans="1:3">
      <c r="A954" s="3" t="str">
        <f t="shared" si="46"/>
        <v>Actionplan-Maßnahmenplan</v>
      </c>
      <c r="B954" t="str">
        <f>pos(Actionplan!Q215)</f>
        <v>$Q$215</v>
      </c>
      <c r="C954" t="e">
        <f t="shared" ca="1" si="47"/>
        <v>#REF!</v>
      </c>
    </row>
    <row r="955" spans="1:3">
      <c r="A955" s="3" t="str">
        <f t="shared" si="46"/>
        <v>Actionplan-Maßnahmenplan</v>
      </c>
      <c r="B955" t="str">
        <f>pos(Actionplan!Q216)</f>
        <v>$Q$216</v>
      </c>
      <c r="C955" t="e">
        <f t="shared" ca="1" si="47"/>
        <v>#REF!</v>
      </c>
    </row>
    <row r="956" spans="1:3">
      <c r="A956" s="3" t="str">
        <f t="shared" si="46"/>
        <v>Actionplan-Maßnahmenplan</v>
      </c>
      <c r="B956" t="str">
        <f>pos(Actionplan!Q224)</f>
        <v>$Q$224</v>
      </c>
      <c r="C956" t="e">
        <f t="shared" ca="1" si="47"/>
        <v>#REF!</v>
      </c>
    </row>
    <row r="957" spans="1:3">
      <c r="A957" s="3" t="str">
        <f t="shared" si="46"/>
        <v>Actionplan-Maßnahmenplan</v>
      </c>
      <c r="B957" t="str">
        <f>pos(Actionplan!Q225)</f>
        <v>$Q$225</v>
      </c>
      <c r="C957" t="e">
        <f t="shared" ca="1" si="47"/>
        <v>#REF!</v>
      </c>
    </row>
    <row r="958" spans="1:3">
      <c r="A958" s="3" t="str">
        <f t="shared" si="46"/>
        <v>Actionplan-Maßnahmenplan</v>
      </c>
      <c r="B958" t="str">
        <f>pos(Actionplan!Q226)</f>
        <v>$Q$226</v>
      </c>
      <c r="C958" t="e">
        <f t="shared" ca="1" si="47"/>
        <v>#REF!</v>
      </c>
    </row>
    <row r="959" spans="1:3">
      <c r="A959" s="3" t="str">
        <f t="shared" si="46"/>
        <v>Actionplan-Maßnahmenplan</v>
      </c>
      <c r="B959" t="str">
        <f>pos(Actionplan!Q234)</f>
        <v>$Q$234</v>
      </c>
      <c r="C959" t="e">
        <f t="shared" ca="1" si="47"/>
        <v>#REF!</v>
      </c>
    </row>
    <row r="960" spans="1:3">
      <c r="A960" s="3" t="str">
        <f t="shared" si="46"/>
        <v>Actionplan-Maßnahmenplan</v>
      </c>
      <c r="B960" t="str">
        <f>pos(Actionplan!Q235)</f>
        <v>$Q$235</v>
      </c>
      <c r="C960" t="e">
        <f t="shared" ca="1" si="47"/>
        <v>#REF!</v>
      </c>
    </row>
    <row r="961" spans="1:3">
      <c r="A961" s="3" t="str">
        <f t="shared" si="46"/>
        <v>Actionplan-Maßnahmenplan</v>
      </c>
      <c r="B961" t="str">
        <f>pos(Actionplan!Q236)</f>
        <v>$Q$236</v>
      </c>
      <c r="C961" t="e">
        <f t="shared" ca="1" si="47"/>
        <v>#REF!</v>
      </c>
    </row>
    <row r="962" spans="1:3">
      <c r="A962" s="3" t="str">
        <f t="shared" si="46"/>
        <v>Actionplan-Maßnahmenplan</v>
      </c>
      <c r="B962" t="str">
        <f>pos(Actionplan!Q244)</f>
        <v>$Q$244</v>
      </c>
      <c r="C962" t="e">
        <f t="shared" ref="C962:C979" ca="1" si="48">IF(INDIRECT("'"&amp;A962&amp;"'!"&amp;B962)=0,"",INDIRECT("'"&amp;A962&amp;"'!"&amp;B962))</f>
        <v>#REF!</v>
      </c>
    </row>
    <row r="963" spans="1:3">
      <c r="A963" s="3" t="str">
        <f t="shared" si="46"/>
        <v>Actionplan-Maßnahmenplan</v>
      </c>
      <c r="B963" t="str">
        <f>pos(Actionplan!Q245)</f>
        <v>$Q$245</v>
      </c>
      <c r="C963" t="e">
        <f t="shared" ca="1" si="48"/>
        <v>#REF!</v>
      </c>
    </row>
    <row r="964" spans="1:3">
      <c r="A964" s="3" t="str">
        <f t="shared" si="46"/>
        <v>Actionplan-Maßnahmenplan</v>
      </c>
      <c r="B964" t="str">
        <f>pos(Actionplan!Q246)</f>
        <v>$Q$246</v>
      </c>
      <c r="C964" t="e">
        <f t="shared" ca="1" si="48"/>
        <v>#REF!</v>
      </c>
    </row>
    <row r="965" spans="1:3">
      <c r="A965" s="3" t="str">
        <f t="shared" si="46"/>
        <v>Actionplan-Maßnahmenplan</v>
      </c>
      <c r="B965" t="str">
        <f>pos(Actionplan!Q254)</f>
        <v>$Q$254</v>
      </c>
      <c r="C965" t="e">
        <f t="shared" ca="1" si="48"/>
        <v>#REF!</v>
      </c>
    </row>
    <row r="966" spans="1:3">
      <c r="A966" s="3" t="str">
        <f t="shared" si="46"/>
        <v>Actionplan-Maßnahmenplan</v>
      </c>
      <c r="B966" t="str">
        <f>pos(Actionplan!Q255)</f>
        <v>$Q$255</v>
      </c>
      <c r="C966" t="e">
        <f t="shared" ca="1" si="48"/>
        <v>#REF!</v>
      </c>
    </row>
    <row r="967" spans="1:3">
      <c r="A967" s="3" t="str">
        <f t="shared" si="46"/>
        <v>Actionplan-Maßnahmenplan</v>
      </c>
      <c r="B967" t="str">
        <f>pos(Actionplan!Q256)</f>
        <v>$Q$256</v>
      </c>
      <c r="C967" t="e">
        <f t="shared" ca="1" si="48"/>
        <v>#REF!</v>
      </c>
    </row>
    <row r="968" spans="1:3">
      <c r="A968" s="3" t="str">
        <f t="shared" si="46"/>
        <v>Actionplan-Maßnahmenplan</v>
      </c>
      <c r="B968" t="str">
        <f>pos(Actionplan!Q264)</f>
        <v>$Q$264</v>
      </c>
      <c r="C968" t="e">
        <f t="shared" ca="1" si="48"/>
        <v>#REF!</v>
      </c>
    </row>
    <row r="969" spans="1:3">
      <c r="A969" s="3" t="str">
        <f t="shared" si="46"/>
        <v>Actionplan-Maßnahmenplan</v>
      </c>
      <c r="B969" t="str">
        <f>pos(Actionplan!Q265)</f>
        <v>$Q$265</v>
      </c>
      <c r="C969" t="e">
        <f t="shared" ca="1" si="48"/>
        <v>#REF!</v>
      </c>
    </row>
    <row r="970" spans="1:3">
      <c r="A970" s="3" t="str">
        <f t="shared" si="46"/>
        <v>Actionplan-Maßnahmenplan</v>
      </c>
      <c r="B970" t="str">
        <f>pos(Actionplan!Q266)</f>
        <v>$Q$266</v>
      </c>
      <c r="C970" t="e">
        <f t="shared" ca="1" si="48"/>
        <v>#REF!</v>
      </c>
    </row>
    <row r="971" spans="1:3">
      <c r="A971" s="3" t="str">
        <f t="shared" si="46"/>
        <v>Actionplan-Maßnahmenplan</v>
      </c>
      <c r="B971" t="str">
        <f>pos(Actionplan!Q274)</f>
        <v>$Q$274</v>
      </c>
      <c r="C971" t="e">
        <f t="shared" ca="1" si="48"/>
        <v>#REF!</v>
      </c>
    </row>
    <row r="972" spans="1:3">
      <c r="A972" s="3" t="str">
        <f t="shared" si="46"/>
        <v>Actionplan-Maßnahmenplan</v>
      </c>
      <c r="B972" t="str">
        <f>pos(Actionplan!Q275)</f>
        <v>$Q$275</v>
      </c>
      <c r="C972" t="e">
        <f t="shared" ca="1" si="48"/>
        <v>#REF!</v>
      </c>
    </row>
    <row r="973" spans="1:3">
      <c r="A973" s="3" t="str">
        <f t="shared" si="46"/>
        <v>Actionplan-Maßnahmenplan</v>
      </c>
      <c r="B973" t="str">
        <f>pos(Actionplan!Q276)</f>
        <v>$Q$276</v>
      </c>
      <c r="C973" t="e">
        <f t="shared" ca="1" si="48"/>
        <v>#REF!</v>
      </c>
    </row>
    <row r="974" spans="1:3">
      <c r="A974" s="3" t="str">
        <f t="shared" si="46"/>
        <v>Actionplan-Maßnahmenplan</v>
      </c>
      <c r="B974" t="str">
        <f>pos(Actionplan!Q284)</f>
        <v>$Q$284</v>
      </c>
      <c r="C974" t="e">
        <f t="shared" ca="1" si="48"/>
        <v>#REF!</v>
      </c>
    </row>
    <row r="975" spans="1:3">
      <c r="A975" s="3" t="str">
        <f t="shared" si="46"/>
        <v>Actionplan-Maßnahmenplan</v>
      </c>
      <c r="B975" t="str">
        <f>pos(Actionplan!Q285)</f>
        <v>$Q$285</v>
      </c>
      <c r="C975" t="e">
        <f t="shared" ca="1" si="48"/>
        <v>#REF!</v>
      </c>
    </row>
    <row r="976" spans="1:3">
      <c r="A976" s="3" t="str">
        <f t="shared" si="46"/>
        <v>Actionplan-Maßnahmenplan</v>
      </c>
      <c r="B976" t="str">
        <f>pos(Actionplan!Q286)</f>
        <v>$Q$286</v>
      </c>
      <c r="C976" t="e">
        <f t="shared" ca="1" si="48"/>
        <v>#REF!</v>
      </c>
    </row>
    <row r="977" spans="1:3">
      <c r="A977" s="3" t="str">
        <f t="shared" si="46"/>
        <v>Actionplan-Maßnahmenplan</v>
      </c>
      <c r="B977" t="str">
        <f>pos(Actionplan!Q294)</f>
        <v>$Q$294</v>
      </c>
      <c r="C977" t="e">
        <f t="shared" ca="1" si="48"/>
        <v>#REF!</v>
      </c>
    </row>
    <row r="978" spans="1:3">
      <c r="A978" s="3" t="str">
        <f t="shared" si="46"/>
        <v>Actionplan-Maßnahmenplan</v>
      </c>
      <c r="B978" t="str">
        <f>pos(Actionplan!Q295)</f>
        <v>$Q$295</v>
      </c>
      <c r="C978" t="e">
        <f t="shared" ca="1" si="48"/>
        <v>#REF!</v>
      </c>
    </row>
    <row r="979" spans="1:3">
      <c r="A979" s="3" t="str">
        <f t="shared" si="46"/>
        <v>Actionplan-Maßnahmenplan</v>
      </c>
      <c r="B979" t="str">
        <f>pos(Actionplan!Q296)</f>
        <v>$Q$296</v>
      </c>
      <c r="C979" t="e">
        <f t="shared" ca="1" si="48"/>
        <v>#REF!</v>
      </c>
    </row>
    <row r="980" spans="1:3">
      <c r="A980" s="3" t="str">
        <f t="shared" si="46"/>
        <v>Actionplan-Maßnahmenplan</v>
      </c>
      <c r="B980" t="str">
        <f>pos(Actionplan!Q304)</f>
        <v>$Q$304</v>
      </c>
      <c r="C980" t="e">
        <f t="shared" ref="C980:C1034" ca="1" si="49">IF(INDIRECT("'"&amp;A980&amp;"'!"&amp;B980)=0,"",INDIRECT("'"&amp;A980&amp;"'!"&amp;B980))</f>
        <v>#REF!</v>
      </c>
    </row>
    <row r="981" spans="1:3">
      <c r="A981" s="3" t="str">
        <f t="shared" si="46"/>
        <v>Actionplan-Maßnahmenplan</v>
      </c>
      <c r="B981" t="str">
        <f>pos(Actionplan!Q305)</f>
        <v>$Q$305</v>
      </c>
      <c r="C981" t="e">
        <f t="shared" ca="1" si="49"/>
        <v>#REF!</v>
      </c>
    </row>
    <row r="982" spans="1:3">
      <c r="A982" s="3" t="str">
        <f t="shared" si="46"/>
        <v>Actionplan-Maßnahmenplan</v>
      </c>
      <c r="B982" t="str">
        <f>pos(Actionplan!Q306)</f>
        <v>$Q$306</v>
      </c>
      <c r="C982" t="e">
        <f t="shared" ca="1" si="49"/>
        <v>#REF!</v>
      </c>
    </row>
    <row r="983" spans="1:3">
      <c r="A983" s="3" t="str">
        <f t="shared" si="46"/>
        <v>Actionplan-Maßnahmenplan</v>
      </c>
      <c r="B983" t="str">
        <f>pos(Actionplan!Q314)</f>
        <v>$Q$314</v>
      </c>
      <c r="C983" t="e">
        <f t="shared" ca="1" si="49"/>
        <v>#REF!</v>
      </c>
    </row>
    <row r="984" spans="1:3">
      <c r="A984" s="3" t="str">
        <f t="shared" si="46"/>
        <v>Actionplan-Maßnahmenplan</v>
      </c>
      <c r="B984" t="str">
        <f>pos(Actionplan!Q315)</f>
        <v>$Q$315</v>
      </c>
      <c r="C984" t="e">
        <f t="shared" ca="1" si="49"/>
        <v>#REF!</v>
      </c>
    </row>
    <row r="985" spans="1:3">
      <c r="A985" s="3" t="str">
        <f t="shared" si="46"/>
        <v>Actionplan-Maßnahmenplan</v>
      </c>
      <c r="B985" t="str">
        <f>pos(Actionplan!Q316)</f>
        <v>$Q$316</v>
      </c>
      <c r="C985" t="e">
        <f t="shared" ca="1" si="49"/>
        <v>#REF!</v>
      </c>
    </row>
    <row r="986" spans="1:3">
      <c r="A986" s="3" t="str">
        <f t="shared" si="46"/>
        <v>Actionplan-Maßnahmenplan</v>
      </c>
      <c r="B986" t="str">
        <f>pos(Actionplan!Q317)</f>
        <v>$Q$317</v>
      </c>
      <c r="C986" t="e">
        <f t="shared" ca="1" si="49"/>
        <v>#REF!</v>
      </c>
    </row>
    <row r="987" spans="1:3">
      <c r="A987" s="3" t="str">
        <f t="shared" si="46"/>
        <v>Actionplan-Maßnahmenplan</v>
      </c>
      <c r="B987" t="str">
        <f>pos(Actionplan!Q318)</f>
        <v>$Q$318</v>
      </c>
      <c r="C987" t="e">
        <f t="shared" ca="1" si="49"/>
        <v>#REF!</v>
      </c>
    </row>
    <row r="988" spans="1:3">
      <c r="A988" s="3" t="str">
        <f t="shared" si="46"/>
        <v>Actionplan-Maßnahmenplan</v>
      </c>
      <c r="B988" t="str">
        <f>pos(Actionplan!Q319)</f>
        <v>$Q$319</v>
      </c>
      <c r="C988" t="e">
        <f t="shared" ca="1" si="49"/>
        <v>#REF!</v>
      </c>
    </row>
    <row r="989" spans="1:3">
      <c r="A989" s="3" t="str">
        <f t="shared" si="46"/>
        <v>Actionplan-Maßnahmenplan</v>
      </c>
      <c r="B989" t="str">
        <f>pos(Actionplan!Q320)</f>
        <v>$Q$320</v>
      </c>
      <c r="C989" t="e">
        <f t="shared" ca="1" si="49"/>
        <v>#REF!</v>
      </c>
    </row>
    <row r="990" spans="1:3">
      <c r="A990" s="3" t="str">
        <f t="shared" si="46"/>
        <v>Actionplan-Maßnahmenplan</v>
      </c>
      <c r="B990" t="str">
        <f>pos(Actionplan!S12)</f>
        <v>$S$12</v>
      </c>
      <c r="C990" t="e">
        <f t="shared" ca="1" si="49"/>
        <v>#REF!</v>
      </c>
    </row>
    <row r="991" spans="1:3">
      <c r="A991" s="3" t="str">
        <f t="shared" si="46"/>
        <v>Actionplan-Maßnahmenplan</v>
      </c>
      <c r="B991" t="str">
        <f>pos(Actionplan!S13)</f>
        <v>$S$13</v>
      </c>
      <c r="C991" t="e">
        <f t="shared" ca="1" si="49"/>
        <v>#REF!</v>
      </c>
    </row>
    <row r="992" spans="1:3">
      <c r="A992" s="3" t="str">
        <f t="shared" si="46"/>
        <v>Actionplan-Maßnahmenplan</v>
      </c>
      <c r="B992" t="str">
        <f>pos(Actionplan!S14)</f>
        <v>$S$14</v>
      </c>
      <c r="C992" t="e">
        <f t="shared" ca="1" si="49"/>
        <v>#REF!</v>
      </c>
    </row>
    <row r="993" spans="1:3">
      <c r="A993" s="3" t="str">
        <f t="shared" si="46"/>
        <v>Actionplan-Maßnahmenplan</v>
      </c>
      <c r="B993" t="str">
        <f>pos(Actionplan!S15)</f>
        <v>$S$15</v>
      </c>
      <c r="C993" t="e">
        <f t="shared" ca="1" si="49"/>
        <v>#REF!</v>
      </c>
    </row>
    <row r="994" spans="1:3">
      <c r="A994" s="3" t="str">
        <f t="shared" si="46"/>
        <v>Actionplan-Maßnahmenplan</v>
      </c>
      <c r="B994" t="str">
        <f>pos(Actionplan!S16)</f>
        <v>$S$16</v>
      </c>
      <c r="C994" t="e">
        <f t="shared" ca="1" si="49"/>
        <v>#REF!</v>
      </c>
    </row>
    <row r="995" spans="1:3">
      <c r="A995" s="3" t="str">
        <f t="shared" ref="A995:A1058" si="50">$A$482</f>
        <v>Actionplan-Maßnahmenplan</v>
      </c>
      <c r="B995" t="str">
        <f>pos(Actionplan!S17)</f>
        <v>$S$17</v>
      </c>
      <c r="C995" t="e">
        <f t="shared" ca="1" si="49"/>
        <v>#REF!</v>
      </c>
    </row>
    <row r="996" spans="1:3">
      <c r="A996" s="3" t="str">
        <f t="shared" si="50"/>
        <v>Actionplan-Maßnahmenplan</v>
      </c>
      <c r="B996" t="str">
        <f>pos(Actionplan!S18)</f>
        <v>$S$18</v>
      </c>
      <c r="C996" t="e">
        <f t="shared" ca="1" si="49"/>
        <v>#REF!</v>
      </c>
    </row>
    <row r="997" spans="1:3">
      <c r="A997" s="3" t="str">
        <f t="shared" si="50"/>
        <v>Actionplan-Maßnahmenplan</v>
      </c>
      <c r="B997" t="str">
        <f>pos(Actionplan!S19)</f>
        <v>$S$19</v>
      </c>
      <c r="C997" t="e">
        <f t="shared" ca="1" si="49"/>
        <v>#REF!</v>
      </c>
    </row>
    <row r="998" spans="1:3">
      <c r="A998" s="3" t="str">
        <f t="shared" si="50"/>
        <v>Actionplan-Maßnahmenplan</v>
      </c>
      <c r="B998" t="str">
        <f>pos(Actionplan!S20)</f>
        <v>$S$20</v>
      </c>
      <c r="C998" t="e">
        <f t="shared" ca="1" si="49"/>
        <v>#REF!</v>
      </c>
    </row>
    <row r="999" spans="1:3">
      <c r="A999" s="3" t="str">
        <f t="shared" si="50"/>
        <v>Actionplan-Maßnahmenplan</v>
      </c>
      <c r="B999" t="str">
        <f>pos(Actionplan!S21)</f>
        <v>$S$21</v>
      </c>
      <c r="C999" t="e">
        <f t="shared" ca="1" si="49"/>
        <v>#REF!</v>
      </c>
    </row>
    <row r="1000" spans="1:3">
      <c r="A1000" s="3" t="str">
        <f t="shared" si="50"/>
        <v>Actionplan-Maßnahmenplan</v>
      </c>
      <c r="B1000" t="str">
        <f>pos(Actionplan!S22)</f>
        <v>$S$22</v>
      </c>
      <c r="C1000" t="e">
        <f t="shared" ca="1" si="49"/>
        <v>#REF!</v>
      </c>
    </row>
    <row r="1001" spans="1:3">
      <c r="A1001" s="3" t="str">
        <f t="shared" si="50"/>
        <v>Actionplan-Maßnahmenplan</v>
      </c>
      <c r="B1001" t="str">
        <f>pos(Actionplan!S23)</f>
        <v>$S$23</v>
      </c>
      <c r="C1001" t="e">
        <f t="shared" ca="1" si="49"/>
        <v>#REF!</v>
      </c>
    </row>
    <row r="1002" spans="1:3">
      <c r="A1002" s="3" t="str">
        <f t="shared" si="50"/>
        <v>Actionplan-Maßnahmenplan</v>
      </c>
      <c r="B1002" t="str">
        <f>pos(Actionplan!S24)</f>
        <v>$S$24</v>
      </c>
      <c r="C1002" t="e">
        <f t="shared" ca="1" si="49"/>
        <v>#REF!</v>
      </c>
    </row>
    <row r="1003" spans="1:3">
      <c r="A1003" s="3" t="str">
        <f t="shared" si="50"/>
        <v>Actionplan-Maßnahmenplan</v>
      </c>
      <c r="B1003" t="str">
        <f>pos(Actionplan!S25)</f>
        <v>$S$25</v>
      </c>
      <c r="C1003" t="e">
        <f t="shared" ca="1" si="49"/>
        <v>#REF!</v>
      </c>
    </row>
    <row r="1004" spans="1:3">
      <c r="A1004" s="3" t="str">
        <f t="shared" si="50"/>
        <v>Actionplan-Maßnahmenplan</v>
      </c>
      <c r="B1004" t="str">
        <f>pos(Actionplan!S26)</f>
        <v>$S$26</v>
      </c>
      <c r="C1004" t="e">
        <f t="shared" ca="1" si="49"/>
        <v>#REF!</v>
      </c>
    </row>
    <row r="1005" spans="1:3">
      <c r="A1005" s="3" t="str">
        <f t="shared" si="50"/>
        <v>Actionplan-Maßnahmenplan</v>
      </c>
      <c r="B1005" t="str">
        <f>pos(Actionplan!S27)</f>
        <v>$S$27</v>
      </c>
      <c r="C1005" t="e">
        <f t="shared" ca="1" si="49"/>
        <v>#REF!</v>
      </c>
    </row>
    <row r="1006" spans="1:3">
      <c r="A1006" s="3" t="str">
        <f t="shared" si="50"/>
        <v>Actionplan-Maßnahmenplan</v>
      </c>
      <c r="B1006" t="str">
        <f>pos(Actionplan!S28)</f>
        <v>$S$28</v>
      </c>
      <c r="C1006" t="e">
        <f t="shared" ca="1" si="49"/>
        <v>#REF!</v>
      </c>
    </row>
    <row r="1007" spans="1:3">
      <c r="A1007" s="3" t="str">
        <f t="shared" si="50"/>
        <v>Actionplan-Maßnahmenplan</v>
      </c>
      <c r="B1007" t="str">
        <f>pos(Actionplan!S29)</f>
        <v>$S$29</v>
      </c>
      <c r="C1007" t="e">
        <f t="shared" ca="1" si="49"/>
        <v>#REF!</v>
      </c>
    </row>
    <row r="1008" spans="1:3">
      <c r="A1008" s="3" t="str">
        <f t="shared" si="50"/>
        <v>Actionplan-Maßnahmenplan</v>
      </c>
      <c r="B1008" t="str">
        <f>pos(Actionplan!S30)</f>
        <v>$S$30</v>
      </c>
      <c r="C1008" t="e">
        <f t="shared" ca="1" si="49"/>
        <v>#REF!</v>
      </c>
    </row>
    <row r="1009" spans="1:3">
      <c r="A1009" s="3" t="str">
        <f t="shared" si="50"/>
        <v>Actionplan-Maßnahmenplan</v>
      </c>
      <c r="B1009" t="str">
        <f>pos(Actionplan!S31)</f>
        <v>$S$31</v>
      </c>
      <c r="C1009" t="e">
        <f t="shared" ca="1" si="49"/>
        <v>#REF!</v>
      </c>
    </row>
    <row r="1010" spans="1:3">
      <c r="A1010" s="3" t="str">
        <f t="shared" si="50"/>
        <v>Actionplan-Maßnahmenplan</v>
      </c>
      <c r="B1010" t="str">
        <f>pos(Actionplan!S32)</f>
        <v>$S$32</v>
      </c>
      <c r="C1010" t="e">
        <f t="shared" ca="1" si="49"/>
        <v>#REF!</v>
      </c>
    </row>
    <row r="1011" spans="1:3">
      <c r="A1011" s="3" t="str">
        <f t="shared" si="50"/>
        <v>Actionplan-Maßnahmenplan</v>
      </c>
      <c r="B1011" t="str">
        <f>pos(Actionplan!S33)</f>
        <v>$S$33</v>
      </c>
      <c r="C1011" t="e">
        <f t="shared" ca="1" si="49"/>
        <v>#REF!</v>
      </c>
    </row>
    <row r="1012" spans="1:3">
      <c r="A1012" s="3" t="str">
        <f t="shared" si="50"/>
        <v>Actionplan-Maßnahmenplan</v>
      </c>
      <c r="B1012" t="str">
        <f>pos(Actionplan!S34)</f>
        <v>$S$34</v>
      </c>
      <c r="C1012" t="e">
        <f t="shared" ca="1" si="49"/>
        <v>#REF!</v>
      </c>
    </row>
    <row r="1013" spans="1:3">
      <c r="A1013" s="3" t="str">
        <f t="shared" si="50"/>
        <v>Actionplan-Maßnahmenplan</v>
      </c>
      <c r="B1013" t="str">
        <f>pos(Actionplan!S35)</f>
        <v>$S$35</v>
      </c>
      <c r="C1013" t="e">
        <f t="shared" ca="1" si="49"/>
        <v>#REF!</v>
      </c>
    </row>
    <row r="1014" spans="1:3">
      <c r="A1014" s="3" t="str">
        <f t="shared" si="50"/>
        <v>Actionplan-Maßnahmenplan</v>
      </c>
      <c r="B1014" t="str">
        <f>pos(Actionplan!S36)</f>
        <v>$S$36</v>
      </c>
      <c r="C1014" t="e">
        <f t="shared" ca="1" si="49"/>
        <v>#REF!</v>
      </c>
    </row>
    <row r="1015" spans="1:3">
      <c r="A1015" s="3" t="str">
        <f t="shared" si="50"/>
        <v>Actionplan-Maßnahmenplan</v>
      </c>
      <c r="B1015" t="str">
        <f>pos(Actionplan!S37)</f>
        <v>$S$37</v>
      </c>
      <c r="C1015" t="e">
        <f t="shared" ca="1" si="49"/>
        <v>#REF!</v>
      </c>
    </row>
    <row r="1016" spans="1:3">
      <c r="A1016" s="3" t="str">
        <f t="shared" si="50"/>
        <v>Actionplan-Maßnahmenplan</v>
      </c>
      <c r="B1016" t="str">
        <f>pos(Actionplan!S38)</f>
        <v>$S$38</v>
      </c>
      <c r="C1016" t="e">
        <f t="shared" ca="1" si="49"/>
        <v>#REF!</v>
      </c>
    </row>
    <row r="1017" spans="1:3">
      <c r="A1017" s="3" t="str">
        <f t="shared" si="50"/>
        <v>Actionplan-Maßnahmenplan</v>
      </c>
      <c r="B1017" t="str">
        <f>pos(Actionplan!S39)</f>
        <v>$S$39</v>
      </c>
      <c r="C1017" t="e">
        <f t="shared" ca="1" si="49"/>
        <v>#REF!</v>
      </c>
    </row>
    <row r="1018" spans="1:3">
      <c r="A1018" s="3" t="str">
        <f t="shared" si="50"/>
        <v>Actionplan-Maßnahmenplan</v>
      </c>
      <c r="B1018" t="str">
        <f>pos(Actionplan!S40)</f>
        <v>$S$40</v>
      </c>
      <c r="C1018" t="e">
        <f t="shared" ca="1" si="49"/>
        <v>#REF!</v>
      </c>
    </row>
    <row r="1019" spans="1:3">
      <c r="A1019" s="3" t="str">
        <f t="shared" si="50"/>
        <v>Actionplan-Maßnahmenplan</v>
      </c>
      <c r="B1019" t="str">
        <f>pos(Actionplan!S41)</f>
        <v>$S$41</v>
      </c>
      <c r="C1019" t="e">
        <f t="shared" ca="1" si="49"/>
        <v>#REF!</v>
      </c>
    </row>
    <row r="1020" spans="1:3">
      <c r="A1020" s="3" t="str">
        <f t="shared" si="50"/>
        <v>Actionplan-Maßnahmenplan</v>
      </c>
      <c r="B1020" t="str">
        <f>pos(Actionplan!S42)</f>
        <v>$S$42</v>
      </c>
      <c r="C1020" t="e">
        <f t="shared" ca="1" si="49"/>
        <v>#REF!</v>
      </c>
    </row>
    <row r="1021" spans="1:3">
      <c r="A1021" s="3" t="str">
        <f t="shared" si="50"/>
        <v>Actionplan-Maßnahmenplan</v>
      </c>
      <c r="B1021" t="str">
        <f>pos(Actionplan!S43)</f>
        <v>$S$43</v>
      </c>
      <c r="C1021" t="e">
        <f t="shared" ca="1" si="49"/>
        <v>#REF!</v>
      </c>
    </row>
    <row r="1022" spans="1:3">
      <c r="A1022" s="3" t="str">
        <f t="shared" si="50"/>
        <v>Actionplan-Maßnahmenplan</v>
      </c>
      <c r="B1022" t="str">
        <f>pos(Actionplan!S44)</f>
        <v>$S$44</v>
      </c>
      <c r="C1022" t="e">
        <f t="shared" ca="1" si="49"/>
        <v>#REF!</v>
      </c>
    </row>
    <row r="1023" spans="1:3">
      <c r="A1023" s="3" t="str">
        <f t="shared" si="50"/>
        <v>Actionplan-Maßnahmenplan</v>
      </c>
      <c r="B1023" t="str">
        <f>pos(Actionplan!S45)</f>
        <v>$S$45</v>
      </c>
      <c r="C1023" t="e">
        <f t="shared" ca="1" si="49"/>
        <v>#REF!</v>
      </c>
    </row>
    <row r="1024" spans="1:3">
      <c r="A1024" s="3" t="str">
        <f t="shared" si="50"/>
        <v>Actionplan-Maßnahmenplan</v>
      </c>
      <c r="B1024" t="str">
        <f>pos(Actionplan!S46)</f>
        <v>$S$46</v>
      </c>
      <c r="C1024" t="e">
        <f t="shared" ca="1" si="49"/>
        <v>#REF!</v>
      </c>
    </row>
    <row r="1025" spans="1:3">
      <c r="A1025" s="3" t="str">
        <f t="shared" si="50"/>
        <v>Actionplan-Maßnahmenplan</v>
      </c>
      <c r="B1025" t="str">
        <f>pos(Actionplan!S47)</f>
        <v>$S$47</v>
      </c>
      <c r="C1025" t="e">
        <f t="shared" ca="1" si="49"/>
        <v>#REF!</v>
      </c>
    </row>
    <row r="1026" spans="1:3">
      <c r="A1026" s="3" t="str">
        <f t="shared" si="50"/>
        <v>Actionplan-Maßnahmenplan</v>
      </c>
      <c r="B1026" t="str">
        <f>pos(Actionplan!S48)</f>
        <v>$S$48</v>
      </c>
      <c r="C1026" t="e">
        <f t="shared" ca="1" si="49"/>
        <v>#REF!</v>
      </c>
    </row>
    <row r="1027" spans="1:3">
      <c r="A1027" s="3" t="str">
        <f t="shared" si="50"/>
        <v>Actionplan-Maßnahmenplan</v>
      </c>
      <c r="B1027" t="str">
        <f>pos(Actionplan!S49)</f>
        <v>$S$49</v>
      </c>
      <c r="C1027" t="e">
        <f t="shared" ca="1" si="49"/>
        <v>#REF!</v>
      </c>
    </row>
    <row r="1028" spans="1:3">
      <c r="A1028" s="3" t="str">
        <f t="shared" si="50"/>
        <v>Actionplan-Maßnahmenplan</v>
      </c>
      <c r="B1028" t="str">
        <f>pos(Actionplan!S50)</f>
        <v>$S$50</v>
      </c>
      <c r="C1028" t="e">
        <f t="shared" ca="1" si="49"/>
        <v>#REF!</v>
      </c>
    </row>
    <row r="1029" spans="1:3">
      <c r="A1029" s="3" t="str">
        <f t="shared" si="50"/>
        <v>Actionplan-Maßnahmenplan</v>
      </c>
      <c r="B1029" t="str">
        <f>pos(Actionplan!S51)</f>
        <v>$S$51</v>
      </c>
      <c r="C1029" t="e">
        <f t="shared" ca="1" si="49"/>
        <v>#REF!</v>
      </c>
    </row>
    <row r="1030" spans="1:3">
      <c r="A1030" s="3" t="str">
        <f t="shared" si="50"/>
        <v>Actionplan-Maßnahmenplan</v>
      </c>
      <c r="B1030" t="str">
        <f>pos(Actionplan!S52)</f>
        <v>$S$52</v>
      </c>
      <c r="C1030" t="e">
        <f t="shared" ca="1" si="49"/>
        <v>#REF!</v>
      </c>
    </row>
    <row r="1031" spans="1:3">
      <c r="A1031" s="3" t="str">
        <f t="shared" si="50"/>
        <v>Actionplan-Maßnahmenplan</v>
      </c>
      <c r="B1031" t="str">
        <f>pos(Actionplan!S53)</f>
        <v>$S$53</v>
      </c>
      <c r="C1031" t="e">
        <f t="shared" ca="1" si="49"/>
        <v>#REF!</v>
      </c>
    </row>
    <row r="1032" spans="1:3">
      <c r="A1032" s="3" t="str">
        <f t="shared" si="50"/>
        <v>Actionplan-Maßnahmenplan</v>
      </c>
      <c r="B1032" t="str">
        <f>pos(Actionplan!S54)</f>
        <v>$S$54</v>
      </c>
      <c r="C1032" t="e">
        <f t="shared" ca="1" si="49"/>
        <v>#REF!</v>
      </c>
    </row>
    <row r="1033" spans="1:3">
      <c r="A1033" s="3" t="str">
        <f t="shared" si="50"/>
        <v>Actionplan-Maßnahmenplan</v>
      </c>
      <c r="B1033" t="str">
        <f>pos(Actionplan!S55)</f>
        <v>$S$55</v>
      </c>
      <c r="C1033" t="e">
        <f t="shared" ca="1" si="49"/>
        <v>#REF!</v>
      </c>
    </row>
    <row r="1034" spans="1:3">
      <c r="A1034" s="3" t="str">
        <f t="shared" si="50"/>
        <v>Actionplan-Maßnahmenplan</v>
      </c>
      <c r="B1034" t="str">
        <f>pos(Actionplan!S56)</f>
        <v>$S$56</v>
      </c>
      <c r="C1034" t="e">
        <f t="shared" ca="1" si="49"/>
        <v>#REF!</v>
      </c>
    </row>
    <row r="1035" spans="1:3">
      <c r="A1035" s="3" t="str">
        <f t="shared" si="50"/>
        <v>Actionplan-Maßnahmenplan</v>
      </c>
      <c r="B1035" t="str">
        <f>pos(Actionplan!S64)</f>
        <v>$S$64</v>
      </c>
      <c r="C1035" t="e">
        <f t="shared" ref="C1035:C1052" ca="1" si="51">IF(INDIRECT("'"&amp;A1035&amp;"'!"&amp;B1035)=0,"",INDIRECT("'"&amp;A1035&amp;"'!"&amp;B1035))</f>
        <v>#REF!</v>
      </c>
    </row>
    <row r="1036" spans="1:3">
      <c r="A1036" s="3" t="str">
        <f t="shared" si="50"/>
        <v>Actionplan-Maßnahmenplan</v>
      </c>
      <c r="B1036" t="str">
        <f>pos(Actionplan!S65)</f>
        <v>$S$65</v>
      </c>
      <c r="C1036" t="e">
        <f t="shared" ca="1" si="51"/>
        <v>#REF!</v>
      </c>
    </row>
    <row r="1037" spans="1:3">
      <c r="A1037" s="3" t="str">
        <f t="shared" si="50"/>
        <v>Actionplan-Maßnahmenplan</v>
      </c>
      <c r="B1037" t="str">
        <f>pos(Actionplan!S66)</f>
        <v>$S$66</v>
      </c>
      <c r="C1037" t="e">
        <f t="shared" ca="1" si="51"/>
        <v>#REF!</v>
      </c>
    </row>
    <row r="1038" spans="1:3">
      <c r="A1038" s="3" t="str">
        <f t="shared" si="50"/>
        <v>Actionplan-Maßnahmenplan</v>
      </c>
      <c r="B1038" t="str">
        <f>pos(Actionplan!S74)</f>
        <v>$S$74</v>
      </c>
      <c r="C1038" t="e">
        <f t="shared" ca="1" si="51"/>
        <v>#REF!</v>
      </c>
    </row>
    <row r="1039" spans="1:3">
      <c r="A1039" s="3" t="str">
        <f t="shared" si="50"/>
        <v>Actionplan-Maßnahmenplan</v>
      </c>
      <c r="B1039" t="str">
        <f>pos(Actionplan!S75)</f>
        <v>$S$75</v>
      </c>
      <c r="C1039" t="e">
        <f t="shared" ca="1" si="51"/>
        <v>#REF!</v>
      </c>
    </row>
    <row r="1040" spans="1:3">
      <c r="A1040" s="3" t="str">
        <f t="shared" si="50"/>
        <v>Actionplan-Maßnahmenplan</v>
      </c>
      <c r="B1040" t="str">
        <f>pos(Actionplan!S76)</f>
        <v>$S$76</v>
      </c>
      <c r="C1040" t="e">
        <f t="shared" ca="1" si="51"/>
        <v>#REF!</v>
      </c>
    </row>
    <row r="1041" spans="1:3">
      <c r="A1041" s="3" t="str">
        <f t="shared" si="50"/>
        <v>Actionplan-Maßnahmenplan</v>
      </c>
      <c r="B1041" t="str">
        <f>pos(Actionplan!S84)</f>
        <v>$S$84</v>
      </c>
      <c r="C1041" t="e">
        <f t="shared" ca="1" si="51"/>
        <v>#REF!</v>
      </c>
    </row>
    <row r="1042" spans="1:3">
      <c r="A1042" s="3" t="str">
        <f t="shared" si="50"/>
        <v>Actionplan-Maßnahmenplan</v>
      </c>
      <c r="B1042" t="str">
        <f>pos(Actionplan!S85)</f>
        <v>$S$85</v>
      </c>
      <c r="C1042" t="e">
        <f t="shared" ca="1" si="51"/>
        <v>#REF!</v>
      </c>
    </row>
    <row r="1043" spans="1:3">
      <c r="A1043" s="3" t="str">
        <f t="shared" si="50"/>
        <v>Actionplan-Maßnahmenplan</v>
      </c>
      <c r="B1043" t="str">
        <f>pos(Actionplan!S86)</f>
        <v>$S$86</v>
      </c>
      <c r="C1043" t="e">
        <f t="shared" ca="1" si="51"/>
        <v>#REF!</v>
      </c>
    </row>
    <row r="1044" spans="1:3">
      <c r="A1044" s="3" t="str">
        <f t="shared" si="50"/>
        <v>Actionplan-Maßnahmenplan</v>
      </c>
      <c r="B1044" t="str">
        <f>pos(Actionplan!S94)</f>
        <v>$S$94</v>
      </c>
      <c r="C1044" t="e">
        <f t="shared" ca="1" si="51"/>
        <v>#REF!</v>
      </c>
    </row>
    <row r="1045" spans="1:3">
      <c r="A1045" s="3" t="str">
        <f t="shared" si="50"/>
        <v>Actionplan-Maßnahmenplan</v>
      </c>
      <c r="B1045" t="str">
        <f>pos(Actionplan!S95)</f>
        <v>$S$95</v>
      </c>
      <c r="C1045" t="e">
        <f t="shared" ca="1" si="51"/>
        <v>#REF!</v>
      </c>
    </row>
    <row r="1046" spans="1:3">
      <c r="A1046" s="3" t="str">
        <f t="shared" si="50"/>
        <v>Actionplan-Maßnahmenplan</v>
      </c>
      <c r="B1046" t="str">
        <f>pos(Actionplan!S96)</f>
        <v>$S$96</v>
      </c>
      <c r="C1046" t="e">
        <f t="shared" ca="1" si="51"/>
        <v>#REF!</v>
      </c>
    </row>
    <row r="1047" spans="1:3">
      <c r="A1047" s="3" t="str">
        <f t="shared" si="50"/>
        <v>Actionplan-Maßnahmenplan</v>
      </c>
      <c r="B1047" t="str">
        <f>pos(Actionplan!S104)</f>
        <v>$S$104</v>
      </c>
      <c r="C1047" t="e">
        <f t="shared" ca="1" si="51"/>
        <v>#REF!</v>
      </c>
    </row>
    <row r="1048" spans="1:3">
      <c r="A1048" s="3" t="str">
        <f t="shared" si="50"/>
        <v>Actionplan-Maßnahmenplan</v>
      </c>
      <c r="B1048" t="str">
        <f>pos(Actionplan!S105)</f>
        <v>$S$105</v>
      </c>
      <c r="C1048" t="e">
        <f t="shared" ca="1" si="51"/>
        <v>#REF!</v>
      </c>
    </row>
    <row r="1049" spans="1:3">
      <c r="A1049" s="3" t="str">
        <f t="shared" si="50"/>
        <v>Actionplan-Maßnahmenplan</v>
      </c>
      <c r="B1049" t="str">
        <f>pos(Actionplan!S106)</f>
        <v>$S$106</v>
      </c>
      <c r="C1049" t="e">
        <f t="shared" ca="1" si="51"/>
        <v>#REF!</v>
      </c>
    </row>
    <row r="1050" spans="1:3">
      <c r="A1050" s="3" t="str">
        <f t="shared" si="50"/>
        <v>Actionplan-Maßnahmenplan</v>
      </c>
      <c r="B1050" t="str">
        <f>pos(Actionplan!S114)</f>
        <v>$S$114</v>
      </c>
      <c r="C1050" t="e">
        <f t="shared" ca="1" si="51"/>
        <v>#REF!</v>
      </c>
    </row>
    <row r="1051" spans="1:3">
      <c r="A1051" s="3" t="str">
        <f t="shared" si="50"/>
        <v>Actionplan-Maßnahmenplan</v>
      </c>
      <c r="B1051" t="str">
        <f>pos(Actionplan!S115)</f>
        <v>$S$115</v>
      </c>
      <c r="C1051" t="e">
        <f t="shared" ca="1" si="51"/>
        <v>#REF!</v>
      </c>
    </row>
    <row r="1052" spans="1:3">
      <c r="A1052" s="3" t="str">
        <f t="shared" si="50"/>
        <v>Actionplan-Maßnahmenplan</v>
      </c>
      <c r="B1052" t="str">
        <f>pos(Actionplan!S116)</f>
        <v>$S$116</v>
      </c>
      <c r="C1052" t="e">
        <f t="shared" ca="1" si="51"/>
        <v>#REF!</v>
      </c>
    </row>
    <row r="1053" spans="1:3">
      <c r="A1053" s="3" t="str">
        <f t="shared" si="50"/>
        <v>Actionplan-Maßnahmenplan</v>
      </c>
      <c r="B1053" t="str">
        <f>pos(Actionplan!S124)</f>
        <v>$S$124</v>
      </c>
      <c r="C1053" t="e">
        <f t="shared" ref="C1053:C1071" ca="1" si="52">IF(INDIRECT("'"&amp;A1053&amp;"'!"&amp;B1053)=0,"",INDIRECT("'"&amp;A1053&amp;"'!"&amp;B1053))</f>
        <v>#REF!</v>
      </c>
    </row>
    <row r="1054" spans="1:3">
      <c r="A1054" s="3" t="str">
        <f t="shared" si="50"/>
        <v>Actionplan-Maßnahmenplan</v>
      </c>
      <c r="B1054" t="str">
        <f>pos(Actionplan!S125)</f>
        <v>$S$125</v>
      </c>
      <c r="C1054" t="e">
        <f t="shared" ca="1" si="52"/>
        <v>#REF!</v>
      </c>
    </row>
    <row r="1055" spans="1:3">
      <c r="A1055" s="3" t="str">
        <f t="shared" si="50"/>
        <v>Actionplan-Maßnahmenplan</v>
      </c>
      <c r="B1055" t="str">
        <f>pos(Actionplan!S126)</f>
        <v>$S$126</v>
      </c>
      <c r="C1055" t="e">
        <f t="shared" ca="1" si="52"/>
        <v>#REF!</v>
      </c>
    </row>
    <row r="1056" spans="1:3">
      <c r="A1056" s="3" t="str">
        <f t="shared" si="50"/>
        <v>Actionplan-Maßnahmenplan</v>
      </c>
      <c r="B1056" t="str">
        <f>pos(Actionplan!S134)</f>
        <v>$S$134</v>
      </c>
      <c r="C1056" t="e">
        <f t="shared" ca="1" si="52"/>
        <v>#REF!</v>
      </c>
    </row>
    <row r="1057" spans="1:3">
      <c r="A1057" s="3" t="str">
        <f t="shared" si="50"/>
        <v>Actionplan-Maßnahmenplan</v>
      </c>
      <c r="B1057" t="str">
        <f>pos(Actionplan!S135)</f>
        <v>$S$135</v>
      </c>
      <c r="C1057" t="e">
        <f t="shared" ca="1" si="52"/>
        <v>#REF!</v>
      </c>
    </row>
    <row r="1058" spans="1:3">
      <c r="A1058" s="3" t="str">
        <f t="shared" si="50"/>
        <v>Actionplan-Maßnahmenplan</v>
      </c>
      <c r="B1058" t="str">
        <f>pos(Actionplan!S136)</f>
        <v>$S$136</v>
      </c>
      <c r="C1058" t="e">
        <f t="shared" ca="1" si="52"/>
        <v>#REF!</v>
      </c>
    </row>
    <row r="1059" spans="1:3">
      <c r="A1059" s="3" t="str">
        <f t="shared" ref="A1059:A1109" si="53">$A$482</f>
        <v>Actionplan-Maßnahmenplan</v>
      </c>
      <c r="B1059" t="str">
        <f>pos(Actionplan!S144)</f>
        <v>$S$144</v>
      </c>
      <c r="C1059" t="e">
        <f t="shared" ca="1" si="52"/>
        <v>#REF!</v>
      </c>
    </row>
    <row r="1060" spans="1:3">
      <c r="A1060" s="3" t="str">
        <f t="shared" si="53"/>
        <v>Actionplan-Maßnahmenplan</v>
      </c>
      <c r="B1060" t="str">
        <f>pos(Actionplan!S145)</f>
        <v>$S$145</v>
      </c>
      <c r="C1060" t="e">
        <f t="shared" ca="1" si="52"/>
        <v>#REF!</v>
      </c>
    </row>
    <row r="1061" spans="1:3">
      <c r="A1061" s="3" t="str">
        <f t="shared" si="53"/>
        <v>Actionplan-Maßnahmenplan</v>
      </c>
      <c r="B1061" t="str">
        <f>pos(Actionplan!S146)</f>
        <v>$S$146</v>
      </c>
      <c r="C1061" t="e">
        <f t="shared" ca="1" si="52"/>
        <v>#REF!</v>
      </c>
    </row>
    <row r="1062" spans="1:3">
      <c r="A1062" s="3" t="str">
        <f t="shared" si="53"/>
        <v>Actionplan-Maßnahmenplan</v>
      </c>
      <c r="B1062" t="str">
        <f>pos(Actionplan!S154)</f>
        <v>$S$154</v>
      </c>
      <c r="C1062" t="e">
        <f t="shared" ca="1" si="52"/>
        <v>#REF!</v>
      </c>
    </row>
    <row r="1063" spans="1:3">
      <c r="A1063" s="3" t="str">
        <f t="shared" si="53"/>
        <v>Actionplan-Maßnahmenplan</v>
      </c>
      <c r="B1063" t="str">
        <f>pos(Actionplan!S155)</f>
        <v>$S$155</v>
      </c>
      <c r="C1063" t="e">
        <f t="shared" ca="1" si="52"/>
        <v>#REF!</v>
      </c>
    </row>
    <row r="1064" spans="1:3">
      <c r="A1064" s="3" t="str">
        <f t="shared" si="53"/>
        <v>Actionplan-Maßnahmenplan</v>
      </c>
      <c r="B1064" t="str">
        <f>pos(Actionplan!S156)</f>
        <v>$S$156</v>
      </c>
      <c r="C1064" t="e">
        <f t="shared" ca="1" si="52"/>
        <v>#REF!</v>
      </c>
    </row>
    <row r="1065" spans="1:3">
      <c r="A1065" s="3" t="str">
        <f t="shared" si="53"/>
        <v>Actionplan-Maßnahmenplan</v>
      </c>
      <c r="B1065" t="str">
        <f>pos(Actionplan!S164)</f>
        <v>$S$164</v>
      </c>
      <c r="C1065" t="e">
        <f t="shared" ca="1" si="52"/>
        <v>#REF!</v>
      </c>
    </row>
    <row r="1066" spans="1:3">
      <c r="A1066" s="3" t="str">
        <f t="shared" si="53"/>
        <v>Actionplan-Maßnahmenplan</v>
      </c>
      <c r="B1066" t="str">
        <f>pos(Actionplan!S165)</f>
        <v>$S$165</v>
      </c>
      <c r="C1066" t="e">
        <f t="shared" ca="1" si="52"/>
        <v>#REF!</v>
      </c>
    </row>
    <row r="1067" spans="1:3">
      <c r="A1067" s="3" t="str">
        <f t="shared" si="53"/>
        <v>Actionplan-Maßnahmenplan</v>
      </c>
      <c r="B1067" t="str">
        <f>pos(Actionplan!S166)</f>
        <v>$S$166</v>
      </c>
      <c r="C1067" t="e">
        <f t="shared" ca="1" si="52"/>
        <v>#REF!</v>
      </c>
    </row>
    <row r="1068" spans="1:3">
      <c r="A1068" s="3" t="str">
        <f t="shared" si="53"/>
        <v>Actionplan-Maßnahmenplan</v>
      </c>
      <c r="B1068" t="str">
        <f>pos(Actionplan!S174)</f>
        <v>$S$174</v>
      </c>
      <c r="C1068" t="e">
        <f t="shared" ca="1" si="52"/>
        <v>#REF!</v>
      </c>
    </row>
    <row r="1069" spans="1:3">
      <c r="A1069" s="3" t="str">
        <f t="shared" si="53"/>
        <v>Actionplan-Maßnahmenplan</v>
      </c>
      <c r="B1069" t="str">
        <f>pos(Actionplan!S175)</f>
        <v>$S$175</v>
      </c>
      <c r="C1069" t="e">
        <f t="shared" ca="1" si="52"/>
        <v>#REF!</v>
      </c>
    </row>
    <row r="1070" spans="1:3">
      <c r="A1070" s="3" t="str">
        <f t="shared" si="53"/>
        <v>Actionplan-Maßnahmenplan</v>
      </c>
      <c r="B1070" t="str">
        <f>pos(Actionplan!S176)</f>
        <v>$S$176</v>
      </c>
      <c r="C1070" t="e">
        <f t="shared" ca="1" si="52"/>
        <v>#REF!</v>
      </c>
    </row>
    <row r="1071" spans="1:3">
      <c r="A1071" s="3" t="str">
        <f t="shared" si="53"/>
        <v>Actionplan-Maßnahmenplan</v>
      </c>
      <c r="B1071" t="str">
        <f>pos(Actionplan!S184)</f>
        <v>$S$184</v>
      </c>
      <c r="C1071" t="e">
        <f t="shared" ca="1" si="52"/>
        <v>#REF!</v>
      </c>
    </row>
    <row r="1072" spans="1:3">
      <c r="A1072" s="3" t="str">
        <f t="shared" si="53"/>
        <v>Actionplan-Maßnahmenplan</v>
      </c>
      <c r="B1072" t="str">
        <f>pos(Actionplan!S185)</f>
        <v>$S$185</v>
      </c>
      <c r="C1072" t="e">
        <f t="shared" ref="C1072:C1091" ca="1" si="54">IF(INDIRECT("'"&amp;A1072&amp;"'!"&amp;B1072)=0,"",INDIRECT("'"&amp;A1072&amp;"'!"&amp;B1072))</f>
        <v>#REF!</v>
      </c>
    </row>
    <row r="1073" spans="1:3">
      <c r="A1073" s="3" t="str">
        <f t="shared" si="53"/>
        <v>Actionplan-Maßnahmenplan</v>
      </c>
      <c r="B1073" t="str">
        <f>pos(Actionplan!S186)</f>
        <v>$S$186</v>
      </c>
      <c r="C1073" t="e">
        <f t="shared" ca="1" si="54"/>
        <v>#REF!</v>
      </c>
    </row>
    <row r="1074" spans="1:3">
      <c r="A1074" s="3" t="str">
        <f t="shared" si="53"/>
        <v>Actionplan-Maßnahmenplan</v>
      </c>
      <c r="B1074" t="str">
        <f>pos(Actionplan!S194)</f>
        <v>$S$194</v>
      </c>
      <c r="C1074" t="e">
        <f t="shared" ca="1" si="54"/>
        <v>#REF!</v>
      </c>
    </row>
    <row r="1075" spans="1:3">
      <c r="A1075" s="3" t="str">
        <f t="shared" si="53"/>
        <v>Actionplan-Maßnahmenplan</v>
      </c>
      <c r="B1075" t="str">
        <f>pos(Actionplan!S195)</f>
        <v>$S$195</v>
      </c>
      <c r="C1075" t="e">
        <f t="shared" ca="1" si="54"/>
        <v>#REF!</v>
      </c>
    </row>
    <row r="1076" spans="1:3">
      <c r="A1076" s="3" t="str">
        <f t="shared" si="53"/>
        <v>Actionplan-Maßnahmenplan</v>
      </c>
      <c r="B1076" t="str">
        <f>pos(Actionplan!S196)</f>
        <v>$S$196</v>
      </c>
      <c r="C1076" t="e">
        <f t="shared" ca="1" si="54"/>
        <v>#REF!</v>
      </c>
    </row>
    <row r="1077" spans="1:3">
      <c r="A1077" s="3" t="str">
        <f t="shared" si="53"/>
        <v>Actionplan-Maßnahmenplan</v>
      </c>
      <c r="B1077" t="str">
        <f>pos(Actionplan!S204)</f>
        <v>$S$204</v>
      </c>
      <c r="C1077" t="e">
        <f t="shared" ca="1" si="54"/>
        <v>#REF!</v>
      </c>
    </row>
    <row r="1078" spans="1:3">
      <c r="A1078" s="3" t="str">
        <f t="shared" si="53"/>
        <v>Actionplan-Maßnahmenplan</v>
      </c>
      <c r="B1078" t="str">
        <f>pos(Actionplan!S205)</f>
        <v>$S$205</v>
      </c>
      <c r="C1078" t="e">
        <f t="shared" ca="1" si="54"/>
        <v>#REF!</v>
      </c>
    </row>
    <row r="1079" spans="1:3">
      <c r="A1079" s="3" t="str">
        <f t="shared" si="53"/>
        <v>Actionplan-Maßnahmenplan</v>
      </c>
      <c r="B1079" t="str">
        <f>pos(Actionplan!S206)</f>
        <v>$S$206</v>
      </c>
      <c r="C1079" t="e">
        <f t="shared" ca="1" si="54"/>
        <v>#REF!</v>
      </c>
    </row>
    <row r="1080" spans="1:3">
      <c r="A1080" s="3" t="str">
        <f t="shared" si="53"/>
        <v>Actionplan-Maßnahmenplan</v>
      </c>
      <c r="B1080" t="str">
        <f>pos(Actionplan!S214)</f>
        <v>$S$214</v>
      </c>
      <c r="C1080" t="e">
        <f t="shared" ca="1" si="54"/>
        <v>#REF!</v>
      </c>
    </row>
    <row r="1081" spans="1:3">
      <c r="A1081" s="3" t="str">
        <f t="shared" si="53"/>
        <v>Actionplan-Maßnahmenplan</v>
      </c>
      <c r="B1081" t="str">
        <f>pos(Actionplan!S215)</f>
        <v>$S$215</v>
      </c>
      <c r="C1081" t="e">
        <f t="shared" ca="1" si="54"/>
        <v>#REF!</v>
      </c>
    </row>
    <row r="1082" spans="1:3">
      <c r="A1082" s="3" t="str">
        <f t="shared" si="53"/>
        <v>Actionplan-Maßnahmenplan</v>
      </c>
      <c r="B1082" t="str">
        <f>pos(Actionplan!S216)</f>
        <v>$S$216</v>
      </c>
      <c r="C1082" t="e">
        <f t="shared" ca="1" si="54"/>
        <v>#REF!</v>
      </c>
    </row>
    <row r="1083" spans="1:3">
      <c r="A1083" s="3" t="str">
        <f t="shared" si="53"/>
        <v>Actionplan-Maßnahmenplan</v>
      </c>
      <c r="B1083" t="str">
        <f>pos(Actionplan!S224)</f>
        <v>$S$224</v>
      </c>
      <c r="C1083" t="e">
        <f t="shared" ca="1" si="54"/>
        <v>#REF!</v>
      </c>
    </row>
    <row r="1084" spans="1:3">
      <c r="A1084" s="3" t="str">
        <f t="shared" si="53"/>
        <v>Actionplan-Maßnahmenplan</v>
      </c>
      <c r="B1084" t="str">
        <f>pos(Actionplan!S225)</f>
        <v>$S$225</v>
      </c>
      <c r="C1084" t="e">
        <f t="shared" ca="1" si="54"/>
        <v>#REF!</v>
      </c>
    </row>
    <row r="1085" spans="1:3">
      <c r="A1085" s="3" t="str">
        <f t="shared" si="53"/>
        <v>Actionplan-Maßnahmenplan</v>
      </c>
      <c r="B1085" t="str">
        <f>pos(Actionplan!S226)</f>
        <v>$S$226</v>
      </c>
      <c r="C1085" t="e">
        <f t="shared" ca="1" si="54"/>
        <v>#REF!</v>
      </c>
    </row>
    <row r="1086" spans="1:3">
      <c r="A1086" s="3" t="str">
        <f t="shared" si="53"/>
        <v>Actionplan-Maßnahmenplan</v>
      </c>
      <c r="B1086" t="str">
        <f>pos(Actionplan!S234)</f>
        <v>$S$234</v>
      </c>
      <c r="C1086" t="e">
        <f t="shared" ca="1" si="54"/>
        <v>#REF!</v>
      </c>
    </row>
    <row r="1087" spans="1:3">
      <c r="A1087" s="3" t="str">
        <f t="shared" si="53"/>
        <v>Actionplan-Maßnahmenplan</v>
      </c>
      <c r="B1087" t="str">
        <f>pos(Actionplan!S235)</f>
        <v>$S$235</v>
      </c>
      <c r="C1087" t="e">
        <f t="shared" ca="1" si="54"/>
        <v>#REF!</v>
      </c>
    </row>
    <row r="1088" spans="1:3">
      <c r="A1088" s="3" t="str">
        <f t="shared" si="53"/>
        <v>Actionplan-Maßnahmenplan</v>
      </c>
      <c r="B1088" t="str">
        <f>pos(Actionplan!S236)</f>
        <v>$S$236</v>
      </c>
      <c r="C1088" t="e">
        <f t="shared" ca="1" si="54"/>
        <v>#REF!</v>
      </c>
    </row>
    <row r="1089" spans="1:3">
      <c r="A1089" s="3" t="str">
        <f t="shared" si="53"/>
        <v>Actionplan-Maßnahmenplan</v>
      </c>
      <c r="B1089" t="str">
        <f>pos(Actionplan!S244)</f>
        <v>$S$244</v>
      </c>
      <c r="C1089" t="e">
        <f t="shared" ca="1" si="54"/>
        <v>#REF!</v>
      </c>
    </row>
    <row r="1090" spans="1:3">
      <c r="A1090" s="3" t="str">
        <f t="shared" si="53"/>
        <v>Actionplan-Maßnahmenplan</v>
      </c>
      <c r="B1090" t="str">
        <f>pos(Actionplan!S245)</f>
        <v>$S$245</v>
      </c>
      <c r="C1090" t="e">
        <f t="shared" ca="1" si="54"/>
        <v>#REF!</v>
      </c>
    </row>
    <row r="1091" spans="1:3">
      <c r="A1091" s="3" t="str">
        <f t="shared" si="53"/>
        <v>Actionplan-Maßnahmenplan</v>
      </c>
      <c r="B1091" t="str">
        <f>pos(Actionplan!S246)</f>
        <v>$S$246</v>
      </c>
      <c r="C1091" t="e">
        <f t="shared" ca="1" si="54"/>
        <v>#REF!</v>
      </c>
    </row>
    <row r="1092" spans="1:3">
      <c r="A1092" s="3" t="str">
        <f t="shared" si="53"/>
        <v>Actionplan-Maßnahmenplan</v>
      </c>
      <c r="B1092" t="str">
        <f>pos(Actionplan!S254)</f>
        <v>$S$254</v>
      </c>
      <c r="C1092" t="e">
        <f t="shared" ref="C1092:C1109" ca="1" si="55">IF(INDIRECT("'"&amp;A1092&amp;"'!"&amp;B1092)=0,"",INDIRECT("'"&amp;A1092&amp;"'!"&amp;B1092))</f>
        <v>#REF!</v>
      </c>
    </row>
    <row r="1093" spans="1:3">
      <c r="A1093" s="3" t="str">
        <f t="shared" si="53"/>
        <v>Actionplan-Maßnahmenplan</v>
      </c>
      <c r="B1093" t="str">
        <f>pos(Actionplan!S255)</f>
        <v>$S$255</v>
      </c>
      <c r="C1093" t="e">
        <f t="shared" ca="1" si="55"/>
        <v>#REF!</v>
      </c>
    </row>
    <row r="1094" spans="1:3">
      <c r="A1094" s="3" t="str">
        <f t="shared" si="53"/>
        <v>Actionplan-Maßnahmenplan</v>
      </c>
      <c r="B1094" t="str">
        <f>pos(Actionplan!S256)</f>
        <v>$S$256</v>
      </c>
      <c r="C1094" t="e">
        <f t="shared" ca="1" si="55"/>
        <v>#REF!</v>
      </c>
    </row>
    <row r="1095" spans="1:3">
      <c r="A1095" s="3" t="str">
        <f t="shared" si="53"/>
        <v>Actionplan-Maßnahmenplan</v>
      </c>
      <c r="B1095" t="str">
        <f>pos(Actionplan!S264)</f>
        <v>$S$264</v>
      </c>
      <c r="C1095" t="e">
        <f t="shared" ca="1" si="55"/>
        <v>#REF!</v>
      </c>
    </row>
    <row r="1096" spans="1:3">
      <c r="A1096" s="3" t="str">
        <f t="shared" si="53"/>
        <v>Actionplan-Maßnahmenplan</v>
      </c>
      <c r="B1096" t="str">
        <f>pos(Actionplan!S265)</f>
        <v>$S$265</v>
      </c>
      <c r="C1096" t="e">
        <f t="shared" ca="1" si="55"/>
        <v>#REF!</v>
      </c>
    </row>
    <row r="1097" spans="1:3">
      <c r="A1097" s="3" t="str">
        <f t="shared" si="53"/>
        <v>Actionplan-Maßnahmenplan</v>
      </c>
      <c r="B1097" t="str">
        <f>pos(Actionplan!S266)</f>
        <v>$S$266</v>
      </c>
      <c r="C1097" t="e">
        <f t="shared" ca="1" si="55"/>
        <v>#REF!</v>
      </c>
    </row>
    <row r="1098" spans="1:3">
      <c r="A1098" s="3" t="str">
        <f t="shared" si="53"/>
        <v>Actionplan-Maßnahmenplan</v>
      </c>
      <c r="B1098" t="str">
        <f>pos(Actionplan!S274)</f>
        <v>$S$274</v>
      </c>
      <c r="C1098" t="e">
        <f t="shared" ca="1" si="55"/>
        <v>#REF!</v>
      </c>
    </row>
    <row r="1099" spans="1:3">
      <c r="A1099" s="3" t="str">
        <f t="shared" si="53"/>
        <v>Actionplan-Maßnahmenplan</v>
      </c>
      <c r="B1099" t="str">
        <f>pos(Actionplan!S275)</f>
        <v>$S$275</v>
      </c>
      <c r="C1099" t="e">
        <f t="shared" ca="1" si="55"/>
        <v>#REF!</v>
      </c>
    </row>
    <row r="1100" spans="1:3">
      <c r="A1100" s="3" t="str">
        <f t="shared" si="53"/>
        <v>Actionplan-Maßnahmenplan</v>
      </c>
      <c r="B1100" t="str">
        <f>pos(Actionplan!S276)</f>
        <v>$S$276</v>
      </c>
      <c r="C1100" t="e">
        <f t="shared" ca="1" si="55"/>
        <v>#REF!</v>
      </c>
    </row>
    <row r="1101" spans="1:3">
      <c r="A1101" s="3" t="str">
        <f t="shared" si="53"/>
        <v>Actionplan-Maßnahmenplan</v>
      </c>
      <c r="B1101" t="str">
        <f>pos(Actionplan!S284)</f>
        <v>$S$284</v>
      </c>
      <c r="C1101" t="e">
        <f t="shared" ca="1" si="55"/>
        <v>#REF!</v>
      </c>
    </row>
    <row r="1102" spans="1:3">
      <c r="A1102" s="3" t="str">
        <f t="shared" si="53"/>
        <v>Actionplan-Maßnahmenplan</v>
      </c>
      <c r="B1102" t="str">
        <f>pos(Actionplan!S285)</f>
        <v>$S$285</v>
      </c>
      <c r="C1102" t="e">
        <f t="shared" ca="1" si="55"/>
        <v>#REF!</v>
      </c>
    </row>
    <row r="1103" spans="1:3">
      <c r="A1103" s="3" t="str">
        <f t="shared" si="53"/>
        <v>Actionplan-Maßnahmenplan</v>
      </c>
      <c r="B1103" t="str">
        <f>pos(Actionplan!S286)</f>
        <v>$S$286</v>
      </c>
      <c r="C1103" t="e">
        <f t="shared" ca="1" si="55"/>
        <v>#REF!</v>
      </c>
    </row>
    <row r="1104" spans="1:3">
      <c r="A1104" s="3" t="str">
        <f t="shared" si="53"/>
        <v>Actionplan-Maßnahmenplan</v>
      </c>
      <c r="B1104" t="str">
        <f>pos(Actionplan!S294)</f>
        <v>$S$294</v>
      </c>
      <c r="C1104" t="e">
        <f t="shared" ca="1" si="55"/>
        <v>#REF!</v>
      </c>
    </row>
    <row r="1105" spans="1:3">
      <c r="A1105" s="3" t="str">
        <f t="shared" si="53"/>
        <v>Actionplan-Maßnahmenplan</v>
      </c>
      <c r="B1105" t="str">
        <f>pos(Actionplan!S295)</f>
        <v>$S$295</v>
      </c>
      <c r="C1105" t="e">
        <f t="shared" ca="1" si="55"/>
        <v>#REF!</v>
      </c>
    </row>
    <row r="1106" spans="1:3">
      <c r="A1106" s="3" t="str">
        <f t="shared" si="53"/>
        <v>Actionplan-Maßnahmenplan</v>
      </c>
      <c r="B1106" t="str">
        <f>pos(Actionplan!S296)</f>
        <v>$S$296</v>
      </c>
      <c r="C1106" t="e">
        <f t="shared" ca="1" si="55"/>
        <v>#REF!</v>
      </c>
    </row>
    <row r="1107" spans="1:3">
      <c r="A1107" s="3" t="str">
        <f t="shared" si="53"/>
        <v>Actionplan-Maßnahmenplan</v>
      </c>
      <c r="B1107" t="str">
        <f>pos(Actionplan!S304)</f>
        <v>$S$304</v>
      </c>
      <c r="C1107" t="e">
        <f t="shared" ca="1" si="55"/>
        <v>#REF!</v>
      </c>
    </row>
    <row r="1108" spans="1:3">
      <c r="A1108" s="3" t="str">
        <f t="shared" si="53"/>
        <v>Actionplan-Maßnahmenplan</v>
      </c>
      <c r="B1108" t="str">
        <f>pos(Actionplan!S305)</f>
        <v>$S$305</v>
      </c>
      <c r="C1108" t="e">
        <f t="shared" ca="1" si="55"/>
        <v>#REF!</v>
      </c>
    </row>
    <row r="1109" spans="1:3">
      <c r="A1109" s="3" t="str">
        <f t="shared" si="53"/>
        <v>Actionplan-Maßnahmenplan</v>
      </c>
      <c r="B1109" t="str">
        <f>pos(Actionplan!S306)</f>
        <v>$S$306</v>
      </c>
      <c r="C1109" t="e">
        <f t="shared" ca="1" si="55"/>
        <v>#REF!</v>
      </c>
    </row>
    <row r="1110" spans="1:3">
      <c r="A1110" s="3" t="str">
        <f t="shared" ref="A1110:A1116" si="56">$A$482</f>
        <v>Actionplan-Maßnahmenplan</v>
      </c>
      <c r="B1110" t="str">
        <f>pos(Actionplan!S314)</f>
        <v>$S$314</v>
      </c>
      <c r="C1110" t="e">
        <f t="shared" ref="C1110:C1116" ca="1" si="57">IF(INDIRECT("'"&amp;A1110&amp;"'!"&amp;B1110)=0,"",INDIRECT("'"&amp;A1110&amp;"'!"&amp;B1110))</f>
        <v>#REF!</v>
      </c>
    </row>
    <row r="1111" spans="1:3">
      <c r="A1111" s="3" t="str">
        <f t="shared" si="56"/>
        <v>Actionplan-Maßnahmenplan</v>
      </c>
      <c r="B1111" t="str">
        <f>pos(Actionplan!S315)</f>
        <v>$S$315</v>
      </c>
      <c r="C1111" t="e">
        <f t="shared" ca="1" si="57"/>
        <v>#REF!</v>
      </c>
    </row>
    <row r="1112" spans="1:3">
      <c r="A1112" s="3" t="str">
        <f t="shared" si="56"/>
        <v>Actionplan-Maßnahmenplan</v>
      </c>
      <c r="B1112" t="str">
        <f>pos(Actionplan!S316)</f>
        <v>$S$316</v>
      </c>
      <c r="C1112" t="e">
        <f t="shared" ca="1" si="57"/>
        <v>#REF!</v>
      </c>
    </row>
    <row r="1113" spans="1:3">
      <c r="A1113" s="3" t="str">
        <f t="shared" si="56"/>
        <v>Actionplan-Maßnahmenplan</v>
      </c>
      <c r="B1113" t="str">
        <f>pos(Actionplan!S317)</f>
        <v>$S$317</v>
      </c>
      <c r="C1113" t="e">
        <f t="shared" ca="1" si="57"/>
        <v>#REF!</v>
      </c>
    </row>
    <row r="1114" spans="1:3">
      <c r="A1114" s="3" t="str">
        <f t="shared" si="56"/>
        <v>Actionplan-Maßnahmenplan</v>
      </c>
      <c r="B1114" t="str">
        <f>pos(Actionplan!S318)</f>
        <v>$S$318</v>
      </c>
      <c r="C1114" t="e">
        <f t="shared" ca="1" si="57"/>
        <v>#REF!</v>
      </c>
    </row>
    <row r="1115" spans="1:3">
      <c r="A1115" s="3" t="str">
        <f t="shared" si="56"/>
        <v>Actionplan-Maßnahmenplan</v>
      </c>
      <c r="B1115" t="str">
        <f>pos(Actionplan!S319)</f>
        <v>$S$319</v>
      </c>
      <c r="C1115" t="e">
        <f t="shared" ca="1" si="57"/>
        <v>#REF!</v>
      </c>
    </row>
    <row r="1116" spans="1:3">
      <c r="A1116" s="3" t="str">
        <f t="shared" si="56"/>
        <v>Actionplan-Maßnahmenplan</v>
      </c>
      <c r="B1116" t="str">
        <f>pos(Actionplan!S320)</f>
        <v>$S$320</v>
      </c>
      <c r="C1116" t="e">
        <f t="shared" ca="1" si="57"/>
        <v>#REF!</v>
      </c>
    </row>
  </sheetData>
  <autoFilter ref="A1:C1116" xr:uid="{00000000-0009-0000-0000-00000F000000}"/>
  <pageMargins left="0.7" right="0.7" top="0.78740157499999996" bottom="0.78740157499999996"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1498783063AF049AC1A92895195C878" ma:contentTypeVersion="8" ma:contentTypeDescription="Create a new document." ma:contentTypeScope="" ma:versionID="7e11769e7be115d8fd01ccad779e4498">
  <xsd:schema xmlns:xsd="http://www.w3.org/2001/XMLSchema" xmlns:xs="http://www.w3.org/2001/XMLSchema" xmlns:p="http://schemas.microsoft.com/office/2006/metadata/properties" xmlns:ns2="d7944a9f-5ba9-4c01-8929-87d20aa663d4" xmlns:ns3="a33adb03-d0e3-4d14-9262-7c91e94a5bee" targetNamespace="http://schemas.microsoft.com/office/2006/metadata/properties" ma:root="true" ma:fieldsID="3657793f2b830a2acc2dca213ad544a5" ns2:_="" ns3:_="">
    <xsd:import namespace="d7944a9f-5ba9-4c01-8929-87d20aa663d4"/>
    <xsd:import namespace="a33adb03-d0e3-4d14-9262-7c91e94a5bee"/>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7944a9f-5ba9-4c01-8929-87d20aa663d4"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LastSharedByUser" ma:index="10" nillable="true" ma:displayName="Last Shared By User" ma:description="" ma:internalName="LastSharedByUser" ma:readOnly="true">
      <xsd:simpleType>
        <xsd:restriction base="dms:Note">
          <xsd:maxLength value="255"/>
        </xsd:restriction>
      </xsd:simpleType>
    </xsd:element>
    <xsd:element name="LastSharedByTime" ma:index="11"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a33adb03-d0e3-4d14-9262-7c91e94a5bee"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11EDB89-A70E-4B50-B5F2-D64BFBC3303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7944a9f-5ba9-4c01-8929-87d20aa663d4"/>
    <ds:schemaRef ds:uri="a33adb03-d0e3-4d14-9262-7c91e94a5b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A988531-D790-4A8F-A6E7-2A7177FD5137}">
  <ds:schemaRefs>
    <ds:schemaRef ds:uri="http://purl.org/dc/terms/"/>
    <ds:schemaRef ds:uri="http://schemas.microsoft.com/office/2006/documentManagement/types"/>
    <ds:schemaRef ds:uri="http://schemas.openxmlformats.org/package/2006/metadata/core-properties"/>
    <ds:schemaRef ds:uri="http://purl.org/dc/elements/1.1/"/>
    <ds:schemaRef ds:uri="http://www.w3.org/XML/1998/namespace"/>
    <ds:schemaRef ds:uri="http://schemas.microsoft.com/office/infopath/2007/PartnerControls"/>
    <ds:schemaRef ds:uri="d7944a9f-5ba9-4c01-8929-87d20aa663d4"/>
    <ds:schemaRef ds:uri="a33adb03-d0e3-4d14-9262-7c91e94a5bee"/>
    <ds:schemaRef ds:uri="http://schemas.microsoft.com/office/2006/metadata/properties"/>
    <ds:schemaRef ds:uri="http://purl.org/dc/dcmitype/"/>
  </ds:schemaRefs>
</ds:datastoreItem>
</file>

<file path=customXml/itemProps3.xml><?xml version="1.0" encoding="utf-8"?>
<ds:datastoreItem xmlns:ds="http://schemas.openxmlformats.org/officeDocument/2006/customXml" ds:itemID="{9D4C6245-DC14-4337-8171-BD92AE51045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Hojas de cálculo</vt:lpstr>
      </vt:variant>
      <vt:variant>
        <vt:i4>16</vt:i4>
      </vt:variant>
      <vt:variant>
        <vt:lpstr>Rangos con nombre</vt:lpstr>
      </vt:variant>
      <vt:variant>
        <vt:i4>195</vt:i4>
      </vt:variant>
    </vt:vector>
  </HeadingPairs>
  <TitlesOfParts>
    <vt:vector size="211" baseType="lpstr">
      <vt:lpstr>Disclaimer</vt:lpstr>
      <vt:lpstr>Input Form</vt:lpstr>
      <vt:lpstr>Questions</vt:lpstr>
      <vt:lpstr>PrGr1</vt:lpstr>
      <vt:lpstr>PrGr2</vt:lpstr>
      <vt:lpstr>PrGr3</vt:lpstr>
      <vt:lpstr>PrGr4</vt:lpstr>
      <vt:lpstr>Evaluation</vt:lpstr>
      <vt:lpstr>Report2</vt:lpstr>
      <vt:lpstr>OIL</vt:lpstr>
      <vt:lpstr>DATA</vt:lpstr>
      <vt:lpstr>Report</vt:lpstr>
      <vt:lpstr>Actionplan</vt:lpstr>
      <vt:lpstr>History</vt:lpstr>
      <vt:lpstr>Language-Sprachen</vt:lpstr>
      <vt:lpstr>CSV</vt:lpstr>
      <vt:lpstr>Evaluation!_e1</vt:lpstr>
      <vt:lpstr>PrGr1!_e1</vt:lpstr>
      <vt:lpstr>PrGr2!_e1</vt:lpstr>
      <vt:lpstr>PrGr3!_e1</vt:lpstr>
      <vt:lpstr>PrGr4!_e1</vt:lpstr>
      <vt:lpstr>Evaluation!_e2</vt:lpstr>
      <vt:lpstr>PrGr1!_e2</vt:lpstr>
      <vt:lpstr>PrGr2!_e2</vt:lpstr>
      <vt:lpstr>PrGr3!_e2</vt:lpstr>
      <vt:lpstr>PrGr4!_e2</vt:lpstr>
      <vt:lpstr>Evaluation!_e3</vt:lpstr>
      <vt:lpstr>PrGr1!_e3</vt:lpstr>
      <vt:lpstr>PrGr2!_e3</vt:lpstr>
      <vt:lpstr>PrGr3!_e3</vt:lpstr>
      <vt:lpstr>PrGr4!_e3</vt:lpstr>
      <vt:lpstr>Evaluation!_Ep1</vt:lpstr>
      <vt:lpstr>PrGr1!_Ep1</vt:lpstr>
      <vt:lpstr>PrGr2!_Ep1</vt:lpstr>
      <vt:lpstr>PrGr3!_Ep1</vt:lpstr>
      <vt:lpstr>PrGr4!_Ep1</vt:lpstr>
      <vt:lpstr>Evaluation!_Ep2</vt:lpstr>
      <vt:lpstr>PrGr1!_Ep2</vt:lpstr>
      <vt:lpstr>PrGr2!_Ep2</vt:lpstr>
      <vt:lpstr>PrGr3!_Ep2</vt:lpstr>
      <vt:lpstr>PrGr4!_Ep2</vt:lpstr>
      <vt:lpstr>Evaluation!_Ep3</vt:lpstr>
      <vt:lpstr>PrGr1!_Ep3</vt:lpstr>
      <vt:lpstr>PrGr2!_Ep3</vt:lpstr>
      <vt:lpstr>PrGr3!_Ep3</vt:lpstr>
      <vt:lpstr>PrGr4!_Ep3</vt:lpstr>
      <vt:lpstr>Evaluation!_Ep4</vt:lpstr>
      <vt:lpstr>PrGr1!_Ep4</vt:lpstr>
      <vt:lpstr>PrGr2!_Ep4</vt:lpstr>
      <vt:lpstr>PrGr3!_Ep4</vt:lpstr>
      <vt:lpstr>PrGr4!_Ep4</vt:lpstr>
      <vt:lpstr>Evaluation!_epg1</vt:lpstr>
      <vt:lpstr>PrGr1!_epg1</vt:lpstr>
      <vt:lpstr>PrGr2!_epg1</vt:lpstr>
      <vt:lpstr>PrGr3!_epg1</vt:lpstr>
      <vt:lpstr>PrGr4!_epg1</vt:lpstr>
      <vt:lpstr>Evaluation!_epg2</vt:lpstr>
      <vt:lpstr>PrGr1!_epg2</vt:lpstr>
      <vt:lpstr>PrGr2!_epg2</vt:lpstr>
      <vt:lpstr>PrGr3!_epg2</vt:lpstr>
      <vt:lpstr>PrGr4!_epg2</vt:lpstr>
      <vt:lpstr>Evaluation!_epg3</vt:lpstr>
      <vt:lpstr>PrGr1!_epg3</vt:lpstr>
      <vt:lpstr>PrGr2!_epg3</vt:lpstr>
      <vt:lpstr>PrGr3!_epg3</vt:lpstr>
      <vt:lpstr>PrGr4!_epg3</vt:lpstr>
      <vt:lpstr>Evaluation!_epg4</vt:lpstr>
      <vt:lpstr>PrGr1!_epg4</vt:lpstr>
      <vt:lpstr>PrGr2!_epg4</vt:lpstr>
      <vt:lpstr>PrGr3!_epg4</vt:lpstr>
      <vt:lpstr>PrGr4!_epg4</vt:lpstr>
      <vt:lpstr>Evaluation!_epg5</vt:lpstr>
      <vt:lpstr>PrGr1!_epg5</vt:lpstr>
      <vt:lpstr>PrGr2!_epg5</vt:lpstr>
      <vt:lpstr>PrGr3!_epg5</vt:lpstr>
      <vt:lpstr>PrGr4!_epg5</vt:lpstr>
      <vt:lpstr>Evaluation!_epg6</vt:lpstr>
      <vt:lpstr>PrGr1!_epg6</vt:lpstr>
      <vt:lpstr>PrGr2!_epg6</vt:lpstr>
      <vt:lpstr>PrGr3!_epg6</vt:lpstr>
      <vt:lpstr>PrGr4!_epg6</vt:lpstr>
      <vt:lpstr>Evaluation!_es1</vt:lpstr>
      <vt:lpstr>PrGr1!_es1</vt:lpstr>
      <vt:lpstr>PrGr2!_es1</vt:lpstr>
      <vt:lpstr>PrGr3!_es1</vt:lpstr>
      <vt:lpstr>PrGr4!_es1</vt:lpstr>
      <vt:lpstr>Evaluation!_es2</vt:lpstr>
      <vt:lpstr>PrGr1!_es2</vt:lpstr>
      <vt:lpstr>PrGr2!_es2</vt:lpstr>
      <vt:lpstr>PrGr3!_es2</vt:lpstr>
      <vt:lpstr>PrGr4!_es2</vt:lpstr>
      <vt:lpstr>Evaluation!_es3</vt:lpstr>
      <vt:lpstr>PrGr1!_es3</vt:lpstr>
      <vt:lpstr>PrGr2!_es3</vt:lpstr>
      <vt:lpstr>PrGr3!_es3</vt:lpstr>
      <vt:lpstr>PrGr4!_es3</vt:lpstr>
      <vt:lpstr>Evaluation!_es4</vt:lpstr>
      <vt:lpstr>PrGr1!_es4</vt:lpstr>
      <vt:lpstr>PrGr2!_es4</vt:lpstr>
      <vt:lpstr>PrGr3!_es4</vt:lpstr>
      <vt:lpstr>PrGr4!_es4</vt:lpstr>
      <vt:lpstr>_nb</vt:lpstr>
      <vt:lpstr>AnzSchritte</vt:lpstr>
      <vt:lpstr>Actionplan!Área_de_impresión</vt:lpstr>
      <vt:lpstr>Evaluation!Área_de_impresión</vt:lpstr>
      <vt:lpstr>History!Área_de_impresión</vt:lpstr>
      <vt:lpstr>'Input Form'!Área_de_impresión</vt:lpstr>
      <vt:lpstr>PrGr1!Área_de_impresión</vt:lpstr>
      <vt:lpstr>PrGr2!Área_de_impresión</vt:lpstr>
      <vt:lpstr>PrGr3!Área_de_impresión</vt:lpstr>
      <vt:lpstr>PrGr4!Área_de_impresión</vt:lpstr>
      <vt:lpstr>Report!Área_de_impresión</vt:lpstr>
      <vt:lpstr>DUNS_Nr</vt:lpstr>
      <vt:lpstr>Evaluation!ede</vt:lpstr>
      <vt:lpstr>PrGr1!ede</vt:lpstr>
      <vt:lpstr>PrGr2!ede</vt:lpstr>
      <vt:lpstr>PrGr3!ede</vt:lpstr>
      <vt:lpstr>PrGr4!ede</vt:lpstr>
      <vt:lpstr>Evaluation!ek</vt:lpstr>
      <vt:lpstr>PrGr1!ek</vt:lpstr>
      <vt:lpstr>PrGr2!ek</vt:lpstr>
      <vt:lpstr>PrGr3!ek</vt:lpstr>
      <vt:lpstr>PrGr4!ek</vt:lpstr>
      <vt:lpstr>Evaluation!elm</vt:lpstr>
      <vt:lpstr>PrGr1!elm</vt:lpstr>
      <vt:lpstr>PrGr2!elm</vt:lpstr>
      <vt:lpstr>PrGr3!elm</vt:lpstr>
      <vt:lpstr>PrGr4!elm</vt:lpstr>
      <vt:lpstr>Evaluation!epdp</vt:lpstr>
      <vt:lpstr>PrGr1!epdp</vt:lpstr>
      <vt:lpstr>PrGr2!epdp</vt:lpstr>
      <vt:lpstr>PrGr3!epdp</vt:lpstr>
      <vt:lpstr>PrGr4!epdp</vt:lpstr>
      <vt:lpstr>Evaluation!epdr</vt:lpstr>
      <vt:lpstr>PrGr1!epdr</vt:lpstr>
      <vt:lpstr>PrGr2!epdr</vt:lpstr>
      <vt:lpstr>PrGr3!epdr</vt:lpstr>
      <vt:lpstr>PrGr4!epdr</vt:lpstr>
      <vt:lpstr>Evaluation!epe</vt:lpstr>
      <vt:lpstr>PrGr1!epe</vt:lpstr>
      <vt:lpstr>PrGr2!epe</vt:lpstr>
      <vt:lpstr>PrGr3!epe</vt:lpstr>
      <vt:lpstr>PrGr4!epe</vt:lpstr>
      <vt:lpstr>Evaluation!epg</vt:lpstr>
      <vt:lpstr>PrGr1!epg</vt:lpstr>
      <vt:lpstr>PrGr2!epg</vt:lpstr>
      <vt:lpstr>PrGr3!epg</vt:lpstr>
      <vt:lpstr>PrGr4!epg</vt:lpstr>
      <vt:lpstr>Evaluation!epm</vt:lpstr>
      <vt:lpstr>PrGr1!epm</vt:lpstr>
      <vt:lpstr>PrGr2!epm</vt:lpstr>
      <vt:lpstr>PrGr3!epm</vt:lpstr>
      <vt:lpstr>PrGr4!epm</vt:lpstr>
      <vt:lpstr>Evaluation!epp</vt:lpstr>
      <vt:lpstr>PrGr1!epp</vt:lpstr>
      <vt:lpstr>PrGr2!epp</vt:lpstr>
      <vt:lpstr>PrGr3!epp</vt:lpstr>
      <vt:lpstr>PrGr4!epp</vt:lpstr>
      <vt:lpstr>Evaluation!epr</vt:lpstr>
      <vt:lpstr>PrGr1!epr</vt:lpstr>
      <vt:lpstr>PrGr2!epr</vt:lpstr>
      <vt:lpstr>PrGr3!epr</vt:lpstr>
      <vt:lpstr>PrGr4!epr</vt:lpstr>
      <vt:lpstr>Evaluation!epzp</vt:lpstr>
      <vt:lpstr>PrGr1!epzp</vt:lpstr>
      <vt:lpstr>PrGr2!epzp</vt:lpstr>
      <vt:lpstr>PrGr3!epzp</vt:lpstr>
      <vt:lpstr>PrGr4!epzp</vt:lpstr>
      <vt:lpstr>Evaluation!epzr</vt:lpstr>
      <vt:lpstr>PrGr1!epzr</vt:lpstr>
      <vt:lpstr>PrGr2!epzr</vt:lpstr>
      <vt:lpstr>PrGr3!epzr</vt:lpstr>
      <vt:lpstr>PrGr4!epzr</vt:lpstr>
      <vt:lpstr>Evaluation!ergebnis1</vt:lpstr>
      <vt:lpstr>PrGr1!ergebnis1</vt:lpstr>
      <vt:lpstr>PrGr2!ergebnis1</vt:lpstr>
      <vt:lpstr>PrGr3!ergebnis1</vt:lpstr>
      <vt:lpstr>PrGr4!ergebnis1</vt:lpstr>
      <vt:lpstr>Evaluation!ez</vt:lpstr>
      <vt:lpstr>PrGr1!ez</vt:lpstr>
      <vt:lpstr>PrGr2!ez</vt:lpstr>
      <vt:lpstr>PrGr3!ez</vt:lpstr>
      <vt:lpstr>PrGr4!ez</vt:lpstr>
      <vt:lpstr>Lief_Ort</vt:lpstr>
      <vt:lpstr>Lief_PLZ</vt:lpstr>
      <vt:lpstr>Lief_Str</vt:lpstr>
      <vt:lpstr>Lief_Unterschr</vt:lpstr>
      <vt:lpstr>Lieferant</vt:lpstr>
      <vt:lpstr>LieferantNr</vt:lpstr>
      <vt:lpstr>PrSchr1</vt:lpstr>
      <vt:lpstr>PrSchr10</vt:lpstr>
      <vt:lpstr>PrSchr2</vt:lpstr>
      <vt:lpstr>PrSchr3</vt:lpstr>
      <vt:lpstr>PrSchr4</vt:lpstr>
      <vt:lpstr>PrSchr5</vt:lpstr>
      <vt:lpstr>PrSchr6</vt:lpstr>
      <vt:lpstr>PrSchr7</vt:lpstr>
      <vt:lpstr>PrSchr8</vt:lpstr>
      <vt:lpstr>PrSchr9</vt:lpstr>
      <vt:lpstr>PrSchrNr1</vt:lpstr>
      <vt:lpstr>PrSchrNr10</vt:lpstr>
      <vt:lpstr>PrSchrNr2</vt:lpstr>
      <vt:lpstr>PrSchrNr3</vt:lpstr>
      <vt:lpstr>PrSchrNr4</vt:lpstr>
      <vt:lpstr>PrSchrNr5</vt:lpstr>
      <vt:lpstr>PrSchrNr6</vt:lpstr>
      <vt:lpstr>PrSchrNr7</vt:lpstr>
      <vt:lpstr>PrSchrNr8</vt:lpstr>
      <vt:lpstr>PrSchrNr9</vt:lpstr>
      <vt:lpstr>Seite</vt:lpstr>
      <vt:lpstr>Sprachen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VDA-QMC</dc:creator>
  <cp:lastModifiedBy>Fernandez, Rolando</cp:lastModifiedBy>
  <cp:lastPrinted>2021-02-24T21:26:31Z</cp:lastPrinted>
  <dcterms:created xsi:type="dcterms:W3CDTF">2006-07-24T15:13:03Z</dcterms:created>
  <dcterms:modified xsi:type="dcterms:W3CDTF">2026-03-02T16:33:50Z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hinkcellXlWorkbookDoNotDelete" linkTarget="&lt;?xml version=&quot;1.0&quot; encoding=&quot;UTF-16&quot; standalone=&quot;yes&quot;?&gt;&#10;&lt;root&gt;&lt;version val=&quot;17283&quot;/&gt;&lt;partner val=&quot;644&quot;/&gt;&lt;CXlWorkbook id=&quot;1&quot;&gt;&lt;m_cxllink/&gt;&lt;/CXlWorkbook&gt;&lt;/root&gt;">
    <vt:bool>false</vt:bool>
  </property>
  <property fmtid="{D5CDD505-2E9C-101B-9397-08002B2CF9AE}" pid="3" name="_NewReviewCycle">
    <vt:lpwstr/>
  </property>
  <property fmtid="{D5CDD505-2E9C-101B-9397-08002B2CF9AE}" pid="4" name="ContentTypeId">
    <vt:lpwstr>0x01010071498783063AF049AC1A92895195C878</vt:lpwstr>
  </property>
</Properties>
</file>